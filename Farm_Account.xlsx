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8DC2D7D7-622B-4CA5-8896-1ACE980CA240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_FilterDatabase" localSheetId="1" hidden="1">'كشف الحساب'!$A$3:$K$353</definedName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الحساب'!$A$1:$K$356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D108" i="6" s="1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355" i="2"/>
  <c r="F355" i="2"/>
  <c r="E355" i="2"/>
  <c r="D355" i="2"/>
  <c r="Q354" i="2"/>
  <c r="P354" i="2"/>
  <c r="O354" i="2"/>
  <c r="N354" i="2"/>
  <c r="M354" i="2"/>
  <c r="L354" i="2"/>
  <c r="Q353" i="2"/>
  <c r="P353" i="2"/>
  <c r="O353" i="2"/>
  <c r="N353" i="2"/>
  <c r="M353" i="2"/>
  <c r="L353" i="2"/>
  <c r="J353" i="2"/>
  <c r="Q352" i="2"/>
  <c r="P352" i="2"/>
  <c r="O352" i="2"/>
  <c r="N352" i="2"/>
  <c r="M352" i="2"/>
  <c r="L352" i="2"/>
  <c r="J352" i="2"/>
  <c r="Q351" i="2"/>
  <c r="P351" i="2"/>
  <c r="O351" i="2"/>
  <c r="N351" i="2"/>
  <c r="M351" i="2"/>
  <c r="L351" i="2"/>
  <c r="J351" i="2"/>
  <c r="Q350" i="2"/>
  <c r="P350" i="2"/>
  <c r="O350" i="2"/>
  <c r="N350" i="2"/>
  <c r="M350" i="2"/>
  <c r="L350" i="2"/>
  <c r="J350" i="2"/>
  <c r="Q349" i="2"/>
  <c r="P349" i="2"/>
  <c r="O349" i="2"/>
  <c r="N349" i="2"/>
  <c r="M349" i="2"/>
  <c r="L349" i="2"/>
  <c r="J349" i="2"/>
  <c r="Q348" i="2"/>
  <c r="P348" i="2"/>
  <c r="O348" i="2"/>
  <c r="N348" i="2"/>
  <c r="M348" i="2"/>
  <c r="L348" i="2"/>
  <c r="J348" i="2"/>
  <c r="Q347" i="2"/>
  <c r="P347" i="2"/>
  <c r="O347" i="2"/>
  <c r="N347" i="2"/>
  <c r="M347" i="2"/>
  <c r="L347" i="2"/>
  <c r="J347" i="2"/>
  <c r="Q346" i="2"/>
  <c r="P346" i="2"/>
  <c r="O346" i="2"/>
  <c r="N346" i="2"/>
  <c r="M346" i="2"/>
  <c r="L346" i="2"/>
  <c r="J346" i="2"/>
  <c r="Q345" i="2"/>
  <c r="P345" i="2"/>
  <c r="O345" i="2"/>
  <c r="N345" i="2"/>
  <c r="M345" i="2"/>
  <c r="L345" i="2"/>
  <c r="J345" i="2"/>
  <c r="Q344" i="2"/>
  <c r="P344" i="2"/>
  <c r="O344" i="2"/>
  <c r="N344" i="2"/>
  <c r="M344" i="2"/>
  <c r="L344" i="2"/>
  <c r="J344" i="2"/>
  <c r="Q343" i="2"/>
  <c r="P343" i="2"/>
  <c r="O343" i="2"/>
  <c r="N343" i="2"/>
  <c r="M343" i="2"/>
  <c r="L343" i="2"/>
  <c r="J343" i="2"/>
  <c r="Q342" i="2"/>
  <c r="P342" i="2"/>
  <c r="O342" i="2"/>
  <c r="N342" i="2"/>
  <c r="M342" i="2"/>
  <c r="L342" i="2"/>
  <c r="J342" i="2"/>
  <c r="Q341" i="2"/>
  <c r="P341" i="2"/>
  <c r="O341" i="2"/>
  <c r="N341" i="2"/>
  <c r="M341" i="2"/>
  <c r="L341" i="2"/>
  <c r="J341" i="2"/>
  <c r="Q340" i="2"/>
  <c r="P340" i="2"/>
  <c r="O340" i="2"/>
  <c r="N340" i="2"/>
  <c r="M340" i="2"/>
  <c r="L340" i="2"/>
  <c r="J340" i="2"/>
  <c r="Q339" i="2"/>
  <c r="P339" i="2"/>
  <c r="O339" i="2"/>
  <c r="N339" i="2"/>
  <c r="M339" i="2"/>
  <c r="L339" i="2"/>
  <c r="J339" i="2"/>
  <c r="Q338" i="2"/>
  <c r="P338" i="2"/>
  <c r="O338" i="2"/>
  <c r="N338" i="2"/>
  <c r="M338" i="2"/>
  <c r="L338" i="2"/>
  <c r="J338" i="2"/>
  <c r="Q337" i="2"/>
  <c r="P337" i="2"/>
  <c r="O337" i="2"/>
  <c r="N337" i="2"/>
  <c r="M337" i="2"/>
  <c r="L337" i="2"/>
  <c r="J337" i="2"/>
  <c r="Q336" i="2"/>
  <c r="P336" i="2"/>
  <c r="O336" i="2"/>
  <c r="N336" i="2"/>
  <c r="M336" i="2"/>
  <c r="L336" i="2"/>
  <c r="J336" i="2"/>
  <c r="Q335" i="2"/>
  <c r="P335" i="2"/>
  <c r="O335" i="2"/>
  <c r="N335" i="2"/>
  <c r="M335" i="2"/>
  <c r="L335" i="2"/>
  <c r="J335" i="2"/>
  <c r="Q334" i="2"/>
  <c r="P334" i="2"/>
  <c r="O334" i="2"/>
  <c r="N334" i="2"/>
  <c r="M334" i="2"/>
  <c r="L334" i="2"/>
  <c r="J334" i="2"/>
  <c r="Q333" i="2"/>
  <c r="P333" i="2"/>
  <c r="O333" i="2"/>
  <c r="N333" i="2"/>
  <c r="M333" i="2"/>
  <c r="L333" i="2"/>
  <c r="J333" i="2"/>
  <c r="Q332" i="2"/>
  <c r="P332" i="2"/>
  <c r="O332" i="2"/>
  <c r="N332" i="2"/>
  <c r="M332" i="2"/>
  <c r="L332" i="2"/>
  <c r="J332" i="2"/>
  <c r="Q331" i="2"/>
  <c r="P331" i="2"/>
  <c r="O331" i="2"/>
  <c r="N331" i="2"/>
  <c r="M331" i="2"/>
  <c r="L331" i="2"/>
  <c r="J331" i="2"/>
  <c r="Q330" i="2"/>
  <c r="P330" i="2"/>
  <c r="O330" i="2"/>
  <c r="N330" i="2"/>
  <c r="M330" i="2"/>
  <c r="L330" i="2"/>
  <c r="J330" i="2"/>
  <c r="Q329" i="2"/>
  <c r="P329" i="2"/>
  <c r="O329" i="2"/>
  <c r="N329" i="2"/>
  <c r="M329" i="2"/>
  <c r="L329" i="2"/>
  <c r="J329" i="2"/>
  <c r="Q328" i="2"/>
  <c r="P328" i="2"/>
  <c r="O328" i="2"/>
  <c r="N328" i="2"/>
  <c r="M328" i="2"/>
  <c r="L328" i="2"/>
  <c r="J328" i="2"/>
  <c r="Q327" i="2"/>
  <c r="P327" i="2"/>
  <c r="O327" i="2"/>
  <c r="N327" i="2"/>
  <c r="M327" i="2"/>
  <c r="L327" i="2"/>
  <c r="J327" i="2"/>
  <c r="Q326" i="2"/>
  <c r="P326" i="2"/>
  <c r="O326" i="2"/>
  <c r="N326" i="2"/>
  <c r="M326" i="2"/>
  <c r="L326" i="2"/>
  <c r="J326" i="2"/>
  <c r="Q325" i="2"/>
  <c r="P325" i="2"/>
  <c r="O325" i="2"/>
  <c r="N325" i="2"/>
  <c r="M325" i="2"/>
  <c r="L325" i="2"/>
  <c r="J325" i="2"/>
  <c r="Q324" i="2"/>
  <c r="P324" i="2"/>
  <c r="O324" i="2"/>
  <c r="N324" i="2"/>
  <c r="M324" i="2"/>
  <c r="L324" i="2"/>
  <c r="J324" i="2"/>
  <c r="Q323" i="2"/>
  <c r="P323" i="2"/>
  <c r="O323" i="2"/>
  <c r="N323" i="2"/>
  <c r="M323" i="2"/>
  <c r="L323" i="2"/>
  <c r="J323" i="2"/>
  <c r="Q322" i="2"/>
  <c r="P322" i="2"/>
  <c r="O322" i="2"/>
  <c r="N322" i="2"/>
  <c r="M322" i="2"/>
  <c r="L322" i="2"/>
  <c r="J322" i="2"/>
  <c r="Q321" i="2"/>
  <c r="P321" i="2"/>
  <c r="O321" i="2"/>
  <c r="N321" i="2"/>
  <c r="M321" i="2"/>
  <c r="L321" i="2"/>
  <c r="J321" i="2"/>
  <c r="Q320" i="2"/>
  <c r="P320" i="2"/>
  <c r="O320" i="2"/>
  <c r="N320" i="2"/>
  <c r="M320" i="2"/>
  <c r="L320" i="2"/>
  <c r="J320" i="2"/>
  <c r="Q319" i="2"/>
  <c r="P319" i="2"/>
  <c r="O319" i="2"/>
  <c r="N319" i="2"/>
  <c r="M319" i="2"/>
  <c r="L319" i="2"/>
  <c r="J319" i="2"/>
  <c r="Q318" i="2"/>
  <c r="P318" i="2"/>
  <c r="O318" i="2"/>
  <c r="N318" i="2"/>
  <c r="M318" i="2"/>
  <c r="L318" i="2"/>
  <c r="J318" i="2"/>
  <c r="Q317" i="2"/>
  <c r="P317" i="2"/>
  <c r="O317" i="2"/>
  <c r="N317" i="2"/>
  <c r="M317" i="2"/>
  <c r="L317" i="2"/>
  <c r="J317" i="2"/>
  <c r="Q316" i="2"/>
  <c r="P316" i="2"/>
  <c r="O316" i="2"/>
  <c r="N316" i="2"/>
  <c r="M316" i="2"/>
  <c r="L316" i="2"/>
  <c r="J316" i="2"/>
  <c r="Q315" i="2"/>
  <c r="P315" i="2"/>
  <c r="O315" i="2"/>
  <c r="N315" i="2"/>
  <c r="M315" i="2"/>
  <c r="L315" i="2"/>
  <c r="J315" i="2"/>
  <c r="Q314" i="2"/>
  <c r="P314" i="2"/>
  <c r="O314" i="2"/>
  <c r="N314" i="2"/>
  <c r="M314" i="2"/>
  <c r="L314" i="2"/>
  <c r="J314" i="2"/>
  <c r="Q313" i="2"/>
  <c r="P313" i="2"/>
  <c r="O313" i="2"/>
  <c r="N313" i="2"/>
  <c r="M313" i="2"/>
  <c r="L313" i="2"/>
  <c r="J313" i="2"/>
  <c r="Q312" i="2"/>
  <c r="P312" i="2"/>
  <c r="O312" i="2"/>
  <c r="N312" i="2"/>
  <c r="M312" i="2"/>
  <c r="L312" i="2"/>
  <c r="J312" i="2"/>
  <c r="Q311" i="2"/>
  <c r="P311" i="2"/>
  <c r="O311" i="2"/>
  <c r="N311" i="2"/>
  <c r="M311" i="2"/>
  <c r="L311" i="2"/>
  <c r="J311" i="2"/>
  <c r="Q310" i="2"/>
  <c r="P310" i="2"/>
  <c r="O310" i="2"/>
  <c r="N310" i="2"/>
  <c r="M310" i="2"/>
  <c r="L310" i="2"/>
  <c r="J310" i="2"/>
  <c r="Q309" i="2"/>
  <c r="P309" i="2"/>
  <c r="O309" i="2"/>
  <c r="N309" i="2"/>
  <c r="M309" i="2"/>
  <c r="L309" i="2"/>
  <c r="J309" i="2"/>
  <c r="Q308" i="2"/>
  <c r="P308" i="2"/>
  <c r="O308" i="2"/>
  <c r="N308" i="2"/>
  <c r="M308" i="2"/>
  <c r="L308" i="2"/>
  <c r="J308" i="2"/>
  <c r="Q307" i="2"/>
  <c r="P307" i="2"/>
  <c r="O307" i="2"/>
  <c r="N307" i="2"/>
  <c r="M307" i="2"/>
  <c r="L307" i="2"/>
  <c r="J307" i="2"/>
  <c r="Q306" i="2"/>
  <c r="P306" i="2"/>
  <c r="O306" i="2"/>
  <c r="N306" i="2"/>
  <c r="M306" i="2"/>
  <c r="L306" i="2"/>
  <c r="J306" i="2"/>
  <c r="Q305" i="2"/>
  <c r="P305" i="2"/>
  <c r="O305" i="2"/>
  <c r="N305" i="2"/>
  <c r="M305" i="2"/>
  <c r="L305" i="2"/>
  <c r="J305" i="2"/>
  <c r="Q304" i="2"/>
  <c r="P304" i="2"/>
  <c r="O304" i="2"/>
  <c r="N304" i="2"/>
  <c r="M304" i="2"/>
  <c r="L304" i="2"/>
  <c r="J304" i="2"/>
  <c r="Q303" i="2"/>
  <c r="P303" i="2"/>
  <c r="O303" i="2"/>
  <c r="N303" i="2"/>
  <c r="M303" i="2"/>
  <c r="L303" i="2"/>
  <c r="J303" i="2"/>
  <c r="Q302" i="2"/>
  <c r="P302" i="2"/>
  <c r="O302" i="2"/>
  <c r="N302" i="2"/>
  <c r="M302" i="2"/>
  <c r="L302" i="2"/>
  <c r="J302" i="2"/>
  <c r="Q301" i="2"/>
  <c r="P301" i="2"/>
  <c r="O301" i="2"/>
  <c r="N301" i="2"/>
  <c r="M301" i="2"/>
  <c r="L301" i="2"/>
  <c r="J301" i="2"/>
  <c r="Q300" i="2"/>
  <c r="P300" i="2"/>
  <c r="O300" i="2"/>
  <c r="N300" i="2"/>
  <c r="M300" i="2"/>
  <c r="L300" i="2"/>
  <c r="J300" i="2"/>
  <c r="Q299" i="2"/>
  <c r="P299" i="2"/>
  <c r="O299" i="2"/>
  <c r="N299" i="2"/>
  <c r="M299" i="2"/>
  <c r="L299" i="2"/>
  <c r="J299" i="2"/>
  <c r="Q298" i="2"/>
  <c r="P298" i="2"/>
  <c r="O298" i="2"/>
  <c r="N298" i="2"/>
  <c r="M298" i="2"/>
  <c r="L298" i="2"/>
  <c r="J298" i="2"/>
  <c r="Q297" i="2"/>
  <c r="P297" i="2"/>
  <c r="O297" i="2"/>
  <c r="N297" i="2"/>
  <c r="M297" i="2"/>
  <c r="L297" i="2"/>
  <c r="J297" i="2"/>
  <c r="Q296" i="2"/>
  <c r="P296" i="2"/>
  <c r="O296" i="2"/>
  <c r="N296" i="2"/>
  <c r="M296" i="2"/>
  <c r="L296" i="2"/>
  <c r="J296" i="2"/>
  <c r="Q295" i="2"/>
  <c r="P295" i="2"/>
  <c r="O295" i="2"/>
  <c r="N295" i="2"/>
  <c r="M295" i="2"/>
  <c r="L295" i="2"/>
  <c r="J295" i="2"/>
  <c r="Q294" i="2"/>
  <c r="P294" i="2"/>
  <c r="O294" i="2"/>
  <c r="N294" i="2"/>
  <c r="M294" i="2"/>
  <c r="L294" i="2"/>
  <c r="J294" i="2"/>
  <c r="Q293" i="2"/>
  <c r="P293" i="2"/>
  <c r="O293" i="2"/>
  <c r="N293" i="2"/>
  <c r="M293" i="2"/>
  <c r="L293" i="2"/>
  <c r="J293" i="2"/>
  <c r="Q292" i="2"/>
  <c r="P292" i="2"/>
  <c r="O292" i="2"/>
  <c r="N292" i="2"/>
  <c r="M292" i="2"/>
  <c r="L292" i="2"/>
  <c r="J292" i="2"/>
  <c r="Q291" i="2"/>
  <c r="P291" i="2"/>
  <c r="O291" i="2"/>
  <c r="N291" i="2"/>
  <c r="M291" i="2"/>
  <c r="L291" i="2"/>
  <c r="J291" i="2"/>
  <c r="Q290" i="2"/>
  <c r="P290" i="2"/>
  <c r="O290" i="2"/>
  <c r="N290" i="2"/>
  <c r="M290" i="2"/>
  <c r="L290" i="2"/>
  <c r="J290" i="2"/>
  <c r="Q289" i="2"/>
  <c r="P289" i="2"/>
  <c r="O289" i="2"/>
  <c r="N289" i="2"/>
  <c r="M289" i="2"/>
  <c r="L289" i="2"/>
  <c r="J289" i="2"/>
  <c r="Q288" i="2"/>
  <c r="P288" i="2"/>
  <c r="O288" i="2"/>
  <c r="N288" i="2"/>
  <c r="M288" i="2"/>
  <c r="L288" i="2"/>
  <c r="J288" i="2"/>
  <c r="Q287" i="2"/>
  <c r="P287" i="2"/>
  <c r="O287" i="2"/>
  <c r="N287" i="2"/>
  <c r="M287" i="2"/>
  <c r="L287" i="2"/>
  <c r="J287" i="2"/>
  <c r="Q286" i="2"/>
  <c r="P286" i="2"/>
  <c r="O286" i="2"/>
  <c r="N286" i="2"/>
  <c r="M286" i="2"/>
  <c r="L286" i="2"/>
  <c r="J286" i="2"/>
  <c r="Q285" i="2"/>
  <c r="P285" i="2"/>
  <c r="O285" i="2"/>
  <c r="N285" i="2"/>
  <c r="M285" i="2"/>
  <c r="L285" i="2"/>
  <c r="J285" i="2"/>
  <c r="Q284" i="2"/>
  <c r="P284" i="2"/>
  <c r="O284" i="2"/>
  <c r="N284" i="2"/>
  <c r="M284" i="2"/>
  <c r="L284" i="2"/>
  <c r="J284" i="2"/>
  <c r="Q283" i="2"/>
  <c r="P283" i="2"/>
  <c r="O283" i="2"/>
  <c r="N283" i="2"/>
  <c r="M283" i="2"/>
  <c r="L283" i="2"/>
  <c r="J283" i="2"/>
  <c r="Q282" i="2"/>
  <c r="P282" i="2"/>
  <c r="O282" i="2"/>
  <c r="N282" i="2"/>
  <c r="M282" i="2"/>
  <c r="L282" i="2"/>
  <c r="J282" i="2"/>
  <c r="Q281" i="2"/>
  <c r="P281" i="2"/>
  <c r="O281" i="2"/>
  <c r="N281" i="2"/>
  <c r="M281" i="2"/>
  <c r="L281" i="2"/>
  <c r="J281" i="2"/>
  <c r="Q280" i="2"/>
  <c r="P280" i="2"/>
  <c r="O280" i="2"/>
  <c r="N280" i="2"/>
  <c r="M280" i="2"/>
  <c r="L280" i="2"/>
  <c r="J280" i="2"/>
  <c r="Q279" i="2"/>
  <c r="P279" i="2"/>
  <c r="O279" i="2"/>
  <c r="N279" i="2"/>
  <c r="M279" i="2"/>
  <c r="L279" i="2"/>
  <c r="J279" i="2"/>
  <c r="Q278" i="2"/>
  <c r="P278" i="2"/>
  <c r="O278" i="2"/>
  <c r="N278" i="2"/>
  <c r="M278" i="2"/>
  <c r="L278" i="2"/>
  <c r="J278" i="2"/>
  <c r="Q277" i="2"/>
  <c r="P277" i="2"/>
  <c r="O277" i="2"/>
  <c r="N277" i="2"/>
  <c r="M277" i="2"/>
  <c r="L277" i="2"/>
  <c r="J277" i="2"/>
  <c r="Q276" i="2"/>
  <c r="P276" i="2"/>
  <c r="O276" i="2"/>
  <c r="N276" i="2"/>
  <c r="M276" i="2"/>
  <c r="L276" i="2"/>
  <c r="J276" i="2"/>
  <c r="Q275" i="2"/>
  <c r="P275" i="2"/>
  <c r="O275" i="2"/>
  <c r="N275" i="2"/>
  <c r="M275" i="2"/>
  <c r="L275" i="2"/>
  <c r="J275" i="2"/>
  <c r="Q274" i="2"/>
  <c r="P274" i="2"/>
  <c r="O274" i="2"/>
  <c r="N274" i="2"/>
  <c r="M274" i="2"/>
  <c r="L274" i="2"/>
  <c r="J274" i="2"/>
  <c r="Q273" i="2"/>
  <c r="P273" i="2"/>
  <c r="O273" i="2"/>
  <c r="N273" i="2"/>
  <c r="M273" i="2"/>
  <c r="L273" i="2"/>
  <c r="J273" i="2"/>
  <c r="Q272" i="2"/>
  <c r="P272" i="2"/>
  <c r="O272" i="2"/>
  <c r="N272" i="2"/>
  <c r="M272" i="2"/>
  <c r="L272" i="2"/>
  <c r="J272" i="2"/>
  <c r="Q271" i="2"/>
  <c r="P271" i="2"/>
  <c r="O271" i="2"/>
  <c r="N271" i="2"/>
  <c r="M271" i="2"/>
  <c r="L271" i="2"/>
  <c r="J271" i="2"/>
  <c r="Q270" i="2"/>
  <c r="P270" i="2"/>
  <c r="O270" i="2"/>
  <c r="N270" i="2"/>
  <c r="M270" i="2"/>
  <c r="L270" i="2"/>
  <c r="J270" i="2"/>
  <c r="Q269" i="2"/>
  <c r="P269" i="2"/>
  <c r="O269" i="2"/>
  <c r="N269" i="2"/>
  <c r="M269" i="2"/>
  <c r="L269" i="2"/>
  <c r="J269" i="2"/>
  <c r="Q268" i="2"/>
  <c r="P268" i="2"/>
  <c r="O268" i="2"/>
  <c r="N268" i="2"/>
  <c r="M268" i="2"/>
  <c r="L268" i="2"/>
  <c r="J268" i="2"/>
  <c r="Q267" i="2"/>
  <c r="P267" i="2"/>
  <c r="O267" i="2"/>
  <c r="N267" i="2"/>
  <c r="M267" i="2"/>
  <c r="L267" i="2"/>
  <c r="J267" i="2"/>
  <c r="Q266" i="2"/>
  <c r="P266" i="2"/>
  <c r="O266" i="2"/>
  <c r="N266" i="2"/>
  <c r="M266" i="2"/>
  <c r="L266" i="2"/>
  <c r="J266" i="2"/>
  <c r="Q265" i="2"/>
  <c r="P265" i="2"/>
  <c r="O265" i="2"/>
  <c r="N265" i="2"/>
  <c r="M265" i="2"/>
  <c r="L265" i="2"/>
  <c r="J265" i="2"/>
  <c r="Q264" i="2"/>
  <c r="P264" i="2"/>
  <c r="O264" i="2"/>
  <c r="N264" i="2"/>
  <c r="M264" i="2"/>
  <c r="L264" i="2"/>
  <c r="J264" i="2"/>
  <c r="Q263" i="2"/>
  <c r="P263" i="2"/>
  <c r="O263" i="2"/>
  <c r="N263" i="2"/>
  <c r="M263" i="2"/>
  <c r="L263" i="2"/>
  <c r="J263" i="2"/>
  <c r="Q262" i="2"/>
  <c r="P262" i="2"/>
  <c r="O262" i="2"/>
  <c r="N262" i="2"/>
  <c r="M262" i="2"/>
  <c r="L262" i="2"/>
  <c r="J262" i="2"/>
  <c r="Q261" i="2"/>
  <c r="P261" i="2"/>
  <c r="O261" i="2"/>
  <c r="N261" i="2"/>
  <c r="M261" i="2"/>
  <c r="L261" i="2"/>
  <c r="J261" i="2"/>
  <c r="Q260" i="2"/>
  <c r="P260" i="2"/>
  <c r="O260" i="2"/>
  <c r="N260" i="2"/>
  <c r="M260" i="2"/>
  <c r="L260" i="2"/>
  <c r="J260" i="2"/>
  <c r="Q259" i="2"/>
  <c r="P259" i="2"/>
  <c r="O259" i="2"/>
  <c r="N259" i="2"/>
  <c r="M259" i="2"/>
  <c r="L259" i="2"/>
  <c r="J259" i="2"/>
  <c r="Q258" i="2"/>
  <c r="P258" i="2"/>
  <c r="O258" i="2"/>
  <c r="N258" i="2"/>
  <c r="M258" i="2"/>
  <c r="L258" i="2"/>
  <c r="J258" i="2"/>
  <c r="Q257" i="2"/>
  <c r="P257" i="2"/>
  <c r="O257" i="2"/>
  <c r="N257" i="2"/>
  <c r="M257" i="2"/>
  <c r="L257" i="2"/>
  <c r="J257" i="2"/>
  <c r="Q256" i="2"/>
  <c r="D254" i="1" s="1"/>
  <c r="P256" i="2"/>
  <c r="O256" i="2"/>
  <c r="N256" i="2"/>
  <c r="M256" i="2"/>
  <c r="L256" i="2"/>
  <c r="J256" i="2"/>
  <c r="Q255" i="2"/>
  <c r="P255" i="2"/>
  <c r="O255" i="2"/>
  <c r="N255" i="2"/>
  <c r="M255" i="2"/>
  <c r="L255" i="2"/>
  <c r="J255" i="2"/>
  <c r="Q254" i="2"/>
  <c r="P254" i="2"/>
  <c r="O254" i="2"/>
  <c r="N254" i="2"/>
  <c r="M254" i="2"/>
  <c r="L254" i="2"/>
  <c r="J254" i="2"/>
  <c r="Q253" i="2"/>
  <c r="P253" i="2"/>
  <c r="O253" i="2"/>
  <c r="N253" i="2"/>
  <c r="M253" i="2"/>
  <c r="L253" i="2"/>
  <c r="Q252" i="2"/>
  <c r="P252" i="2"/>
  <c r="O252" i="2"/>
  <c r="N252" i="2"/>
  <c r="M252" i="2"/>
  <c r="L252" i="2"/>
  <c r="Q251" i="2"/>
  <c r="P251" i="2"/>
  <c r="O251" i="2"/>
  <c r="N251" i="2"/>
  <c r="M251" i="2"/>
  <c r="L251" i="2"/>
  <c r="Q250" i="2"/>
  <c r="P250" i="2"/>
  <c r="O250" i="2"/>
  <c r="N250" i="2"/>
  <c r="M250" i="2"/>
  <c r="L250" i="2"/>
  <c r="Q249" i="2"/>
  <c r="P249" i="2"/>
  <c r="O249" i="2"/>
  <c r="N249" i="2"/>
  <c r="M249" i="2"/>
  <c r="L249" i="2"/>
  <c r="Q248" i="2"/>
  <c r="P248" i="2"/>
  <c r="O248" i="2"/>
  <c r="N248" i="2"/>
  <c r="M248" i="2"/>
  <c r="L248" i="2"/>
  <c r="Q247" i="2"/>
  <c r="P247" i="2"/>
  <c r="O247" i="2"/>
  <c r="N247" i="2"/>
  <c r="M247" i="2"/>
  <c r="L247" i="2"/>
  <c r="Q246" i="2"/>
  <c r="P246" i="2"/>
  <c r="O246" i="2"/>
  <c r="N246" i="2"/>
  <c r="M246" i="2"/>
  <c r="L246" i="2"/>
  <c r="Q245" i="2"/>
  <c r="P245" i="2"/>
  <c r="O245" i="2"/>
  <c r="N245" i="2"/>
  <c r="M245" i="2"/>
  <c r="L245" i="2"/>
  <c r="Q244" i="2"/>
  <c r="P244" i="2"/>
  <c r="O244" i="2"/>
  <c r="N244" i="2"/>
  <c r="M244" i="2"/>
  <c r="L244" i="2"/>
  <c r="Q243" i="2"/>
  <c r="P243" i="2"/>
  <c r="O243" i="2"/>
  <c r="N243" i="2"/>
  <c r="M243" i="2"/>
  <c r="L243" i="2"/>
  <c r="Q242" i="2"/>
  <c r="P242" i="2"/>
  <c r="O242" i="2"/>
  <c r="N242" i="2"/>
  <c r="M242" i="2"/>
  <c r="L242" i="2"/>
  <c r="Q241" i="2"/>
  <c r="P241" i="2"/>
  <c r="O241" i="2"/>
  <c r="N241" i="2"/>
  <c r="M241" i="2"/>
  <c r="L241" i="2"/>
  <c r="Q240" i="2"/>
  <c r="P240" i="2"/>
  <c r="O240" i="2"/>
  <c r="N240" i="2"/>
  <c r="M240" i="2"/>
  <c r="L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Q237" i="2"/>
  <c r="P237" i="2"/>
  <c r="O237" i="2"/>
  <c r="N237" i="2"/>
  <c r="M237" i="2"/>
  <c r="L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Q234" i="2"/>
  <c r="P234" i="2"/>
  <c r="O234" i="2"/>
  <c r="N234" i="2"/>
  <c r="M234" i="2"/>
  <c r="L234" i="2"/>
  <c r="Q233" i="2"/>
  <c r="P233" i="2"/>
  <c r="O233" i="2"/>
  <c r="N233" i="2"/>
  <c r="M233" i="2"/>
  <c r="L233" i="2"/>
  <c r="Q232" i="2"/>
  <c r="P232" i="2"/>
  <c r="O232" i="2"/>
  <c r="N232" i="2"/>
  <c r="M232" i="2"/>
  <c r="L232" i="2"/>
  <c r="Q231" i="2"/>
  <c r="P231" i="2"/>
  <c r="O231" i="2"/>
  <c r="N231" i="2"/>
  <c r="M231" i="2"/>
  <c r="L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Q226" i="2"/>
  <c r="P226" i="2"/>
  <c r="O226" i="2"/>
  <c r="N226" i="2"/>
  <c r="M226" i="2"/>
  <c r="L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Q218" i="2"/>
  <c r="P218" i="2"/>
  <c r="O218" i="2"/>
  <c r="N218" i="2"/>
  <c r="M218" i="2"/>
  <c r="L218" i="2"/>
  <c r="Q217" i="2"/>
  <c r="P217" i="2"/>
  <c r="O217" i="2"/>
  <c r="N217" i="2"/>
  <c r="M217" i="2"/>
  <c r="L217" i="2"/>
  <c r="Q216" i="2"/>
  <c r="P216" i="2"/>
  <c r="O216" i="2"/>
  <c r="N216" i="2"/>
  <c r="M216" i="2"/>
  <c r="L216" i="2"/>
  <c r="Q215" i="2"/>
  <c r="P215" i="2"/>
  <c r="O215" i="2"/>
  <c r="N215" i="2"/>
  <c r="M215" i="2"/>
  <c r="L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D204" i="1" s="1"/>
  <c r="O6" i="2"/>
  <c r="N6" i="2"/>
  <c r="M6" i="2"/>
  <c r="L6" i="2"/>
  <c r="Q5" i="2"/>
  <c r="P5" i="2"/>
  <c r="C192" i="1" s="1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B301" i="1"/>
  <c r="B216" i="1"/>
  <c r="D196" i="1"/>
  <c r="D181" i="1"/>
  <c r="B169" i="1"/>
  <c r="B157" i="1"/>
  <c r="A145" i="1"/>
  <c r="D132" i="1"/>
  <c r="D120" i="1"/>
  <c r="C108" i="1"/>
  <c r="B96" i="1"/>
  <c r="B86" i="1"/>
  <c r="D77" i="1"/>
  <c r="E69" i="1"/>
  <c r="C63" i="1"/>
  <c r="A57" i="1"/>
  <c r="D50" i="1"/>
  <c r="A45" i="1"/>
  <c r="D40" i="1"/>
  <c r="C36" i="1"/>
  <c r="B32" i="1"/>
  <c r="E27" i="1"/>
  <c r="D23" i="1"/>
  <c r="C19" i="1"/>
  <c r="A15" i="1"/>
  <c r="E10" i="1"/>
  <c r="E6" i="1"/>
  <c r="B6" i="1"/>
  <c r="D274" i="1" l="1"/>
  <c r="B293" i="1"/>
  <c r="A234" i="1"/>
  <c r="A6" i="1"/>
  <c r="F6" i="1" s="1"/>
  <c r="D7" i="1"/>
  <c r="E11" i="1"/>
  <c r="B16" i="1"/>
  <c r="C20" i="1"/>
  <c r="D24" i="1"/>
  <c r="A29" i="1"/>
  <c r="B33" i="1"/>
  <c r="C37" i="1"/>
  <c r="E41" i="1"/>
  <c r="A46" i="1"/>
  <c r="B52" i="1"/>
  <c r="D58" i="1"/>
  <c r="A65" i="1"/>
  <c r="C71" i="1"/>
  <c r="E79" i="1"/>
  <c r="B88" i="1"/>
  <c r="B99" i="1"/>
  <c r="D111" i="1"/>
  <c r="D123" i="1"/>
  <c r="E135" i="1"/>
  <c r="B148" i="1"/>
  <c r="B160" i="1"/>
  <c r="C172" i="1"/>
  <c r="D184" i="1"/>
  <c r="C200" i="1"/>
  <c r="B220" i="1"/>
  <c r="C239" i="1"/>
  <c r="C259" i="1"/>
  <c r="D279" i="1"/>
  <c r="B309" i="1"/>
  <c r="D8" i="1"/>
  <c r="B17" i="1"/>
  <c r="E25" i="1"/>
  <c r="B34" i="1"/>
  <c r="E42" i="1"/>
  <c r="E53" i="1"/>
  <c r="D66" i="1"/>
  <c r="C73" i="1"/>
  <c r="C90" i="1"/>
  <c r="C114" i="1"/>
  <c r="A139" i="1"/>
  <c r="D175" i="1"/>
  <c r="B224" i="1"/>
  <c r="A13" i="1"/>
  <c r="C21" i="1"/>
  <c r="A30" i="1"/>
  <c r="D38" i="1"/>
  <c r="C47" i="1"/>
  <c r="B60" i="1"/>
  <c r="E81" i="1"/>
  <c r="C102" i="1"/>
  <c r="D126" i="1"/>
  <c r="A151" i="1"/>
  <c r="B163" i="1"/>
  <c r="C188" i="1"/>
  <c r="A244" i="1"/>
  <c r="E264" i="1"/>
  <c r="C286" i="1"/>
  <c r="D6" i="1"/>
  <c r="E9" i="1"/>
  <c r="A14" i="1"/>
  <c r="B18" i="1"/>
  <c r="D22" i="1"/>
  <c r="E26" i="1"/>
  <c r="A31" i="1"/>
  <c r="C35" i="1"/>
  <c r="D39" i="1"/>
  <c r="E43" i="1"/>
  <c r="A49" i="1"/>
  <c r="C55" i="1"/>
  <c r="E61" i="1"/>
  <c r="B68" i="1"/>
  <c r="C75" i="1"/>
  <c r="A84" i="1"/>
  <c r="B93" i="1"/>
  <c r="B105" i="1"/>
  <c r="D117" i="1"/>
  <c r="E129" i="1"/>
  <c r="E141" i="1"/>
  <c r="B154" i="1"/>
  <c r="C166" i="1"/>
  <c r="C178" i="1"/>
  <c r="E212" i="1"/>
  <c r="A229" i="1"/>
  <c r="B249" i="1"/>
  <c r="D269" i="1"/>
  <c r="E308" i="1"/>
  <c r="C306" i="1"/>
  <c r="C304" i="1"/>
  <c r="C302" i="1"/>
  <c r="A300" i="1"/>
  <c r="A298" i="1"/>
  <c r="A296" i="1"/>
  <c r="D293" i="1"/>
  <c r="D291" i="1"/>
  <c r="D289" i="1"/>
  <c r="B287" i="1"/>
  <c r="B285" i="1"/>
  <c r="B283" i="1"/>
  <c r="B281" i="1"/>
  <c r="A280" i="1"/>
  <c r="D278" i="1"/>
  <c r="A277" i="1"/>
  <c r="D275" i="1"/>
  <c r="C274" i="1"/>
  <c r="E272" i="1"/>
  <c r="C271" i="1"/>
  <c r="A270" i="1"/>
  <c r="C268" i="1"/>
  <c r="B267" i="1"/>
  <c r="E265" i="1"/>
  <c r="B264" i="1"/>
  <c r="E262" i="1"/>
  <c r="D261" i="1"/>
  <c r="A260" i="1"/>
  <c r="D258" i="1"/>
  <c r="B257" i="1"/>
  <c r="D255" i="1"/>
  <c r="C254" i="1"/>
  <c r="A253" i="1"/>
  <c r="C251" i="1"/>
  <c r="A250" i="1"/>
  <c r="E248" i="1"/>
  <c r="B247" i="1"/>
  <c r="E245" i="1"/>
  <c r="C244" i="1"/>
  <c r="E242" i="1"/>
  <c r="D241" i="1"/>
  <c r="B240" i="1"/>
  <c r="D238" i="1"/>
  <c r="B237" i="1"/>
  <c r="A236" i="1"/>
  <c r="C234" i="1"/>
  <c r="A233" i="1"/>
  <c r="D231" i="1"/>
  <c r="A230" i="1"/>
  <c r="E228" i="1"/>
  <c r="C227" i="1"/>
  <c r="E225" i="1"/>
  <c r="C224" i="1"/>
  <c r="B223" i="1"/>
  <c r="A222" i="1"/>
  <c r="A221" i="1"/>
  <c r="A220" i="1"/>
  <c r="E218" i="1"/>
  <c r="E217" i="1"/>
  <c r="E216" i="1"/>
  <c r="D215" i="1"/>
  <c r="D214" i="1"/>
  <c r="D213" i="1"/>
  <c r="C212" i="1"/>
  <c r="C211" i="1"/>
  <c r="C210" i="1"/>
  <c r="A308" i="1"/>
  <c r="D305" i="1"/>
  <c r="E302" i="1"/>
  <c r="D299" i="1"/>
  <c r="E296" i="1"/>
  <c r="C294" i="1"/>
  <c r="B291" i="1"/>
  <c r="C288" i="1"/>
  <c r="D285" i="1"/>
  <c r="C282" i="1"/>
  <c r="E280" i="1"/>
  <c r="E278" i="1"/>
  <c r="E276" i="1"/>
  <c r="E274" i="1"/>
  <c r="B273" i="1"/>
  <c r="B271" i="1"/>
  <c r="B269" i="1"/>
  <c r="C267" i="1"/>
  <c r="B265" i="1"/>
  <c r="D263" i="1"/>
  <c r="E261" i="1"/>
  <c r="D259" i="1"/>
  <c r="E257" i="1"/>
  <c r="B256" i="1"/>
  <c r="A254" i="1"/>
  <c r="B252" i="1"/>
  <c r="C250" i="1"/>
  <c r="B248" i="1"/>
  <c r="D246" i="1"/>
  <c r="E244" i="1"/>
  <c r="D242" i="1"/>
  <c r="E240" i="1"/>
  <c r="B239" i="1"/>
  <c r="A237" i="1"/>
  <c r="B235" i="1"/>
  <c r="B233" i="1"/>
  <c r="B231" i="1"/>
  <c r="D229" i="1"/>
  <c r="D227" i="1"/>
  <c r="D225" i="1"/>
  <c r="D223" i="1"/>
  <c r="C222" i="1"/>
  <c r="E220" i="1"/>
  <c r="C219" i="1"/>
  <c r="A218" i="1"/>
  <c r="C216" i="1"/>
  <c r="B215" i="1"/>
  <c r="E213" i="1"/>
  <c r="B212" i="1"/>
  <c r="E210" i="1"/>
  <c r="D307" i="1"/>
  <c r="A304" i="1"/>
  <c r="E300" i="1"/>
  <c r="C296" i="1"/>
  <c r="E292" i="1"/>
  <c r="E288" i="1"/>
  <c r="E284" i="1"/>
  <c r="E281" i="1"/>
  <c r="B279" i="1"/>
  <c r="C276" i="1"/>
  <c r="E273" i="1"/>
  <c r="D271" i="1"/>
  <c r="A269" i="1"/>
  <c r="C266" i="1"/>
  <c r="A264" i="1"/>
  <c r="A261" i="1"/>
  <c r="E258" i="1"/>
  <c r="C256" i="1"/>
  <c r="D253" i="1"/>
  <c r="B251" i="1"/>
  <c r="A249" i="1"/>
  <c r="A246" i="1"/>
  <c r="D243" i="1"/>
  <c r="B241" i="1"/>
  <c r="C238" i="1"/>
  <c r="B236" i="1"/>
  <c r="E233" i="1"/>
  <c r="E230" i="1"/>
  <c r="C228" i="1"/>
  <c r="C226" i="1"/>
  <c r="C223" i="1"/>
  <c r="D221" i="1"/>
  <c r="D219" i="1"/>
  <c r="D217" i="1"/>
  <c r="A216" i="1"/>
  <c r="A214" i="1"/>
  <c r="A212" i="1"/>
  <c r="A210" i="1"/>
  <c r="D273" i="1"/>
  <c r="B253" i="1"/>
  <c r="D245" i="1"/>
  <c r="C240" i="1"/>
  <c r="C235" i="1"/>
  <c r="E232" i="1"/>
  <c r="A228" i="1"/>
  <c r="E222" i="1"/>
  <c r="B219" i="1"/>
  <c r="C215" i="1"/>
  <c r="D211" i="1"/>
  <c r="B307" i="1"/>
  <c r="B303" i="1"/>
  <c r="B299" i="1"/>
  <c r="B295" i="1"/>
  <c r="A292" i="1"/>
  <c r="A288" i="1"/>
  <c r="A284" i="1"/>
  <c r="A281" i="1"/>
  <c r="A278" i="1"/>
  <c r="A276" i="1"/>
  <c r="D270" i="1"/>
  <c r="B268" i="1"/>
  <c r="A266" i="1"/>
  <c r="B263" i="1"/>
  <c r="E260" i="1"/>
  <c r="C258" i="1"/>
  <c r="C255" i="1"/>
  <c r="E250" i="1"/>
  <c r="A248" i="1"/>
  <c r="C243" i="1"/>
  <c r="A238" i="1"/>
  <c r="D230" i="1"/>
  <c r="B225" i="1"/>
  <c r="B221" i="1"/>
  <c r="B217" i="1"/>
  <c r="B213" i="1"/>
  <c r="E205" i="1"/>
  <c r="D201" i="1"/>
  <c r="D197" i="1"/>
  <c r="D193" i="1"/>
  <c r="D189" i="1"/>
  <c r="B185" i="1"/>
  <c r="C182" i="1"/>
  <c r="B179" i="1"/>
  <c r="B176" i="1"/>
  <c r="B173" i="1"/>
  <c r="B170" i="1"/>
  <c r="A167" i="1"/>
  <c r="B164" i="1"/>
  <c r="A161" i="1"/>
  <c r="E157" i="1"/>
  <c r="A155" i="1"/>
  <c r="E151" i="1"/>
  <c r="D148" i="1"/>
  <c r="E145" i="1"/>
  <c r="D142" i="1"/>
  <c r="D139" i="1"/>
  <c r="B138" i="1"/>
  <c r="A135" i="1"/>
  <c r="B132" i="1"/>
  <c r="A129" i="1"/>
  <c r="E125" i="1"/>
  <c r="A123" i="1"/>
  <c r="E119" i="1"/>
  <c r="D116" i="1"/>
  <c r="E113" i="1"/>
  <c r="D110" i="1"/>
  <c r="B109" i="1"/>
  <c r="B106" i="1"/>
  <c r="A103" i="1"/>
  <c r="B100" i="1"/>
  <c r="A97" i="1"/>
  <c r="E93" i="1"/>
  <c r="A91" i="1"/>
  <c r="E88" i="1"/>
  <c r="D86" i="1"/>
  <c r="D84" i="1"/>
  <c r="C82" i="1"/>
  <c r="B80" i="1"/>
  <c r="B78" i="1"/>
  <c r="A76" i="1"/>
  <c r="E73" i="1"/>
  <c r="E71" i="1"/>
  <c r="B70" i="1"/>
  <c r="D68" i="1"/>
  <c r="E67" i="1"/>
  <c r="B66" i="1"/>
  <c r="D64" i="1"/>
  <c r="A63" i="1"/>
  <c r="C61" i="1"/>
  <c r="E59" i="1"/>
  <c r="B58" i="1"/>
  <c r="D56" i="1"/>
  <c r="A55" i="1"/>
  <c r="C53" i="1"/>
  <c r="E51" i="1"/>
  <c r="B50" i="1"/>
  <c r="D48" i="1"/>
  <c r="A47" i="1"/>
  <c r="D203" i="1"/>
  <c r="E199" i="1"/>
  <c r="D195" i="1"/>
  <c r="B191" i="1"/>
  <c r="D187" i="1"/>
  <c r="E183" i="1"/>
  <c r="D180" i="1"/>
  <c r="E177" i="1"/>
  <c r="D174" i="1"/>
  <c r="D171" i="1"/>
  <c r="D168" i="1"/>
  <c r="D165" i="1"/>
  <c r="C162" i="1"/>
  <c r="D159" i="1"/>
  <c r="C156" i="1"/>
  <c r="B153" i="1"/>
  <c r="C150" i="1"/>
  <c r="B147" i="1"/>
  <c r="B144" i="1"/>
  <c r="B141" i="1"/>
  <c r="D136" i="1"/>
  <c r="D133" i="1"/>
  <c r="C130" i="1"/>
  <c r="D127" i="1"/>
  <c r="C124" i="1"/>
  <c r="B121" i="1"/>
  <c r="C118" i="1"/>
  <c r="B115" i="1"/>
  <c r="B112" i="1"/>
  <c r="D107" i="1"/>
  <c r="D104" i="1"/>
  <c r="D101" i="1"/>
  <c r="C98" i="1"/>
  <c r="D95" i="1"/>
  <c r="C92" i="1"/>
  <c r="E89" i="1"/>
  <c r="E87" i="1"/>
  <c r="D85" i="1"/>
  <c r="C83" i="1"/>
  <c r="C81" i="1"/>
  <c r="B79" i="1"/>
  <c r="A77" i="1"/>
  <c r="A75" i="1"/>
  <c r="E72" i="1"/>
  <c r="A71" i="1"/>
  <c r="C69" i="1"/>
  <c r="A67" i="1"/>
  <c r="C65" i="1"/>
  <c r="E63" i="1"/>
  <c r="B62" i="1"/>
  <c r="D60" i="1"/>
  <c r="A59" i="1"/>
  <c r="C57" i="1"/>
  <c r="E55" i="1"/>
  <c r="B54" i="1"/>
  <c r="D52" i="1"/>
  <c r="A51" i="1"/>
  <c r="C49" i="1"/>
  <c r="E47" i="1"/>
  <c r="A9" i="1"/>
  <c r="A11" i="1"/>
  <c r="B13" i="1"/>
  <c r="C15" i="1"/>
  <c r="D18" i="1"/>
  <c r="D20" i="1"/>
  <c r="E22" i="1"/>
  <c r="A25" i="1"/>
  <c r="A27" i="1"/>
  <c r="B29" i="1"/>
  <c r="C31" i="1"/>
  <c r="C33" i="1"/>
  <c r="D35" i="1"/>
  <c r="E37" i="1"/>
  <c r="E39" i="1"/>
  <c r="A42" i="1"/>
  <c r="B44" i="1"/>
  <c r="B46" i="1"/>
  <c r="B49" i="1"/>
  <c r="C52" i="1"/>
  <c r="D55" i="1"/>
  <c r="E58" i="1"/>
  <c r="D63" i="1"/>
  <c r="E66" i="1"/>
  <c r="A70" i="1"/>
  <c r="D73" i="1"/>
  <c r="E77" i="1"/>
  <c r="B82" i="1"/>
  <c r="C86" i="1"/>
  <c r="D90" i="1"/>
  <c r="D96" i="1"/>
  <c r="D102" i="1"/>
  <c r="D108" i="1"/>
  <c r="A115" i="1"/>
  <c r="A121" i="1"/>
  <c r="A127" i="1"/>
  <c r="B133" i="1"/>
  <c r="B139" i="1"/>
  <c r="B145" i="1"/>
  <c r="D151" i="1"/>
  <c r="D157" i="1"/>
  <c r="D163" i="1"/>
  <c r="E169" i="1"/>
  <c r="E175" i="1"/>
  <c r="A185" i="1"/>
  <c r="A193" i="1"/>
  <c r="B201" i="1"/>
  <c r="C220" i="1"/>
  <c r="A7" i="1"/>
  <c r="B8" i="1"/>
  <c r="B9" i="1"/>
  <c r="B10" i="1"/>
  <c r="C11" i="1"/>
  <c r="C12" i="1"/>
  <c r="C13" i="1"/>
  <c r="D14" i="1"/>
  <c r="D15" i="1"/>
  <c r="D16" i="1"/>
  <c r="E17" i="1"/>
  <c r="E18" i="1"/>
  <c r="E19" i="1"/>
  <c r="A21" i="1"/>
  <c r="A22" i="1"/>
  <c r="A23" i="1"/>
  <c r="B24" i="1"/>
  <c r="B25" i="1"/>
  <c r="B26" i="1"/>
  <c r="C27" i="1"/>
  <c r="C28" i="1"/>
  <c r="C29" i="1"/>
  <c r="D30" i="1"/>
  <c r="D31" i="1"/>
  <c r="D32" i="1"/>
  <c r="E33" i="1"/>
  <c r="E34" i="1"/>
  <c r="E35" i="1"/>
  <c r="A37" i="1"/>
  <c r="A38" i="1"/>
  <c r="A39" i="1"/>
  <c r="B40" i="1"/>
  <c r="B41" i="1"/>
  <c r="B42" i="1"/>
  <c r="C43" i="1"/>
  <c r="C44" i="1"/>
  <c r="C45" i="1"/>
  <c r="D46" i="1"/>
  <c r="B48" i="1"/>
  <c r="E49" i="1"/>
  <c r="C51" i="1"/>
  <c r="A53" i="1"/>
  <c r="D54" i="1"/>
  <c r="B56" i="1"/>
  <c r="E57" i="1"/>
  <c r="C59" i="1"/>
  <c r="A61" i="1"/>
  <c r="D62" i="1"/>
  <c r="B64" i="1"/>
  <c r="E65" i="1"/>
  <c r="C67" i="1"/>
  <c r="A69" i="1"/>
  <c r="D70" i="1"/>
  <c r="B72" i="1"/>
  <c r="C74" i="1"/>
  <c r="D76" i="1"/>
  <c r="D78" i="1"/>
  <c r="E80" i="1"/>
  <c r="A83" i="1"/>
  <c r="A85" i="1"/>
  <c r="B87" i="1"/>
  <c r="C89" i="1"/>
  <c r="D91" i="1"/>
  <c r="D94" i="1"/>
  <c r="E97" i="1"/>
  <c r="D100" i="1"/>
  <c r="E103" i="1"/>
  <c r="A107" i="1"/>
  <c r="E109" i="1"/>
  <c r="A113" i="1"/>
  <c r="B116" i="1"/>
  <c r="A119" i="1"/>
  <c r="B122" i="1"/>
  <c r="B125" i="1"/>
  <c r="B128" i="1"/>
  <c r="B131" i="1"/>
  <c r="C134" i="1"/>
  <c r="B137" i="1"/>
  <c r="C140" i="1"/>
  <c r="D143" i="1"/>
  <c r="C146" i="1"/>
  <c r="D149" i="1"/>
  <c r="D152" i="1"/>
  <c r="D155" i="1"/>
  <c r="D158" i="1"/>
  <c r="E161" i="1"/>
  <c r="D164" i="1"/>
  <c r="E167" i="1"/>
  <c r="A171" i="1"/>
  <c r="E173" i="1"/>
  <c r="A177" i="1"/>
  <c r="B180" i="1"/>
  <c r="A183" i="1"/>
  <c r="C186" i="1"/>
  <c r="D190" i="1"/>
  <c r="C194" i="1"/>
  <c r="D198" i="1"/>
  <c r="D202" i="1"/>
  <c r="D210" i="1"/>
  <c r="C214" i="1"/>
  <c r="C218" i="1"/>
  <c r="E221" i="1"/>
  <c r="D226" i="1"/>
  <c r="A232" i="1"/>
  <c r="C236" i="1"/>
  <c r="E241" i="1"/>
  <c r="E246" i="1"/>
  <c r="A252" i="1"/>
  <c r="E256" i="1"/>
  <c r="A262" i="1"/>
  <c r="E266" i="1"/>
  <c r="B272" i="1"/>
  <c r="D277" i="1"/>
  <c r="A282" i="1"/>
  <c r="A290" i="1"/>
  <c r="D297" i="1"/>
  <c r="E304" i="1"/>
  <c r="E7" i="1"/>
  <c r="A10" i="1"/>
  <c r="B12" i="1"/>
  <c r="B14" i="1"/>
  <c r="C16" i="1"/>
  <c r="C17" i="1"/>
  <c r="D19" i="1"/>
  <c r="E21" i="1"/>
  <c r="E23" i="1"/>
  <c r="A26" i="1"/>
  <c r="B28" i="1"/>
  <c r="B30" i="1"/>
  <c r="C32" i="1"/>
  <c r="D34" i="1"/>
  <c r="D36" i="1"/>
  <c r="E38" i="1"/>
  <c r="A41" i="1"/>
  <c r="A43" i="1"/>
  <c r="B45" i="1"/>
  <c r="D47" i="1"/>
  <c r="E50" i="1"/>
  <c r="A54" i="1"/>
  <c r="B57" i="1"/>
  <c r="C60" i="1"/>
  <c r="A62" i="1"/>
  <c r="B65" i="1"/>
  <c r="C68" i="1"/>
  <c r="D71" i="1"/>
  <c r="E75" i="1"/>
  <c r="A80" i="1"/>
  <c r="B84" i="1"/>
  <c r="D88" i="1"/>
  <c r="D93" i="1"/>
  <c r="D99" i="1"/>
  <c r="E105" i="1"/>
  <c r="E111" i="1"/>
  <c r="E117" i="1"/>
  <c r="B124" i="1"/>
  <c r="B130" i="1"/>
  <c r="B136" i="1"/>
  <c r="C142" i="1"/>
  <c r="C148" i="1"/>
  <c r="C154" i="1"/>
  <c r="D160" i="1"/>
  <c r="D166" i="1"/>
  <c r="D172" i="1"/>
  <c r="A179" i="1"/>
  <c r="E181" i="1"/>
  <c r="A189" i="1"/>
  <c r="A197" i="1"/>
  <c r="A205" i="1"/>
  <c r="A213" i="1"/>
  <c r="A217" i="1"/>
  <c r="E224" i="1"/>
  <c r="E229" i="1"/>
  <c r="E234" i="1"/>
  <c r="D239" i="1"/>
  <c r="A245" i="1"/>
  <c r="E249" i="1"/>
  <c r="B255" i="1"/>
  <c r="C260" i="1"/>
  <c r="A265" i="1"/>
  <c r="C270" i="1"/>
  <c r="C275" i="1"/>
  <c r="B280" i="1"/>
  <c r="E286" i="1"/>
  <c r="E294" i="1"/>
  <c r="D301" i="1"/>
  <c r="D309" i="1"/>
  <c r="C7" i="1"/>
  <c r="C8" i="1"/>
  <c r="C9" i="1"/>
  <c r="D10" i="1"/>
  <c r="D11" i="1"/>
  <c r="D12" i="1"/>
  <c r="E13" i="1"/>
  <c r="E14" i="1"/>
  <c r="E15" i="1"/>
  <c r="A17" i="1"/>
  <c r="A18" i="1"/>
  <c r="A19" i="1"/>
  <c r="B20" i="1"/>
  <c r="B21" i="1"/>
  <c r="B22" i="1"/>
  <c r="C23" i="1"/>
  <c r="C24" i="1"/>
  <c r="C25" i="1"/>
  <c r="D26" i="1"/>
  <c r="D27" i="1"/>
  <c r="D28" i="1"/>
  <c r="E29" i="1"/>
  <c r="E30" i="1"/>
  <c r="E31" i="1"/>
  <c r="A33" i="1"/>
  <c r="A34" i="1"/>
  <c r="A35" i="1"/>
  <c r="B36" i="1"/>
  <c r="B37" i="1"/>
  <c r="B38" i="1"/>
  <c r="C39" i="1"/>
  <c r="C40" i="1"/>
  <c r="C41" i="1"/>
  <c r="D42" i="1"/>
  <c r="D43" i="1"/>
  <c r="D44" i="1"/>
  <c r="E45" i="1"/>
  <c r="E46" i="1"/>
  <c r="C48" i="1"/>
  <c r="A50" i="1"/>
  <c r="D51" i="1"/>
  <c r="B53" i="1"/>
  <c r="E54" i="1"/>
  <c r="C56" i="1"/>
  <c r="A58" i="1"/>
  <c r="D59" i="1"/>
  <c r="B61" i="1"/>
  <c r="E62" i="1"/>
  <c r="C64" i="1"/>
  <c r="A66" i="1"/>
  <c r="D67" i="1"/>
  <c r="B69" i="1"/>
  <c r="E70" i="1"/>
  <c r="D72" i="1"/>
  <c r="D74" i="1"/>
  <c r="E76" i="1"/>
  <c r="A79" i="1"/>
  <c r="A81" i="1"/>
  <c r="B83" i="1"/>
  <c r="C85" i="1"/>
  <c r="C87" i="1"/>
  <c r="D89" i="1"/>
  <c r="B92" i="1"/>
  <c r="A95" i="1"/>
  <c r="B98" i="1"/>
  <c r="B101" i="1"/>
  <c r="B104" i="1"/>
  <c r="B107" i="1"/>
  <c r="C110" i="1"/>
  <c r="B113" i="1"/>
  <c r="C116" i="1"/>
  <c r="D119" i="1"/>
  <c r="C122" i="1"/>
  <c r="D125" i="1"/>
  <c r="D128" i="1"/>
  <c r="D131" i="1"/>
  <c r="D134" i="1"/>
  <c r="E137" i="1"/>
  <c r="D140" i="1"/>
  <c r="E143" i="1"/>
  <c r="A147" i="1"/>
  <c r="E149" i="1"/>
  <c r="A153" i="1"/>
  <c r="B156" i="1"/>
  <c r="A159" i="1"/>
  <c r="B162" i="1"/>
  <c r="B165" i="1"/>
  <c r="B168" i="1"/>
  <c r="B171" i="1"/>
  <c r="C174" i="1"/>
  <c r="B177" i="1"/>
  <c r="C180" i="1"/>
  <c r="D183" i="1"/>
  <c r="D186" i="1"/>
  <c r="A191" i="1"/>
  <c r="B195" i="1"/>
  <c r="A199" i="1"/>
  <c r="B203" i="1"/>
  <c r="B211" i="1"/>
  <c r="E214" i="1"/>
  <c r="D218" i="1"/>
  <c r="D222" i="1"/>
  <c r="E226" i="1"/>
  <c r="B232" i="1"/>
  <c r="D237" i="1"/>
  <c r="C242" i="1"/>
  <c r="D247" i="1"/>
  <c r="C252" i="1"/>
  <c r="D257" i="1"/>
  <c r="D262" i="1"/>
  <c r="A268" i="1"/>
  <c r="C272" i="1"/>
  <c r="E277" i="1"/>
  <c r="D283" i="1"/>
  <c r="C290" i="1"/>
  <c r="C298" i="1"/>
  <c r="A306" i="1"/>
  <c r="B205" i="1"/>
  <c r="B204" i="1"/>
  <c r="A203" i="1"/>
  <c r="E201" i="1"/>
  <c r="D200" i="1"/>
  <c r="D199" i="1"/>
  <c r="C198" i="1"/>
  <c r="B197" i="1"/>
  <c r="B196" i="1"/>
  <c r="A195" i="1"/>
  <c r="E193" i="1"/>
  <c r="D192" i="1"/>
  <c r="D191" i="1"/>
  <c r="C190" i="1"/>
  <c r="B189" i="1"/>
  <c r="B188" i="1"/>
  <c r="A187" i="1"/>
  <c r="E185" i="1"/>
  <c r="D205" i="1"/>
  <c r="E203" i="1"/>
  <c r="C202" i="1"/>
  <c r="A201" i="1"/>
  <c r="B199" i="1"/>
  <c r="E197" i="1"/>
  <c r="C196" i="1"/>
  <c r="D194" i="1"/>
  <c r="B193" i="1"/>
  <c r="E191" i="1"/>
  <c r="B190" i="1"/>
  <c r="D188" i="1"/>
  <c r="B187" i="1"/>
  <c r="D185" i="1"/>
  <c r="C184" i="1"/>
  <c r="B183" i="1"/>
  <c r="B182" i="1"/>
  <c r="A181" i="1"/>
  <c r="E179" i="1"/>
  <c r="D178" i="1"/>
  <c r="D177" i="1"/>
  <c r="C176" i="1"/>
  <c r="B175" i="1"/>
  <c r="B174" i="1"/>
  <c r="A173" i="1"/>
  <c r="E171" i="1"/>
  <c r="D170" i="1"/>
  <c r="D169" i="1"/>
  <c r="C168" i="1"/>
  <c r="B167" i="1"/>
  <c r="B166" i="1"/>
  <c r="A165" i="1"/>
  <c r="E163" i="1"/>
  <c r="D162" i="1"/>
  <c r="D161" i="1"/>
  <c r="C160" i="1"/>
  <c r="B159" i="1"/>
  <c r="B158" i="1"/>
  <c r="A157" i="1"/>
  <c r="E155" i="1"/>
  <c r="D154" i="1"/>
  <c r="D153" i="1"/>
  <c r="C152" i="1"/>
  <c r="B151" i="1"/>
  <c r="B150" i="1"/>
  <c r="A149" i="1"/>
  <c r="E147" i="1"/>
  <c r="D146" i="1"/>
  <c r="D145" i="1"/>
  <c r="C144" i="1"/>
  <c r="B143" i="1"/>
  <c r="B142" i="1"/>
  <c r="A141" i="1"/>
  <c r="E139" i="1"/>
  <c r="D138" i="1"/>
  <c r="D137" i="1"/>
  <c r="C136" i="1"/>
  <c r="B135" i="1"/>
  <c r="B134" i="1"/>
  <c r="A133" i="1"/>
  <c r="E131" i="1"/>
  <c r="D130" i="1"/>
  <c r="D129" i="1"/>
  <c r="C128" i="1"/>
  <c r="B127" i="1"/>
  <c r="B126" i="1"/>
  <c r="A125" i="1"/>
  <c r="E123" i="1"/>
  <c r="D122" i="1"/>
  <c r="D121" i="1"/>
  <c r="C120" i="1"/>
  <c r="B119" i="1"/>
  <c r="B118" i="1"/>
  <c r="A117" i="1"/>
  <c r="E115" i="1"/>
  <c r="D114" i="1"/>
  <c r="D113" i="1"/>
  <c r="C112" i="1"/>
  <c r="B111" i="1"/>
  <c r="B110" i="1"/>
  <c r="A109" i="1"/>
  <c r="E107" i="1"/>
  <c r="D106" i="1"/>
  <c r="D105" i="1"/>
  <c r="C104" i="1"/>
  <c r="B103" i="1"/>
  <c r="B102" i="1"/>
  <c r="A101" i="1"/>
  <c r="E99" i="1"/>
  <c r="D98" i="1"/>
  <c r="D97" i="1"/>
  <c r="C96" i="1"/>
  <c r="B95" i="1"/>
  <c r="B94" i="1"/>
  <c r="A93" i="1"/>
  <c r="E91" i="1"/>
  <c r="E90" i="1"/>
  <c r="A90" i="1"/>
  <c r="B89" i="1"/>
  <c r="C88" i="1"/>
  <c r="D87" i="1"/>
  <c r="E86" i="1"/>
  <c r="A86" i="1"/>
  <c r="B85" i="1"/>
  <c r="C84" i="1"/>
  <c r="D83" i="1"/>
  <c r="E82" i="1"/>
  <c r="A82" i="1"/>
  <c r="B81" i="1"/>
  <c r="C80" i="1"/>
  <c r="D79" i="1"/>
  <c r="E78" i="1"/>
  <c r="A78" i="1"/>
  <c r="B77" i="1"/>
  <c r="C76" i="1"/>
  <c r="D75" i="1"/>
  <c r="E74" i="1"/>
  <c r="A74" i="1"/>
  <c r="B73" i="1"/>
  <c r="C72" i="1"/>
  <c r="C6" i="1"/>
  <c r="B7" i="1"/>
  <c r="A8" i="1"/>
  <c r="E8" i="1"/>
  <c r="D9" i="1"/>
  <c r="C10" i="1"/>
  <c r="B11" i="1"/>
  <c r="A12" i="1"/>
  <c r="E12" i="1"/>
  <c r="D13" i="1"/>
  <c r="C14" i="1"/>
  <c r="B15" i="1"/>
  <c r="A16" i="1"/>
  <c r="E16" i="1"/>
  <c r="D17" i="1"/>
  <c r="C18" i="1"/>
  <c r="B19" i="1"/>
  <c r="A20" i="1"/>
  <c r="E20" i="1"/>
  <c r="D21" i="1"/>
  <c r="C22" i="1"/>
  <c r="B23" i="1"/>
  <c r="A24" i="1"/>
  <c r="E24" i="1"/>
  <c r="D25" i="1"/>
  <c r="C26" i="1"/>
  <c r="B27" i="1"/>
  <c r="A28" i="1"/>
  <c r="E28" i="1"/>
  <c r="D29" i="1"/>
  <c r="C30" i="1"/>
  <c r="B31" i="1"/>
  <c r="A32" i="1"/>
  <c r="E32" i="1"/>
  <c r="D33" i="1"/>
  <c r="C34" i="1"/>
  <c r="B35" i="1"/>
  <c r="A36" i="1"/>
  <c r="E36" i="1"/>
  <c r="D37" i="1"/>
  <c r="C38" i="1"/>
  <c r="B39" i="1"/>
  <c r="A40" i="1"/>
  <c r="E40" i="1"/>
  <c r="D41" i="1"/>
  <c r="C42" i="1"/>
  <c r="B43" i="1"/>
  <c r="A44" i="1"/>
  <c r="E44" i="1"/>
  <c r="D45" i="1"/>
  <c r="C46" i="1"/>
  <c r="B47" i="1"/>
  <c r="A48" i="1"/>
  <c r="E48" i="1"/>
  <c r="D49" i="1"/>
  <c r="C50" i="1"/>
  <c r="B51" i="1"/>
  <c r="A52" i="1"/>
  <c r="E52" i="1"/>
  <c r="D53" i="1"/>
  <c r="C54" i="1"/>
  <c r="B55" i="1"/>
  <c r="A56" i="1"/>
  <c r="E56" i="1"/>
  <c r="D57" i="1"/>
  <c r="C58" i="1"/>
  <c r="B59" i="1"/>
  <c r="A60" i="1"/>
  <c r="E60" i="1"/>
  <c r="D61" i="1"/>
  <c r="C62" i="1"/>
  <c r="B63" i="1"/>
  <c r="A64" i="1"/>
  <c r="E64" i="1"/>
  <c r="D65" i="1"/>
  <c r="C66" i="1"/>
  <c r="B67" i="1"/>
  <c r="A68" i="1"/>
  <c r="E68" i="1"/>
  <c r="D69" i="1"/>
  <c r="C70" i="1"/>
  <c r="B71" i="1"/>
  <c r="A72" i="1"/>
  <c r="A73" i="1"/>
  <c r="B74" i="1"/>
  <c r="B75" i="1"/>
  <c r="B76" i="1"/>
  <c r="C77" i="1"/>
  <c r="C78" i="1"/>
  <c r="C79" i="1"/>
  <c r="D80" i="1"/>
  <c r="D81" i="1"/>
  <c r="D82" i="1"/>
  <c r="E83" i="1"/>
  <c r="E84" i="1"/>
  <c r="E85" i="1"/>
  <c r="A87" i="1"/>
  <c r="A88" i="1"/>
  <c r="A89" i="1"/>
  <c r="B90" i="1"/>
  <c r="B91" i="1"/>
  <c r="D92" i="1"/>
  <c r="C94" i="1"/>
  <c r="E95" i="1"/>
  <c r="B97" i="1"/>
  <c r="A99" i="1"/>
  <c r="C100" i="1"/>
  <c r="E101" i="1"/>
  <c r="D103" i="1"/>
  <c r="A105" i="1"/>
  <c r="C106" i="1"/>
  <c r="B108" i="1"/>
  <c r="D109" i="1"/>
  <c r="A111" i="1"/>
  <c r="D112" i="1"/>
  <c r="B114" i="1"/>
  <c r="D115" i="1"/>
  <c r="B117" i="1"/>
  <c r="D118" i="1"/>
  <c r="B120" i="1"/>
  <c r="E121" i="1"/>
  <c r="B123" i="1"/>
  <c r="D124" i="1"/>
  <c r="C126" i="1"/>
  <c r="E127" i="1"/>
  <c r="B129" i="1"/>
  <c r="A131" i="1"/>
  <c r="C132" i="1"/>
  <c r="E133" i="1"/>
  <c r="D135" i="1"/>
  <c r="A137" i="1"/>
  <c r="C138" i="1"/>
  <c r="B140" i="1"/>
  <c r="D141" i="1"/>
  <c r="A143" i="1"/>
  <c r="D144" i="1"/>
  <c r="B146" i="1"/>
  <c r="D147" i="1"/>
  <c r="B149" i="1"/>
  <c r="D150" i="1"/>
  <c r="B152" i="1"/>
  <c r="E153" i="1"/>
  <c r="B155" i="1"/>
  <c r="D156" i="1"/>
  <c r="C158" i="1"/>
  <c r="E159" i="1"/>
  <c r="B161" i="1"/>
  <c r="A163" i="1"/>
  <c r="C164" i="1"/>
  <c r="E165" i="1"/>
  <c r="D167" i="1"/>
  <c r="A169" i="1"/>
  <c r="C170" i="1"/>
  <c r="B172" i="1"/>
  <c r="D173" i="1"/>
  <c r="A175" i="1"/>
  <c r="D176" i="1"/>
  <c r="B178" i="1"/>
  <c r="D179" i="1"/>
  <c r="B181" i="1"/>
  <c r="D182" i="1"/>
  <c r="B184" i="1"/>
  <c r="B186" i="1"/>
  <c r="E187" i="1"/>
  <c r="E189" i="1"/>
  <c r="B192" i="1"/>
  <c r="B194" i="1"/>
  <c r="E195" i="1"/>
  <c r="B198" i="1"/>
  <c r="B200" i="1"/>
  <c r="B202" i="1"/>
  <c r="C204" i="1"/>
  <c r="E108" i="6"/>
  <c r="J179" i="2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N134" i="2"/>
  <c r="H5" i="5" s="1"/>
  <c r="G5" i="5"/>
  <c r="J5" i="5"/>
  <c r="N135" i="2"/>
  <c r="G6" i="5" s="1"/>
  <c r="C205" i="1"/>
  <c r="E204" i="1"/>
  <c r="A204" i="1"/>
  <c r="C203" i="1"/>
  <c r="E202" i="1"/>
  <c r="A202" i="1"/>
  <c r="C201" i="1"/>
  <c r="E200" i="1"/>
  <c r="A200" i="1"/>
  <c r="C199" i="1"/>
  <c r="E198" i="1"/>
  <c r="A198" i="1"/>
  <c r="C197" i="1"/>
  <c r="E196" i="1"/>
  <c r="A196" i="1"/>
  <c r="C195" i="1"/>
  <c r="E194" i="1"/>
  <c r="A194" i="1"/>
  <c r="C193" i="1"/>
  <c r="E192" i="1"/>
  <c r="A192" i="1"/>
  <c r="C191" i="1"/>
  <c r="E190" i="1"/>
  <c r="A190" i="1"/>
  <c r="C189" i="1"/>
  <c r="E188" i="1"/>
  <c r="A188" i="1"/>
  <c r="C187" i="1"/>
  <c r="E186" i="1"/>
  <c r="A186" i="1"/>
  <c r="C185" i="1"/>
  <c r="E184" i="1"/>
  <c r="A184" i="1"/>
  <c r="C183" i="1"/>
  <c r="E182" i="1"/>
  <c r="A182" i="1"/>
  <c r="C181" i="1"/>
  <c r="E180" i="1"/>
  <c r="A180" i="1"/>
  <c r="C179" i="1"/>
  <c r="E178" i="1"/>
  <c r="A178" i="1"/>
  <c r="C177" i="1"/>
  <c r="E176" i="1"/>
  <c r="A176" i="1"/>
  <c r="C175" i="1"/>
  <c r="E174" i="1"/>
  <c r="A174" i="1"/>
  <c r="C173" i="1"/>
  <c r="E172" i="1"/>
  <c r="A172" i="1"/>
  <c r="C171" i="1"/>
  <c r="E170" i="1"/>
  <c r="A170" i="1"/>
  <c r="C169" i="1"/>
  <c r="E168" i="1"/>
  <c r="A168" i="1"/>
  <c r="C167" i="1"/>
  <c r="E166" i="1"/>
  <c r="A166" i="1"/>
  <c r="C165" i="1"/>
  <c r="E164" i="1"/>
  <c r="A164" i="1"/>
  <c r="C163" i="1"/>
  <c r="E162" i="1"/>
  <c r="A162" i="1"/>
  <c r="C161" i="1"/>
  <c r="E160" i="1"/>
  <c r="A160" i="1"/>
  <c r="C159" i="1"/>
  <c r="E158" i="1"/>
  <c r="A158" i="1"/>
  <c r="C157" i="1"/>
  <c r="E156" i="1"/>
  <c r="A156" i="1"/>
  <c r="C155" i="1"/>
  <c r="E154" i="1"/>
  <c r="A154" i="1"/>
  <c r="C153" i="1"/>
  <c r="E152" i="1"/>
  <c r="A152" i="1"/>
  <c r="C151" i="1"/>
  <c r="E150" i="1"/>
  <c r="A150" i="1"/>
  <c r="C149" i="1"/>
  <c r="E148" i="1"/>
  <c r="A148" i="1"/>
  <c r="C147" i="1"/>
  <c r="E146" i="1"/>
  <c r="A146" i="1"/>
  <c r="C145" i="1"/>
  <c r="E144" i="1"/>
  <c r="A144" i="1"/>
  <c r="C143" i="1"/>
  <c r="E142" i="1"/>
  <c r="A142" i="1"/>
  <c r="C141" i="1"/>
  <c r="E140" i="1"/>
  <c r="A140" i="1"/>
  <c r="C139" i="1"/>
  <c r="E138" i="1"/>
  <c r="A138" i="1"/>
  <c r="C137" i="1"/>
  <c r="E136" i="1"/>
  <c r="A136" i="1"/>
  <c r="C135" i="1"/>
  <c r="E134" i="1"/>
  <c r="A134" i="1"/>
  <c r="C133" i="1"/>
  <c r="E132" i="1"/>
  <c r="A132" i="1"/>
  <c r="C131" i="1"/>
  <c r="E130" i="1"/>
  <c r="A130" i="1"/>
  <c r="C129" i="1"/>
  <c r="E128" i="1"/>
  <c r="A128" i="1"/>
  <c r="C127" i="1"/>
  <c r="E126" i="1"/>
  <c r="A126" i="1"/>
  <c r="C125" i="1"/>
  <c r="E124" i="1"/>
  <c r="A124" i="1"/>
  <c r="C123" i="1"/>
  <c r="E122" i="1"/>
  <c r="A122" i="1"/>
  <c r="C121" i="1"/>
  <c r="E120" i="1"/>
  <c r="A120" i="1"/>
  <c r="C119" i="1"/>
  <c r="E118" i="1"/>
  <c r="A118" i="1"/>
  <c r="C117" i="1"/>
  <c r="E116" i="1"/>
  <c r="A116" i="1"/>
  <c r="C115" i="1"/>
  <c r="E114" i="1"/>
  <c r="A114" i="1"/>
  <c r="C113" i="1"/>
  <c r="E112" i="1"/>
  <c r="A112" i="1"/>
  <c r="C111" i="1"/>
  <c r="E110" i="1"/>
  <c r="A110" i="1"/>
  <c r="C109" i="1"/>
  <c r="E108" i="1"/>
  <c r="A108" i="1"/>
  <c r="C107" i="1"/>
  <c r="E106" i="1"/>
  <c r="A106" i="1"/>
  <c r="C105" i="1"/>
  <c r="E104" i="1"/>
  <c r="A104" i="1"/>
  <c r="C103" i="1"/>
  <c r="E102" i="1"/>
  <c r="A102" i="1"/>
  <c r="C101" i="1"/>
  <c r="E100" i="1"/>
  <c r="A100" i="1"/>
  <c r="C99" i="1"/>
  <c r="E98" i="1"/>
  <c r="A98" i="1"/>
  <c r="C97" i="1"/>
  <c r="E96" i="1"/>
  <c r="A96" i="1"/>
  <c r="C95" i="1"/>
  <c r="E94" i="1"/>
  <c r="A94" i="1"/>
  <c r="C93" i="1"/>
  <c r="E92" i="1"/>
  <c r="A92" i="1"/>
  <c r="C91" i="1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C309" i="1"/>
  <c r="D308" i="1"/>
  <c r="E307" i="1"/>
  <c r="A307" i="1"/>
  <c r="B306" i="1"/>
  <c r="C305" i="1"/>
  <c r="D304" i="1"/>
  <c r="E303" i="1"/>
  <c r="A303" i="1"/>
  <c r="B302" i="1"/>
  <c r="C301" i="1"/>
  <c r="D300" i="1"/>
  <c r="E299" i="1"/>
  <c r="A299" i="1"/>
  <c r="B298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C249" i="1"/>
  <c r="D248" i="1"/>
  <c r="E247" i="1"/>
  <c r="A247" i="1"/>
  <c r="B246" i="1"/>
  <c r="C245" i="1"/>
  <c r="D244" i="1"/>
  <c r="E243" i="1"/>
  <c r="A243" i="1"/>
  <c r="B242" i="1"/>
  <c r="C241" i="1"/>
  <c r="D240" i="1"/>
  <c r="E239" i="1"/>
  <c r="A239" i="1"/>
  <c r="B238" i="1"/>
  <c r="C237" i="1"/>
  <c r="D236" i="1"/>
  <c r="E235" i="1"/>
  <c r="A235" i="1"/>
  <c r="B234" i="1"/>
  <c r="C233" i="1"/>
  <c r="D232" i="1"/>
  <c r="E231" i="1"/>
  <c r="A231" i="1"/>
  <c r="B230" i="1"/>
  <c r="C229" i="1"/>
  <c r="D228" i="1"/>
  <c r="E227" i="1"/>
  <c r="A227" i="1"/>
  <c r="B226" i="1"/>
  <c r="C225" i="1"/>
  <c r="D224" i="1"/>
  <c r="E223" i="1"/>
  <c r="A223" i="1"/>
  <c r="B222" i="1"/>
  <c r="C221" i="1"/>
  <c r="D220" i="1"/>
  <c r="E219" i="1"/>
  <c r="A219" i="1"/>
  <c r="B218" i="1"/>
  <c r="C217" i="1"/>
  <c r="D216" i="1"/>
  <c r="E215" i="1"/>
  <c r="A215" i="1"/>
  <c r="B214" i="1"/>
  <c r="C213" i="1"/>
  <c r="D212" i="1"/>
  <c r="E211" i="1"/>
  <c r="A211" i="1"/>
  <c r="B210" i="1"/>
  <c r="A224" i="1"/>
  <c r="A225" i="1"/>
  <c r="A226" i="1"/>
  <c r="B227" i="1"/>
  <c r="B228" i="1"/>
  <c r="B229" i="1"/>
  <c r="C230" i="1"/>
  <c r="C231" i="1"/>
  <c r="C232" i="1"/>
  <c r="D233" i="1"/>
  <c r="D234" i="1"/>
  <c r="D235" i="1"/>
  <c r="E236" i="1"/>
  <c r="E237" i="1"/>
  <c r="E238" i="1"/>
  <c r="A240" i="1"/>
  <c r="A241" i="1"/>
  <c r="A242" i="1"/>
  <c r="B243" i="1"/>
  <c r="B244" i="1"/>
  <c r="B245" i="1"/>
  <c r="C246" i="1"/>
  <c r="C247" i="1"/>
  <c r="C248" i="1"/>
  <c r="D249" i="1"/>
  <c r="D250" i="1"/>
  <c r="D251" i="1"/>
  <c r="E252" i="1"/>
  <c r="E253" i="1"/>
  <c r="E254" i="1"/>
  <c r="A256" i="1"/>
  <c r="A257" i="1"/>
  <c r="A258" i="1"/>
  <c r="B259" i="1"/>
  <c r="B260" i="1"/>
  <c r="B261" i="1"/>
  <c r="C262" i="1"/>
  <c r="C263" i="1"/>
  <c r="C264" i="1"/>
  <c r="D265" i="1"/>
  <c r="D266" i="1"/>
  <c r="D267" i="1"/>
  <c r="E268" i="1"/>
  <c r="E269" i="1"/>
  <c r="E270" i="1"/>
  <c r="A272" i="1"/>
  <c r="A273" i="1"/>
  <c r="A274" i="1"/>
  <c r="B275" i="1"/>
  <c r="B276" i="1"/>
  <c r="B277" i="1"/>
  <c r="C278" i="1"/>
  <c r="C279" i="1"/>
  <c r="C280" i="1"/>
  <c r="D281" i="1"/>
  <c r="E282" i="1"/>
  <c r="C284" i="1"/>
  <c r="A286" i="1"/>
  <c r="D287" i="1"/>
  <c r="B289" i="1"/>
  <c r="E290" i="1"/>
  <c r="C292" i="1"/>
  <c r="A294" i="1"/>
  <c r="D295" i="1"/>
  <c r="B297" i="1"/>
  <c r="E298" i="1"/>
  <c r="C300" i="1"/>
  <c r="A302" i="1"/>
  <c r="D303" i="1"/>
  <c r="B305" i="1"/>
  <c r="E306" i="1"/>
  <c r="C308" i="1"/>
  <c r="K5" i="5" l="1"/>
  <c r="F5" i="5"/>
  <c r="D5" i="5"/>
  <c r="F7" i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D206" i="1"/>
  <c r="B5" i="5"/>
  <c r="C5" i="5"/>
  <c r="E206" i="1"/>
  <c r="D312" i="1"/>
  <c r="D310" i="1"/>
  <c r="K6" i="5"/>
  <c r="D311" i="1"/>
  <c r="N136" i="2"/>
  <c r="D7" i="5" s="1"/>
  <c r="A6" i="5"/>
  <c r="D6" i="5"/>
  <c r="I6" i="5"/>
  <c r="E6" i="5"/>
  <c r="H6" i="5"/>
  <c r="C6" i="5"/>
  <c r="B6" i="5"/>
  <c r="A5" i="5"/>
  <c r="F6" i="5"/>
  <c r="K7" i="5"/>
  <c r="E5" i="5"/>
  <c r="J6" i="5"/>
  <c r="I5" i="5"/>
  <c r="C7" i="5"/>
  <c r="J355" i="2" a="1"/>
  <c r="J355" i="2" s="1"/>
  <c r="J354" i="2" a="1"/>
  <c r="J354" i="2" s="1"/>
  <c r="G7" i="5" l="1"/>
  <c r="B7" i="5"/>
  <c r="F7" i="5"/>
  <c r="H7" i="5"/>
  <c r="J7" i="5"/>
  <c r="A7" i="5"/>
  <c r="I7" i="5"/>
  <c r="F106" i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N137" i="2"/>
  <c r="E7" i="5"/>
  <c r="E8" i="5" l="1"/>
  <c r="I8" i="5"/>
  <c r="J8" i="5"/>
  <c r="G8" i="5"/>
  <c r="B8" i="5"/>
  <c r="C8" i="5"/>
  <c r="K8" i="5"/>
  <c r="F8" i="5"/>
  <c r="D8" i="5"/>
  <c r="N138" i="2"/>
  <c r="I9" i="5" s="1"/>
  <c r="H8" i="5"/>
  <c r="A8" i="5"/>
  <c r="F206" i="1"/>
  <c r="F2" i="1" s="1"/>
  <c r="N139" i="2" l="1"/>
  <c r="C10" i="5" s="1"/>
  <c r="J9" i="5"/>
  <c r="C9" i="5"/>
  <c r="G9" i="5"/>
  <c r="F9" i="5"/>
  <c r="B9" i="5"/>
  <c r="E9" i="5"/>
  <c r="N140" i="2"/>
  <c r="J11" i="5" s="1"/>
  <c r="H9" i="5"/>
  <c r="A9" i="5"/>
  <c r="F10" i="5"/>
  <c r="A10" i="5"/>
  <c r="D9" i="5"/>
  <c r="E10" i="5"/>
  <c r="K9" i="5"/>
  <c r="G10" i="5"/>
  <c r="J10" i="5"/>
  <c r="I10" i="5" l="1"/>
  <c r="H10" i="5"/>
  <c r="B11" i="5"/>
  <c r="C11" i="5"/>
  <c r="K11" i="5"/>
  <c r="H11" i="5"/>
  <c r="D10" i="5"/>
  <c r="G11" i="5"/>
  <c r="E11" i="5"/>
  <c r="I11" i="5"/>
  <c r="N141" i="2"/>
  <c r="C12" i="5" s="1"/>
  <c r="D11" i="5"/>
  <c r="A11" i="5"/>
  <c r="F11" i="5"/>
  <c r="K10" i="5"/>
  <c r="B10" i="5"/>
  <c r="E12" i="5" l="1"/>
  <c r="N142" i="2"/>
  <c r="F13" i="5" s="1"/>
  <c r="B12" i="5"/>
  <c r="G12" i="5"/>
  <c r="A12" i="5"/>
  <c r="K12" i="5"/>
  <c r="F12" i="5"/>
  <c r="J12" i="5"/>
  <c r="D12" i="5"/>
  <c r="H12" i="5"/>
  <c r="B13" i="5" l="1"/>
  <c r="H13" i="5"/>
  <c r="G13" i="5"/>
  <c r="D13" i="5"/>
  <c r="K13" i="5"/>
  <c r="E13" i="5"/>
  <c r="J13" i="5"/>
  <c r="N143" i="2"/>
  <c r="N144" i="2" s="1"/>
  <c r="N145" i="2" s="1"/>
  <c r="N146" i="2" s="1"/>
  <c r="N147" i="2" s="1"/>
  <c r="N148" i="2" s="1"/>
  <c r="N149" i="2" s="1"/>
  <c r="N150" i="2" s="1"/>
  <c r="N151" i="2" s="1"/>
  <c r="N152" i="2" s="1"/>
  <c r="N153" i="2" s="1"/>
  <c r="H19" i="5" l="1"/>
  <c r="E21" i="5"/>
  <c r="D20" i="5"/>
  <c r="G22" i="5"/>
  <c r="C18" i="5"/>
  <c r="N154" i="2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F258" i="5" s="1"/>
  <c r="F14" i="5"/>
  <c r="I12" i="5"/>
  <c r="F20" i="5"/>
  <c r="E24" i="5"/>
  <c r="K22" i="5"/>
  <c r="F23" i="5"/>
  <c r="C20" i="5"/>
  <c r="F24" i="5"/>
  <c r="G19" i="5"/>
  <c r="K23" i="5"/>
  <c r="H21" i="5"/>
  <c r="E27" i="5"/>
  <c r="H20" i="5"/>
  <c r="I28" i="5"/>
  <c r="B17" i="5"/>
  <c r="H29" i="5"/>
  <c r="I23" i="5"/>
  <c r="A19" i="5"/>
  <c r="G21" i="5"/>
  <c r="C17" i="5"/>
  <c r="J24" i="5"/>
  <c r="G14" i="5"/>
  <c r="D27" i="5"/>
  <c r="B24" i="5"/>
  <c r="K24" i="5"/>
  <c r="A25" i="5"/>
  <c r="E16" i="5"/>
  <c r="F17" i="5"/>
  <c r="B28" i="5"/>
  <c r="G321" i="5"/>
  <c r="E153" i="5"/>
  <c r="E22" i="5"/>
  <c r="B301" i="5"/>
  <c r="D141" i="5"/>
  <c r="F158" i="5"/>
  <c r="G20" i="5"/>
  <c r="E287" i="5"/>
  <c r="A23" i="5"/>
  <c r="J192" i="5"/>
  <c r="E31" i="5"/>
  <c r="K26" i="5"/>
  <c r="F109" i="5"/>
  <c r="K40" i="5"/>
  <c r="C350" i="5"/>
  <c r="B32" i="5"/>
  <c r="A104" i="5"/>
  <c r="D25" i="5"/>
  <c r="K30" i="5"/>
  <c r="E20" i="5"/>
  <c r="E138" i="5"/>
  <c r="J27" i="5"/>
  <c r="B37" i="5"/>
  <c r="E30" i="5"/>
  <c r="D21" i="5"/>
  <c r="C14" i="5"/>
  <c r="F199" i="5"/>
  <c r="E305" i="5"/>
  <c r="H18" i="5"/>
  <c r="F40" i="5"/>
  <c r="C25" i="5"/>
  <c r="A30" i="5"/>
  <c r="H279" i="5"/>
  <c r="J19" i="5"/>
  <c r="F319" i="5"/>
  <c r="I26" i="5"/>
  <c r="C41" i="5"/>
  <c r="J95" i="5"/>
  <c r="H32" i="5"/>
  <c r="K28" i="5"/>
  <c r="E242" i="5"/>
  <c r="D64" i="5"/>
  <c r="I40" i="5"/>
  <c r="J233" i="5"/>
  <c r="E213" i="5"/>
  <c r="F340" i="5"/>
  <c r="A314" i="5"/>
  <c r="A67" i="5"/>
  <c r="G25" i="5"/>
  <c r="J213" i="5"/>
  <c r="D194" i="5"/>
  <c r="H268" i="5"/>
  <c r="K354" i="5"/>
  <c r="B347" i="5"/>
  <c r="A116" i="5"/>
  <c r="J88" i="5"/>
  <c r="B20" i="5"/>
  <c r="B268" i="5"/>
  <c r="K218" i="5"/>
  <c r="H217" i="5"/>
  <c r="H278" i="5"/>
  <c r="K303" i="5"/>
  <c r="E289" i="5"/>
  <c r="D349" i="5"/>
  <c r="J94" i="5"/>
  <c r="J93" i="5"/>
  <c r="F35" i="5"/>
  <c r="H187" i="5"/>
  <c r="J231" i="5"/>
  <c r="K168" i="5"/>
  <c r="K246" i="5"/>
  <c r="I328" i="5"/>
  <c r="H345" i="5"/>
  <c r="B283" i="5"/>
  <c r="D54" i="5"/>
  <c r="C109" i="5"/>
  <c r="G26" i="5"/>
  <c r="J21" i="5"/>
  <c r="I199" i="5"/>
  <c r="E139" i="5"/>
  <c r="B284" i="5"/>
  <c r="B305" i="5"/>
  <c r="H346" i="5"/>
  <c r="C325" i="5"/>
  <c r="G151" i="5"/>
  <c r="K41" i="5"/>
  <c r="A45" i="5"/>
  <c r="J62" i="5"/>
  <c r="C58" i="5"/>
  <c r="E182" i="5"/>
  <c r="B114" i="5"/>
  <c r="C116" i="5"/>
  <c r="C237" i="5"/>
  <c r="H207" i="5"/>
  <c r="J141" i="5"/>
  <c r="F134" i="5"/>
  <c r="C81" i="5"/>
  <c r="D182" i="5"/>
  <c r="C212" i="5"/>
  <c r="F79" i="5"/>
  <c r="D36" i="5"/>
  <c r="E330" i="5"/>
  <c r="B337" i="5"/>
  <c r="A82" i="5"/>
  <c r="G75" i="5"/>
  <c r="E34" i="5"/>
  <c r="B288" i="5"/>
  <c r="F189" i="5"/>
  <c r="A256" i="5"/>
  <c r="G249" i="5"/>
  <c r="J315" i="5"/>
  <c r="C284" i="5"/>
  <c r="I354" i="5"/>
  <c r="K123" i="5"/>
  <c r="G91" i="5"/>
  <c r="C24" i="5"/>
  <c r="G259" i="5"/>
  <c r="C235" i="5"/>
  <c r="B232" i="5"/>
  <c r="H275" i="5"/>
  <c r="H289" i="5"/>
  <c r="D299" i="5"/>
  <c r="D316" i="5"/>
  <c r="E72" i="5"/>
  <c r="C45" i="5"/>
  <c r="A14" i="5"/>
  <c r="I261" i="5"/>
  <c r="H236" i="5"/>
  <c r="G233" i="5"/>
  <c r="B277" i="5"/>
  <c r="B291" i="5"/>
  <c r="I300" i="5"/>
  <c r="I317" i="5"/>
  <c r="I76" i="5"/>
  <c r="I43" i="5"/>
  <c r="J54" i="5"/>
  <c r="I32" i="5"/>
  <c r="H243" i="5"/>
  <c r="H220" i="5"/>
  <c r="G217" i="5"/>
  <c r="B261" i="5"/>
  <c r="I347" i="5"/>
  <c r="I284" i="5"/>
  <c r="K336" i="5"/>
  <c r="I92" i="5"/>
  <c r="G65" i="5"/>
  <c r="J32" i="5"/>
  <c r="G195" i="5"/>
  <c r="G237" i="5"/>
  <c r="C177" i="5"/>
  <c r="C293" i="5"/>
  <c r="F312" i="5"/>
  <c r="E276" i="5"/>
  <c r="A270" i="5"/>
  <c r="K113" i="5"/>
  <c r="C175" i="5"/>
  <c r="I17" i="5"/>
  <c r="D129" i="5"/>
  <c r="G276" i="5"/>
  <c r="H195" i="5"/>
  <c r="B295" i="5"/>
  <c r="D336" i="5"/>
  <c r="K321" i="5"/>
  <c r="J332" i="5"/>
  <c r="A50" i="5"/>
  <c r="K104" i="5"/>
  <c r="C59" i="5"/>
  <c r="A299" i="5"/>
  <c r="G230" i="5"/>
  <c r="E226" i="5"/>
  <c r="E318" i="5"/>
  <c r="H312" i="5"/>
  <c r="B298" i="5"/>
  <c r="C309" i="5"/>
  <c r="B86" i="5"/>
  <c r="F73" i="5"/>
  <c r="H52" i="5"/>
  <c r="B245" i="5"/>
  <c r="J22" i="5"/>
  <c r="E185" i="5"/>
  <c r="F120" i="5"/>
  <c r="E152" i="5"/>
  <c r="K180" i="5"/>
  <c r="G115" i="5"/>
  <c r="F123" i="5"/>
  <c r="I222" i="5"/>
  <c r="A261" i="5"/>
  <c r="B187" i="5"/>
  <c r="I83" i="5"/>
  <c r="E112" i="5"/>
  <c r="F208" i="5"/>
  <c r="B148" i="5"/>
  <c r="A268" i="5"/>
  <c r="J313" i="5"/>
  <c r="B278" i="5"/>
  <c r="K333" i="5"/>
  <c r="J142" i="5"/>
  <c r="A39" i="5"/>
  <c r="J50" i="5"/>
  <c r="H26" i="5"/>
  <c r="D162" i="5"/>
  <c r="D254" i="5"/>
  <c r="D228" i="5"/>
  <c r="B297" i="5"/>
  <c r="D314" i="5"/>
  <c r="D323" i="5"/>
  <c r="C334" i="5"/>
  <c r="B79" i="5"/>
  <c r="H72" i="5"/>
  <c r="K21" i="5"/>
  <c r="F269" i="5"/>
  <c r="C198" i="5"/>
  <c r="D197" i="5"/>
  <c r="D258" i="5"/>
  <c r="F290" i="5"/>
  <c r="K292" i="5"/>
  <c r="G310" i="5"/>
  <c r="C115" i="5"/>
  <c r="G102" i="5"/>
  <c r="K20" i="5"/>
  <c r="D150" i="5"/>
  <c r="I147" i="5"/>
  <c r="D267" i="5"/>
  <c r="I213" i="5"/>
  <c r="G282" i="5"/>
  <c r="E346" i="5"/>
  <c r="I308" i="5"/>
  <c r="B350" i="5"/>
  <c r="F99" i="5"/>
  <c r="A93" i="5"/>
  <c r="K16" i="5"/>
  <c r="I257" i="5"/>
  <c r="I233" i="5"/>
  <c r="H230" i="5"/>
  <c r="C274" i="5"/>
  <c r="C288" i="5"/>
  <c r="J297" i="5"/>
  <c r="J314" i="5"/>
  <c r="H79" i="5"/>
  <c r="D58" i="5"/>
  <c r="D34" i="5"/>
  <c r="J202" i="5"/>
  <c r="J244" i="5"/>
  <c r="F184" i="5"/>
  <c r="F255" i="5"/>
  <c r="I319" i="5"/>
  <c r="E291" i="5"/>
  <c r="D277" i="5"/>
  <c r="J100" i="5"/>
  <c r="G155" i="5"/>
  <c r="A60" i="5"/>
  <c r="D29" i="5"/>
  <c r="A154" i="5"/>
  <c r="G154" i="5"/>
  <c r="F221" i="5"/>
  <c r="K295" i="5"/>
  <c r="G330" i="5"/>
  <c r="G339" i="5"/>
  <c r="E180" i="5"/>
  <c r="H41" i="5"/>
  <c r="C80" i="5"/>
  <c r="H55" i="5"/>
  <c r="H15" i="5"/>
  <c r="H43" i="5"/>
  <c r="C30" i="5"/>
  <c r="G18" i="5"/>
  <c r="A20" i="5"/>
  <c r="J25" i="5"/>
  <c r="K233" i="5"/>
  <c r="G67" i="5"/>
  <c r="H69" i="5"/>
  <c r="C224" i="5"/>
  <c r="C263" i="5"/>
  <c r="H126" i="5"/>
  <c r="B88" i="5"/>
  <c r="I116" i="5"/>
  <c r="I166" i="5"/>
  <c r="B198" i="5"/>
  <c r="G43" i="5"/>
  <c r="G36" i="5"/>
  <c r="A160" i="5"/>
  <c r="F272" i="5"/>
  <c r="H306" i="5"/>
  <c r="G270" i="5"/>
  <c r="C264" i="5"/>
  <c r="I119" i="5"/>
  <c r="J186" i="5"/>
  <c r="G23" i="5"/>
  <c r="A57" i="5"/>
  <c r="G185" i="5"/>
  <c r="H257" i="5"/>
  <c r="J189" i="5"/>
  <c r="D289" i="5"/>
  <c r="F330" i="5"/>
  <c r="B316" i="5"/>
  <c r="A327" i="5"/>
  <c r="J55" i="5"/>
  <c r="I110" i="5"/>
  <c r="D48" i="5"/>
  <c r="C187" i="5"/>
  <c r="G260" i="5"/>
  <c r="D191" i="5"/>
  <c r="I290" i="5"/>
  <c r="K331" i="5"/>
  <c r="G317" i="5"/>
  <c r="F328" i="5"/>
  <c r="C60" i="5"/>
  <c r="D109" i="5"/>
  <c r="F50" i="5"/>
  <c r="B243" i="5"/>
  <c r="I234" i="5"/>
  <c r="J171" i="5"/>
  <c r="E245" i="5"/>
  <c r="H331" i="5"/>
  <c r="J247" i="5"/>
  <c r="A286" i="5"/>
  <c r="C57" i="5"/>
  <c r="B112" i="5"/>
  <c r="H23" i="5"/>
  <c r="I24" i="5"/>
  <c r="A191" i="5"/>
  <c r="H130" i="5"/>
  <c r="D268" i="5"/>
  <c r="K332" i="5"/>
  <c r="K337" i="5"/>
  <c r="K346" i="5"/>
  <c r="D160" i="5"/>
  <c r="A54" i="5"/>
  <c r="A41" i="5"/>
  <c r="J175" i="5"/>
  <c r="E176" i="5"/>
  <c r="C247" i="5"/>
  <c r="J310" i="5"/>
  <c r="E352" i="5"/>
  <c r="K330" i="5"/>
  <c r="F170" i="5"/>
  <c r="I13" i="5"/>
  <c r="E58" i="5"/>
  <c r="D146" i="5"/>
  <c r="E264" i="5"/>
  <c r="D212" i="5"/>
  <c r="B281" i="5"/>
  <c r="G340" i="5"/>
  <c r="D307" i="5"/>
  <c r="H348" i="5"/>
  <c r="K100" i="5"/>
  <c r="H88" i="5"/>
  <c r="C29" i="5"/>
  <c r="G46" i="5"/>
  <c r="J174" i="5"/>
  <c r="D143" i="5"/>
  <c r="A133" i="5"/>
  <c r="K73" i="5"/>
  <c r="C137" i="5"/>
  <c r="H226" i="5"/>
  <c r="A69" i="5"/>
  <c r="K76" i="5"/>
  <c r="G138" i="5"/>
  <c r="C273" i="5"/>
  <c r="I171" i="5"/>
  <c r="D119" i="5"/>
  <c r="A213" i="5"/>
  <c r="F195" i="5"/>
  <c r="G132" i="5"/>
  <c r="A280" i="5"/>
  <c r="D345" i="5"/>
  <c r="I251" i="5"/>
  <c r="J319" i="5"/>
  <c r="F96" i="5"/>
  <c r="A157" i="5"/>
  <c r="D51" i="5"/>
  <c r="A22" i="5"/>
  <c r="I146" i="5"/>
  <c r="D147" i="5"/>
  <c r="B213" i="5"/>
  <c r="H288" i="5"/>
  <c r="I353" i="5"/>
  <c r="D332" i="5"/>
  <c r="D350" i="5"/>
  <c r="B43" i="5"/>
  <c r="F87" i="5"/>
  <c r="G24" i="5"/>
  <c r="K282" i="5"/>
  <c r="F250" i="5"/>
  <c r="J243" i="5"/>
  <c r="H261" i="5"/>
  <c r="A346" i="5"/>
  <c r="H308" i="5"/>
  <c r="C332" i="5"/>
  <c r="H68" i="5"/>
  <c r="I117" i="5"/>
  <c r="C42" i="5"/>
  <c r="F165" i="5"/>
  <c r="D245" i="5"/>
  <c r="E232" i="5"/>
  <c r="J227" i="5"/>
  <c r="H245" i="5"/>
  <c r="B314" i="5"/>
  <c r="G299" i="5"/>
  <c r="H310" i="5"/>
  <c r="H84" i="5"/>
  <c r="J77" i="5"/>
  <c r="E53" i="5"/>
  <c r="B184" i="5"/>
  <c r="I254" i="5"/>
  <c r="E188" i="5"/>
  <c r="J287" i="5"/>
  <c r="A329" i="5"/>
  <c r="H314" i="5"/>
  <c r="G325" i="5"/>
  <c r="B63" i="5"/>
  <c r="J123" i="5"/>
  <c r="C38" i="5"/>
  <c r="C278" i="5"/>
  <c r="G202" i="5"/>
  <c r="H201" i="5"/>
  <c r="H262" i="5"/>
  <c r="J294" i="5"/>
  <c r="D297" i="5"/>
  <c r="K314" i="5"/>
  <c r="A105" i="5"/>
  <c r="C98" i="5"/>
  <c r="B31" i="5"/>
  <c r="B189" i="5"/>
  <c r="D233" i="5"/>
  <c r="E170" i="5"/>
  <c r="I252" i="5"/>
  <c r="C330" i="5"/>
  <c r="E246" i="5"/>
  <c r="G284" i="5"/>
  <c r="H58" i="5"/>
  <c r="I107" i="5"/>
  <c r="B25" i="5"/>
  <c r="F57" i="5"/>
  <c r="G34" i="5"/>
  <c r="C221" i="5"/>
  <c r="E151" i="5"/>
  <c r="E63" i="5"/>
  <c r="C86" i="5"/>
  <c r="K144" i="5"/>
  <c r="K236" i="5"/>
  <c r="G60" i="5"/>
  <c r="E17" i="5"/>
  <c r="B174" i="5"/>
  <c r="K150" i="5"/>
  <c r="F179" i="5"/>
  <c r="C111" i="5"/>
  <c r="B119" i="5"/>
  <c r="D351" i="5"/>
  <c r="K155" i="5"/>
  <c r="B49" i="5"/>
  <c r="J43" i="5"/>
  <c r="E19" i="5"/>
  <c r="A155" i="5"/>
  <c r="A285" i="5"/>
  <c r="A221" i="5"/>
  <c r="J289" i="5"/>
  <c r="A307" i="5"/>
  <c r="A316" i="5"/>
  <c r="K326" i="5"/>
  <c r="C92" i="5"/>
  <c r="J59" i="5"/>
  <c r="F61" i="5"/>
  <c r="A139" i="5"/>
  <c r="H282" i="5"/>
  <c r="A205" i="5"/>
  <c r="H290" i="5"/>
  <c r="F321" i="5"/>
  <c r="F347" i="5"/>
  <c r="E341" i="5"/>
  <c r="E102" i="5"/>
  <c r="K95" i="5"/>
  <c r="I52" i="5"/>
  <c r="F140" i="5"/>
  <c r="A291" i="5"/>
  <c r="F206" i="5"/>
  <c r="F296" i="5"/>
  <c r="K322" i="5"/>
  <c r="D353" i="5"/>
  <c r="J342" i="5"/>
  <c r="I106" i="5"/>
  <c r="F94" i="5"/>
  <c r="F15" i="5"/>
  <c r="A127" i="5"/>
  <c r="K280" i="5"/>
  <c r="D260" i="5"/>
  <c r="F190" i="5"/>
  <c r="K268" i="5"/>
  <c r="K306" i="5"/>
  <c r="K315" i="5"/>
  <c r="J326" i="5"/>
  <c r="I122" i="5"/>
  <c r="D116" i="5"/>
  <c r="K43" i="5"/>
  <c r="C230" i="5"/>
  <c r="F210" i="5"/>
  <c r="E207" i="5"/>
  <c r="J284" i="5"/>
  <c r="G337" i="5"/>
  <c r="G293" i="5"/>
  <c r="F298" i="5"/>
  <c r="K102" i="5"/>
  <c r="G81" i="5"/>
  <c r="C240" i="5"/>
  <c r="G221" i="5"/>
  <c r="C161" i="5"/>
  <c r="B252" i="5"/>
  <c r="D333" i="5"/>
  <c r="E260" i="5"/>
  <c r="A347" i="5"/>
  <c r="B124" i="5"/>
  <c r="K183" i="5"/>
  <c r="B22" i="5"/>
  <c r="K59" i="5"/>
  <c r="I130" i="5"/>
  <c r="D286" i="5"/>
  <c r="B197" i="5"/>
  <c r="G296" i="5"/>
  <c r="I337" i="5"/>
  <c r="E323" i="5"/>
  <c r="D334" i="5"/>
  <c r="E54" i="5"/>
  <c r="F103" i="5"/>
  <c r="A26" i="5"/>
  <c r="F21" i="5"/>
  <c r="C13" i="5"/>
  <c r="F203" i="5"/>
  <c r="H105" i="5"/>
  <c r="E46" i="5"/>
  <c r="C223" i="5"/>
  <c r="H271" i="5"/>
  <c r="K149" i="5"/>
  <c r="J64" i="5"/>
  <c r="F93" i="5"/>
  <c r="C189" i="5"/>
  <c r="E221" i="5"/>
  <c r="K19" i="5"/>
  <c r="G179" i="5"/>
  <c r="J197" i="5"/>
  <c r="A242" i="5"/>
  <c r="B179" i="5"/>
  <c r="H252" i="5"/>
  <c r="K338" i="5"/>
  <c r="B255" i="5"/>
  <c r="D293" i="5"/>
  <c r="K49" i="5"/>
  <c r="H110" i="5"/>
  <c r="C22" i="5"/>
  <c r="D23" i="5"/>
  <c r="F192" i="5"/>
  <c r="B132" i="5"/>
  <c r="F270" i="5"/>
  <c r="I338" i="5"/>
  <c r="E339" i="5"/>
  <c r="E348" i="5"/>
  <c r="A153" i="5"/>
  <c r="E43" i="5"/>
  <c r="G59" i="5"/>
  <c r="D22" i="5"/>
  <c r="I163" i="5"/>
  <c r="C257" i="5"/>
  <c r="I229" i="5"/>
  <c r="G298" i="5"/>
  <c r="I315" i="5"/>
  <c r="K324" i="5"/>
  <c r="H335" i="5"/>
  <c r="F83" i="5"/>
  <c r="C71" i="5"/>
  <c r="E23" i="5"/>
  <c r="D181" i="5"/>
  <c r="I178" i="5"/>
  <c r="D179" i="5"/>
  <c r="J250" i="5"/>
  <c r="I313" i="5"/>
  <c r="J324" i="5"/>
  <c r="J333" i="5"/>
  <c r="E173" i="5"/>
  <c r="H16" i="5"/>
  <c r="D61" i="5"/>
  <c r="K46" i="5"/>
  <c r="G137" i="5"/>
  <c r="I277" i="5"/>
  <c r="G203" i="5"/>
  <c r="E285" i="5"/>
  <c r="A320" i="5"/>
  <c r="H341" i="5"/>
  <c r="K339" i="5"/>
  <c r="H109" i="5"/>
  <c r="A109" i="5"/>
  <c r="F58" i="5"/>
  <c r="H239" i="5"/>
  <c r="I217" i="5"/>
  <c r="H214" i="5"/>
  <c r="C258" i="5"/>
  <c r="J344" i="5"/>
  <c r="J281" i="5"/>
  <c r="C316" i="5"/>
  <c r="J89" i="5"/>
  <c r="H62" i="5"/>
  <c r="K29" i="5"/>
  <c r="D204" i="5"/>
  <c r="I248" i="5"/>
  <c r="K185" i="5"/>
  <c r="E258" i="5"/>
  <c r="C321" i="5"/>
  <c r="C297" i="5"/>
  <c r="J278" i="5"/>
  <c r="C105" i="5"/>
  <c r="B154" i="5"/>
  <c r="B57" i="5"/>
  <c r="B38" i="5"/>
  <c r="B61" i="5"/>
  <c r="A36" i="5"/>
  <c r="D55" i="5"/>
  <c r="J135" i="5"/>
  <c r="K98" i="5"/>
  <c r="E101" i="5"/>
  <c r="H190" i="5"/>
  <c r="J222" i="5"/>
  <c r="D24" i="5"/>
  <c r="G126" i="5"/>
  <c r="G127" i="5"/>
  <c r="I135" i="5"/>
  <c r="C225" i="5"/>
  <c r="H64" i="5"/>
  <c r="G72" i="5"/>
  <c r="G201" i="5"/>
  <c r="K275" i="5"/>
  <c r="I331" i="5"/>
  <c r="E278" i="5"/>
  <c r="H292" i="5"/>
  <c r="I108" i="5"/>
  <c r="E87" i="5"/>
  <c r="E234" i="5"/>
  <c r="I215" i="5"/>
  <c r="E155" i="5"/>
  <c r="A287" i="5"/>
  <c r="B321" i="5"/>
  <c r="D298" i="5"/>
  <c r="C341" i="5"/>
  <c r="I129" i="5"/>
  <c r="J133" i="5"/>
  <c r="K27" i="5"/>
  <c r="J235" i="5"/>
  <c r="C217" i="5"/>
  <c r="J156" i="5"/>
  <c r="H298" i="5"/>
  <c r="G322" i="5"/>
  <c r="H309" i="5"/>
  <c r="H342" i="5"/>
  <c r="B134" i="5"/>
  <c r="K130" i="5"/>
  <c r="F26" i="5"/>
  <c r="C51" i="5"/>
  <c r="J292" i="5"/>
  <c r="F205" i="5"/>
  <c r="G204" i="5"/>
  <c r="G265" i="5"/>
  <c r="I297" i="5"/>
  <c r="C300" i="5"/>
  <c r="J317" i="5"/>
  <c r="K107" i="5"/>
  <c r="B101" i="5"/>
  <c r="C28" i="5"/>
  <c r="B242" i="5"/>
  <c r="G224" i="5"/>
  <c r="H161" i="5"/>
  <c r="G238" i="5"/>
  <c r="K351" i="5"/>
  <c r="A283" i="5"/>
  <c r="K320" i="5"/>
  <c r="E67" i="5"/>
  <c r="K127" i="5"/>
  <c r="K39" i="5"/>
  <c r="B226" i="5"/>
  <c r="G208" i="5"/>
  <c r="H145" i="5"/>
  <c r="G222" i="5"/>
  <c r="K335" i="5"/>
  <c r="J264" i="5"/>
  <c r="K290" i="5"/>
  <c r="G77" i="5"/>
  <c r="D132" i="5"/>
  <c r="I56" i="5"/>
  <c r="D47" i="5"/>
  <c r="D177" i="5"/>
  <c r="J177" i="5"/>
  <c r="A249" i="5"/>
  <c r="D312" i="5"/>
  <c r="J353" i="5"/>
  <c r="E332" i="5"/>
  <c r="G175" i="5"/>
  <c r="B18" i="5"/>
  <c r="K56" i="5"/>
  <c r="G29" i="5"/>
  <c r="J206" i="5"/>
  <c r="B59" i="5"/>
  <c r="J166" i="5"/>
  <c r="D287" i="5"/>
  <c r="E134" i="5"/>
  <c r="E100" i="5"/>
  <c r="H108" i="5"/>
  <c r="I235" i="5"/>
  <c r="C206" i="5"/>
  <c r="E140" i="5"/>
  <c r="B130" i="5"/>
  <c r="J76" i="5"/>
  <c r="B165" i="5"/>
  <c r="K57" i="5"/>
  <c r="F235" i="5"/>
  <c r="A13" i="5"/>
  <c r="J65" i="5"/>
  <c r="H204" i="5"/>
  <c r="C222" i="5"/>
  <c r="J37" i="5"/>
  <c r="B122" i="5"/>
  <c r="C67" i="5"/>
  <c r="A338" i="5"/>
  <c r="B310" i="5"/>
  <c r="J351" i="5"/>
  <c r="B263" i="5"/>
  <c r="F245" i="5"/>
  <c r="D252" i="5"/>
  <c r="D15" i="5"/>
  <c r="B15" i="5"/>
  <c r="E108" i="5"/>
  <c r="A121" i="5"/>
  <c r="I304" i="5"/>
  <c r="B287" i="5"/>
  <c r="F335" i="5"/>
  <c r="F252" i="5"/>
  <c r="F191" i="5"/>
  <c r="E192" i="5"/>
  <c r="J257" i="5"/>
  <c r="F31" i="5"/>
  <c r="I101" i="5"/>
  <c r="C108" i="5"/>
  <c r="G335" i="5"/>
  <c r="H324" i="5"/>
  <c r="H315" i="5"/>
  <c r="H277" i="5"/>
  <c r="C199" i="5"/>
  <c r="K271" i="5"/>
  <c r="C133" i="5"/>
  <c r="J49" i="5"/>
  <c r="H65" i="5"/>
  <c r="C15" i="5"/>
  <c r="K171" i="5"/>
  <c r="D335" i="5"/>
  <c r="D326" i="5"/>
  <c r="C315" i="5"/>
  <c r="A253" i="5"/>
  <c r="I180" i="5"/>
  <c r="C180" i="5"/>
  <c r="E36" i="5"/>
  <c r="B170" i="5"/>
  <c r="E115" i="5"/>
  <c r="G268" i="5"/>
  <c r="K274" i="5"/>
  <c r="A311" i="5"/>
  <c r="I283" i="5"/>
  <c r="I175" i="5"/>
  <c r="B236" i="5"/>
  <c r="H238" i="5"/>
  <c r="B209" i="5"/>
  <c r="B106" i="5"/>
  <c r="E118" i="5"/>
  <c r="C331" i="5"/>
  <c r="D320" i="5"/>
  <c r="D311" i="5"/>
  <c r="D273" i="5"/>
  <c r="J194" i="5"/>
  <c r="B266" i="5"/>
  <c r="J128" i="5"/>
  <c r="C36" i="5"/>
  <c r="J75" i="5"/>
  <c r="C31" i="5"/>
  <c r="A140" i="5"/>
  <c r="K343" i="5"/>
  <c r="K334" i="5"/>
  <c r="D300" i="5"/>
  <c r="D227" i="5"/>
  <c r="K158" i="5"/>
  <c r="E158" i="5"/>
  <c r="H33" i="5"/>
  <c r="B16" i="5"/>
  <c r="E145" i="5"/>
  <c r="J84" i="5"/>
  <c r="F289" i="5"/>
  <c r="E263" i="5"/>
  <c r="F334" i="5"/>
  <c r="B221" i="5"/>
  <c r="C144" i="5"/>
  <c r="B207" i="5"/>
  <c r="H224" i="5"/>
  <c r="K42" i="5"/>
  <c r="J30" i="5"/>
  <c r="H139" i="5"/>
  <c r="H132" i="5"/>
  <c r="B344" i="5"/>
  <c r="F257" i="5"/>
  <c r="A324" i="5"/>
  <c r="D246" i="5"/>
  <c r="D158" i="5"/>
  <c r="H218" i="5"/>
  <c r="K37" i="5"/>
  <c r="D100" i="5"/>
  <c r="G112" i="5"/>
  <c r="A337" i="5"/>
  <c r="A330" i="5"/>
  <c r="B317" i="5"/>
  <c r="G279" i="5"/>
  <c r="H200" i="5"/>
  <c r="I273" i="5"/>
  <c r="H134" i="5"/>
  <c r="D42" i="5"/>
  <c r="A125" i="5"/>
  <c r="B70" i="5"/>
  <c r="E319" i="5"/>
  <c r="B331" i="5"/>
  <c r="J322" i="5"/>
  <c r="E254" i="5"/>
  <c r="G236" i="5"/>
  <c r="A244" i="5"/>
  <c r="F263" i="5"/>
  <c r="B23" i="5"/>
  <c r="K88" i="5"/>
  <c r="I38" i="5"/>
  <c r="I168" i="5"/>
  <c r="F342" i="5"/>
  <c r="F333" i="5"/>
  <c r="J298" i="5"/>
  <c r="B225" i="5"/>
  <c r="F157" i="5"/>
  <c r="K156" i="5"/>
  <c r="C32" i="5"/>
  <c r="F119" i="5"/>
  <c r="G64" i="5"/>
  <c r="G354" i="5"/>
  <c r="C313" i="5"/>
  <c r="G327" i="5"/>
  <c r="E286" i="5"/>
  <c r="K186" i="5"/>
  <c r="J251" i="5"/>
  <c r="H182" i="5"/>
  <c r="C185" i="5"/>
  <c r="B215" i="5"/>
  <c r="H78" i="5"/>
  <c r="H111" i="5"/>
  <c r="I289" i="5"/>
  <c r="F275" i="5"/>
  <c r="J328" i="5"/>
  <c r="A273" i="5"/>
  <c r="H198" i="5"/>
  <c r="I201" i="5"/>
  <c r="G218" i="5"/>
  <c r="B80" i="5"/>
  <c r="D107" i="5"/>
  <c r="D288" i="5"/>
  <c r="A274" i="5"/>
  <c r="E327" i="5"/>
  <c r="G271" i="5"/>
  <c r="C197" i="5"/>
  <c r="D200" i="5"/>
  <c r="I216" i="5"/>
  <c r="J16" i="5"/>
  <c r="H168" i="5"/>
  <c r="B108" i="5"/>
  <c r="J275" i="5"/>
  <c r="I285" i="5"/>
  <c r="D318" i="5"/>
  <c r="G252" i="5"/>
  <c r="A183" i="5"/>
  <c r="E243" i="5"/>
  <c r="E201" i="5"/>
  <c r="K38" i="5"/>
  <c r="I59" i="5"/>
  <c r="K86" i="5"/>
  <c r="G307" i="5"/>
  <c r="G290" i="5"/>
  <c r="D342" i="5"/>
  <c r="E350" i="5"/>
  <c r="B274" i="5"/>
  <c r="A135" i="5"/>
  <c r="E195" i="5"/>
  <c r="B36" i="5"/>
  <c r="J72" i="5"/>
  <c r="J105" i="5"/>
  <c r="G295" i="5"/>
  <c r="K283" i="5"/>
  <c r="H334" i="5"/>
  <c r="A279" i="5"/>
  <c r="F204" i="5"/>
  <c r="G207" i="5"/>
  <c r="C226" i="5"/>
  <c r="K14" i="5"/>
  <c r="G97" i="5"/>
  <c r="I124" i="5"/>
  <c r="I294" i="5"/>
  <c r="G256" i="5"/>
  <c r="E340" i="5"/>
  <c r="B254" i="5"/>
  <c r="G180" i="5"/>
  <c r="F243" i="5"/>
  <c r="D199" i="5"/>
  <c r="I15" i="5"/>
  <c r="C82" i="5"/>
  <c r="C83" i="5"/>
  <c r="B312" i="5"/>
  <c r="A301" i="5"/>
  <c r="G315" i="5"/>
  <c r="B247" i="5"/>
  <c r="D229" i="5"/>
  <c r="G234" i="5"/>
  <c r="C248" i="5"/>
  <c r="F36" i="5"/>
  <c r="E81" i="5"/>
  <c r="J87" i="5"/>
  <c r="D331" i="5"/>
  <c r="E320" i="5"/>
  <c r="E311" i="5"/>
  <c r="C294" i="5"/>
  <c r="E225" i="5"/>
  <c r="F248" i="5"/>
  <c r="E159" i="5"/>
  <c r="K161" i="5"/>
  <c r="J191" i="5"/>
  <c r="G32" i="5"/>
  <c r="K90" i="5"/>
  <c r="G103" i="5"/>
  <c r="C322" i="5"/>
  <c r="F311" i="5"/>
  <c r="E302" i="5"/>
  <c r="K269" i="5"/>
  <c r="K208" i="5"/>
  <c r="J209" i="5"/>
  <c r="H250" i="5"/>
  <c r="G33" i="5"/>
  <c r="E122" i="5"/>
  <c r="F67" i="5"/>
  <c r="J345" i="5"/>
  <c r="F304" i="5"/>
  <c r="D329" i="5"/>
  <c r="E338" i="5"/>
  <c r="K239" i="5"/>
  <c r="G277" i="5"/>
  <c r="K173" i="5"/>
  <c r="H44" i="5"/>
  <c r="A99" i="5"/>
  <c r="E120" i="5"/>
  <c r="K312" i="5"/>
  <c r="I266" i="5"/>
  <c r="G350" i="5"/>
  <c r="D264" i="5"/>
  <c r="K189" i="5"/>
  <c r="A193" i="5"/>
  <c r="F209" i="5"/>
  <c r="K25" i="5"/>
  <c r="A72" i="5"/>
  <c r="J78" i="5"/>
  <c r="E39" i="5"/>
  <c r="J98" i="5"/>
  <c r="D105" i="5"/>
  <c r="D344" i="5"/>
  <c r="K302" i="5"/>
  <c r="E324" i="5"/>
  <c r="I302" i="5"/>
  <c r="K207" i="5"/>
  <c r="J303" i="5"/>
  <c r="B96" i="5"/>
  <c r="A47" i="5"/>
  <c r="C296" i="5"/>
  <c r="A258" i="5"/>
  <c r="J341" i="5"/>
  <c r="G255" i="5"/>
  <c r="A182" i="5"/>
  <c r="K244" i="5"/>
  <c r="I200" i="5"/>
  <c r="F38" i="5"/>
  <c r="J120" i="5"/>
  <c r="K65" i="5"/>
  <c r="F303" i="5"/>
  <c r="F276" i="5"/>
  <c r="G347" i="5"/>
  <c r="C234" i="5"/>
  <c r="D157" i="5"/>
  <c r="C220" i="5"/>
  <c r="I237" i="5"/>
  <c r="J23" i="5"/>
  <c r="F105" i="5"/>
  <c r="F106" i="5"/>
  <c r="D319" i="5"/>
  <c r="H301" i="5"/>
  <c r="C299" i="5"/>
  <c r="A267" i="5"/>
  <c r="A206" i="5"/>
  <c r="K206" i="5"/>
  <c r="B311" i="5"/>
  <c r="G28" i="5"/>
  <c r="H104" i="5"/>
  <c r="B111" i="5"/>
  <c r="F338" i="5"/>
  <c r="J335" i="5"/>
  <c r="G318" i="5"/>
  <c r="F282" i="5"/>
  <c r="B202" i="5"/>
  <c r="G275" i="5"/>
  <c r="B136" i="5"/>
  <c r="H138" i="5"/>
  <c r="B228" i="5"/>
  <c r="J42" i="5"/>
  <c r="C125" i="5"/>
  <c r="B76" i="5"/>
  <c r="C298" i="5"/>
  <c r="B272" i="5"/>
  <c r="C343" i="5"/>
  <c r="J229" i="5"/>
  <c r="K152" i="5"/>
  <c r="J215" i="5"/>
  <c r="E233" i="5"/>
  <c r="B45" i="5"/>
  <c r="F126" i="5"/>
  <c r="I71" i="5"/>
  <c r="I296" i="5"/>
  <c r="H270" i="5"/>
  <c r="I341" i="5"/>
  <c r="E228" i="5"/>
  <c r="F151" i="5"/>
  <c r="E214" i="5"/>
  <c r="K231" i="5"/>
  <c r="A18" i="5"/>
  <c r="D111" i="5"/>
  <c r="D112" i="5"/>
  <c r="F313" i="5"/>
  <c r="J295" i="5"/>
  <c r="E293" i="5"/>
  <c r="C261" i="5"/>
  <c r="C200" i="5"/>
  <c r="B201" i="5"/>
  <c r="D275" i="5"/>
  <c r="H30" i="5"/>
  <c r="C87" i="5"/>
  <c r="I348" i="5"/>
  <c r="I282" i="5"/>
  <c r="D330" i="5"/>
  <c r="F274" i="5"/>
  <c r="B200" i="5"/>
  <c r="C203" i="5"/>
  <c r="E220" i="5"/>
  <c r="E267" i="5"/>
  <c r="K66" i="5"/>
  <c r="A162" i="5"/>
  <c r="F133" i="5"/>
  <c r="C154" i="5"/>
  <c r="J34" i="5"/>
  <c r="A78" i="5"/>
  <c r="F219" i="5"/>
  <c r="F127" i="5"/>
  <c r="H103" i="5"/>
  <c r="J80" i="5"/>
  <c r="K133" i="5"/>
  <c r="C152" i="5"/>
  <c r="B141" i="5"/>
  <c r="G31" i="5"/>
  <c r="I209" i="5"/>
  <c r="E178" i="5"/>
  <c r="B105" i="5"/>
  <c r="F76" i="5"/>
  <c r="D138" i="5"/>
  <c r="I279" i="5"/>
  <c r="I238" i="5"/>
  <c r="A58" i="5"/>
  <c r="D117" i="5"/>
  <c r="K245" i="5"/>
  <c r="E78" i="5"/>
  <c r="F70" i="5"/>
  <c r="E219" i="5"/>
  <c r="K129" i="5"/>
  <c r="E133" i="5"/>
  <c r="C138" i="5"/>
  <c r="B30" i="5"/>
  <c r="A217" i="5"/>
  <c r="H185" i="5"/>
  <c r="C107" i="5"/>
  <c r="I104" i="5"/>
  <c r="A130" i="5"/>
  <c r="E272" i="5"/>
  <c r="C69" i="5"/>
  <c r="E51" i="5"/>
  <c r="I274" i="5"/>
  <c r="K247" i="5"/>
  <c r="F169" i="5"/>
  <c r="G79" i="5"/>
  <c r="D166" i="5"/>
  <c r="G40" i="5"/>
  <c r="G44" i="5"/>
  <c r="D46" i="5"/>
  <c r="C179" i="5"/>
  <c r="C79" i="5"/>
  <c r="I93" i="5"/>
  <c r="H156" i="5"/>
  <c r="I193" i="5"/>
  <c r="K45" i="5"/>
  <c r="D95" i="5"/>
  <c r="F325" i="5"/>
  <c r="K276" i="5"/>
  <c r="F337" i="5"/>
  <c r="C251" i="5"/>
  <c r="H177" i="5"/>
  <c r="G240" i="5"/>
  <c r="I205" i="5"/>
  <c r="K262" i="5"/>
  <c r="E105" i="5"/>
  <c r="D185" i="5"/>
  <c r="I156" i="5"/>
  <c r="D168" i="5"/>
  <c r="H128" i="5"/>
  <c r="H147" i="5"/>
  <c r="F213" i="5"/>
  <c r="A243" i="5"/>
  <c r="E110" i="5"/>
  <c r="D108" i="5"/>
  <c r="E187" i="5"/>
  <c r="I100" i="5"/>
  <c r="B72" i="5"/>
  <c r="J167" i="5"/>
  <c r="D139" i="5"/>
  <c r="H135" i="5"/>
  <c r="A29" i="5"/>
  <c r="C72" i="5"/>
  <c r="D225" i="5"/>
  <c r="D133" i="5"/>
  <c r="J97" i="5"/>
  <c r="A75" i="5"/>
  <c r="I170" i="5"/>
  <c r="J86" i="5"/>
  <c r="G78" i="5"/>
  <c r="E150" i="5"/>
  <c r="G183" i="5"/>
  <c r="I111" i="5"/>
  <c r="B50" i="5"/>
  <c r="H89" i="5"/>
  <c r="J207" i="5"/>
  <c r="K177" i="5"/>
  <c r="D115" i="5"/>
  <c r="F92" i="5"/>
  <c r="A184" i="5"/>
  <c r="I167" i="5"/>
  <c r="A122" i="5"/>
  <c r="D106" i="5"/>
  <c r="G353" i="5"/>
  <c r="F226" i="5"/>
  <c r="C90" i="5"/>
  <c r="J134" i="5"/>
  <c r="H228" i="5"/>
  <c r="B93" i="5"/>
  <c r="H118" i="5"/>
  <c r="B253" i="5"/>
  <c r="A146" i="5"/>
  <c r="D59" i="5"/>
  <c r="K135" i="5"/>
  <c r="K229" i="5"/>
  <c r="G128" i="5"/>
  <c r="K15" i="5"/>
  <c r="F55" i="5"/>
  <c r="F316" i="5"/>
  <c r="H253" i="5"/>
  <c r="H344" i="5"/>
  <c r="D231" i="5"/>
  <c r="E154" i="5"/>
  <c r="D217" i="5"/>
  <c r="J219" i="5"/>
  <c r="E257" i="5"/>
  <c r="B82" i="5"/>
  <c r="I207" i="5"/>
  <c r="A180" i="5"/>
  <c r="A145" i="5"/>
  <c r="J181" i="5"/>
  <c r="A42" i="5"/>
  <c r="E205" i="5"/>
  <c r="A174" i="5"/>
  <c r="J118" i="5"/>
  <c r="E116" i="5"/>
  <c r="F180" i="5"/>
  <c r="A236" i="5"/>
  <c r="I141" i="5"/>
  <c r="I128" i="5"/>
  <c r="G194" i="5"/>
  <c r="B224" i="5"/>
  <c r="D120" i="5"/>
  <c r="A112" i="5"/>
  <c r="J184" i="5"/>
  <c r="C256" i="5"/>
  <c r="J182" i="5"/>
  <c r="I21" i="5"/>
  <c r="I70" i="5"/>
  <c r="E189" i="5"/>
  <c r="E42" i="5"/>
  <c r="D85" i="5"/>
  <c r="E206" i="5"/>
  <c r="F176" i="5"/>
  <c r="A87" i="5"/>
  <c r="D140" i="5"/>
  <c r="A136" i="5"/>
  <c r="J201" i="5"/>
  <c r="B162" i="5"/>
  <c r="G341" i="5"/>
  <c r="K266" i="5"/>
  <c r="D161" i="5"/>
  <c r="H37" i="5"/>
  <c r="K110" i="5"/>
  <c r="J270" i="5"/>
  <c r="B123" i="5"/>
  <c r="H107" i="5"/>
  <c r="B155" i="5"/>
  <c r="I176" i="5"/>
  <c r="D81" i="5"/>
  <c r="H101" i="5"/>
  <c r="E168" i="5"/>
  <c r="K63" i="5"/>
  <c r="I68" i="5"/>
  <c r="F231" i="5"/>
  <c r="G110" i="5"/>
  <c r="D183" i="5"/>
  <c r="E171" i="5"/>
  <c r="I231" i="5"/>
  <c r="I189" i="5"/>
  <c r="A27" i="5"/>
  <c r="E71" i="5"/>
  <c r="G98" i="5"/>
  <c r="G304" i="5"/>
  <c r="K278" i="5"/>
  <c r="K341" i="5"/>
  <c r="C301" i="5"/>
  <c r="I211" i="5"/>
  <c r="J214" i="5"/>
  <c r="C26" i="5"/>
  <c r="I36" i="5"/>
  <c r="E119" i="5"/>
  <c r="D70" i="5"/>
  <c r="D309" i="5"/>
  <c r="K277" i="5"/>
  <c r="A349" i="5"/>
  <c r="H235" i="5"/>
  <c r="I158" i="5"/>
  <c r="H221" i="5"/>
  <c r="C239" i="5"/>
  <c r="J41" i="5"/>
  <c r="A51" i="5"/>
  <c r="C78" i="5"/>
  <c r="F310" i="5"/>
  <c r="F293" i="5"/>
  <c r="J283" i="5"/>
  <c r="J269" i="5"/>
  <c r="D226" i="5"/>
  <c r="E229" i="5"/>
  <c r="K251" i="5"/>
  <c r="E18" i="5"/>
  <c r="E97" i="5"/>
  <c r="A98" i="5"/>
  <c r="G351" i="5"/>
  <c r="C310" i="5"/>
  <c r="C352" i="5"/>
  <c r="A284" i="5"/>
  <c r="C215" i="5"/>
  <c r="C270" i="5"/>
  <c r="C149" i="5"/>
  <c r="D33" i="5"/>
  <c r="C96" i="5"/>
  <c r="D60" i="5"/>
  <c r="E347" i="5"/>
  <c r="E329" i="5"/>
  <c r="J350" i="5"/>
  <c r="K352" i="5"/>
  <c r="C210" i="5"/>
  <c r="E144" i="5"/>
  <c r="J143" i="5"/>
  <c r="E146" i="5"/>
  <c r="E238" i="5"/>
  <c r="F37" i="5"/>
  <c r="E55" i="5"/>
  <c r="E88" i="5"/>
  <c r="B306" i="5"/>
  <c r="B289" i="5"/>
  <c r="B352" i="5"/>
  <c r="F265" i="5"/>
  <c r="K221" i="5"/>
  <c r="A225" i="5"/>
  <c r="B246" i="5"/>
  <c r="E61" i="5"/>
  <c r="G107" i="5"/>
  <c r="A114" i="5"/>
  <c r="I329" i="5"/>
  <c r="J318" i="5"/>
  <c r="J309" i="5"/>
  <c r="J271" i="5"/>
  <c r="E193" i="5"/>
  <c r="K263" i="5"/>
  <c r="E127" i="5"/>
  <c r="J40" i="5"/>
  <c r="F71" i="5"/>
  <c r="A21" i="5"/>
  <c r="E181" i="5"/>
  <c r="F329" i="5"/>
  <c r="K350" i="5"/>
  <c r="E309" i="5"/>
  <c r="B257" i="5"/>
  <c r="K174" i="5"/>
  <c r="E174" i="5"/>
  <c r="F42" i="5"/>
  <c r="G42" i="5"/>
  <c r="H113" i="5"/>
  <c r="I58" i="5"/>
  <c r="K329" i="5"/>
  <c r="A319" i="5"/>
  <c r="E333" i="5"/>
  <c r="C292" i="5"/>
  <c r="I192" i="5"/>
  <c r="K264" i="5"/>
  <c r="E126" i="5"/>
  <c r="D43" i="5"/>
  <c r="G49" i="5"/>
  <c r="G82" i="5"/>
  <c r="K311" i="5"/>
  <c r="K294" i="5"/>
  <c r="D285" i="5"/>
  <c r="D271" i="5"/>
  <c r="I227" i="5"/>
  <c r="J230" i="5"/>
  <c r="I253" i="5"/>
  <c r="H34" i="5"/>
  <c r="D74" i="5"/>
  <c r="F101" i="5"/>
  <c r="B294" i="5"/>
  <c r="A281" i="5"/>
  <c r="C333" i="5"/>
  <c r="E277" i="5"/>
  <c r="A203" i="5"/>
  <c r="B206" i="5"/>
  <c r="E224" i="5"/>
  <c r="D39" i="5"/>
  <c r="H120" i="5"/>
  <c r="D121" i="5"/>
  <c r="D328" i="5"/>
  <c r="E317" i="5"/>
  <c r="E308" i="5"/>
  <c r="E270" i="5"/>
  <c r="K191" i="5"/>
  <c r="B262" i="5"/>
  <c r="K125" i="5"/>
  <c r="I31" i="5"/>
  <c r="F89" i="5"/>
  <c r="D96" i="5"/>
  <c r="F343" i="5"/>
  <c r="K287" i="5"/>
  <c r="G348" i="5"/>
  <c r="C277" i="5"/>
  <c r="C216" i="5"/>
  <c r="B217" i="5"/>
  <c r="C265" i="5"/>
  <c r="J153" i="5"/>
  <c r="A32" i="5"/>
  <c r="J14" i="5"/>
  <c r="G171" i="5"/>
  <c r="H122" i="5"/>
  <c r="D354" i="5"/>
  <c r="H267" i="5"/>
  <c r="I303" i="5"/>
  <c r="H266" i="5"/>
  <c r="F168" i="5"/>
  <c r="J228" i="5"/>
  <c r="F253" i="5"/>
  <c r="D16" i="5"/>
  <c r="A173" i="5"/>
  <c r="D118" i="5"/>
  <c r="J352" i="5"/>
  <c r="C266" i="5"/>
  <c r="D302" i="5"/>
  <c r="I263" i="5"/>
  <c r="A167" i="5"/>
  <c r="E227" i="5"/>
  <c r="H247" i="5"/>
  <c r="I94" i="5"/>
  <c r="I45" i="5"/>
  <c r="H354" i="5"/>
  <c r="H336" i="5"/>
  <c r="H327" i="5"/>
  <c r="A293" i="5"/>
  <c r="F217" i="5"/>
  <c r="H151" i="5"/>
  <c r="B151" i="5"/>
  <c r="E26" i="5"/>
  <c r="A43" i="5"/>
  <c r="H152" i="5"/>
  <c r="K97" i="5"/>
  <c r="J300" i="5"/>
  <c r="D250" i="5"/>
  <c r="C317" i="5"/>
  <c r="A300" i="5"/>
  <c r="C231" i="5"/>
  <c r="B260" i="5"/>
  <c r="I19" i="5"/>
  <c r="I165" i="5"/>
  <c r="J116" i="5"/>
  <c r="B267" i="5"/>
  <c r="F273" i="5"/>
  <c r="G309" i="5"/>
  <c r="D278" i="5"/>
  <c r="D174" i="5"/>
  <c r="H234" i="5"/>
  <c r="H192" i="5"/>
  <c r="I33" i="5"/>
  <c r="J149" i="5"/>
  <c r="G135" i="5"/>
  <c r="E335" i="5"/>
  <c r="F280" i="5"/>
  <c r="D315" i="5"/>
  <c r="K270" i="5"/>
  <c r="G149" i="5"/>
  <c r="K209" i="5"/>
  <c r="C93" i="5"/>
  <c r="G114" i="5"/>
  <c r="J286" i="5"/>
  <c r="G272" i="5"/>
  <c r="K325" i="5"/>
  <c r="B270" i="5"/>
  <c r="I195" i="5"/>
  <c r="J198" i="5"/>
  <c r="D215" i="5"/>
  <c r="G16" i="5"/>
  <c r="I112" i="5"/>
  <c r="G119" i="5"/>
  <c r="C306" i="5"/>
  <c r="G288" i="5"/>
  <c r="B286" i="5"/>
  <c r="K253" i="5"/>
  <c r="K192" i="5"/>
  <c r="J193" i="5"/>
  <c r="I260" i="5"/>
  <c r="G130" i="5"/>
  <c r="B21" i="5"/>
  <c r="D19" i="5"/>
  <c r="K101" i="5"/>
  <c r="J52" i="5"/>
  <c r="E290" i="5"/>
  <c r="C252" i="5"/>
  <c r="A336" i="5"/>
  <c r="I249" i="5"/>
  <c r="C176" i="5"/>
  <c r="B239" i="5"/>
  <c r="K194" i="5"/>
  <c r="E92" i="5"/>
  <c r="C99" i="5"/>
  <c r="I320" i="5"/>
  <c r="H305" i="5"/>
  <c r="H300" i="5"/>
  <c r="F268" i="5"/>
  <c r="F207" i="5"/>
  <c r="E208" i="5"/>
  <c r="I247" i="5"/>
  <c r="C35" i="5"/>
  <c r="H155" i="5"/>
  <c r="C131" i="5"/>
  <c r="G345" i="5"/>
  <c r="K258" i="5"/>
  <c r="F327" i="5"/>
  <c r="C249" i="5"/>
  <c r="I159" i="5"/>
  <c r="B220" i="5"/>
  <c r="E15" i="5"/>
  <c r="A83" i="5"/>
  <c r="C110" i="5"/>
  <c r="I57" i="5"/>
  <c r="B48" i="5"/>
  <c r="D75" i="5"/>
  <c r="C319" i="5"/>
  <c r="F302" i="5"/>
  <c r="G292" i="5"/>
  <c r="G278" i="5"/>
  <c r="A235" i="5"/>
  <c r="B238" i="5"/>
  <c r="F41" i="5"/>
  <c r="D32" i="5"/>
  <c r="A144" i="5"/>
  <c r="K139" i="5"/>
  <c r="J336" i="5"/>
  <c r="E283" i="5"/>
  <c r="I316" i="5"/>
  <c r="J273" i="5"/>
  <c r="A151" i="5"/>
  <c r="E211" i="5"/>
  <c r="A40" i="5"/>
  <c r="I46" i="5"/>
  <c r="K54" i="5"/>
  <c r="J158" i="5"/>
  <c r="G342" i="5"/>
  <c r="G333" i="5"/>
  <c r="F322" i="5"/>
  <c r="F262" i="5"/>
  <c r="D126" i="5"/>
  <c r="G188" i="5"/>
  <c r="B29" i="5"/>
  <c r="A28" i="5"/>
  <c r="F116" i="5"/>
  <c r="I55" i="5"/>
  <c r="F287" i="5"/>
  <c r="D249" i="5"/>
  <c r="B333" i="5"/>
  <c r="J246" i="5"/>
  <c r="D173" i="5"/>
  <c r="C236" i="5"/>
  <c r="A192" i="5"/>
  <c r="B46" i="5"/>
  <c r="K53" i="5"/>
  <c r="B81" i="5"/>
  <c r="E313" i="5"/>
  <c r="E296" i="5"/>
  <c r="I286" i="5"/>
  <c r="I272" i="5"/>
  <c r="C229" i="5"/>
  <c r="D232" i="5"/>
  <c r="K255" i="5"/>
  <c r="B293" i="5"/>
  <c r="J45" i="5"/>
  <c r="B51" i="5"/>
  <c r="A169" i="5"/>
  <c r="C338" i="5"/>
  <c r="C329" i="5"/>
  <c r="B318" i="5"/>
  <c r="H256" i="5"/>
  <c r="H183" i="5"/>
  <c r="B183" i="5"/>
  <c r="G39" i="5"/>
  <c r="G52" i="5"/>
  <c r="H164" i="5"/>
  <c r="I336" i="5"/>
  <c r="I327" i="5"/>
  <c r="H316" i="5"/>
  <c r="J254" i="5"/>
  <c r="C182" i="5"/>
  <c r="H181" i="5"/>
  <c r="K34" i="5"/>
  <c r="J33" i="5"/>
  <c r="D122" i="5"/>
  <c r="G61" i="5"/>
  <c r="H281" i="5"/>
  <c r="I306" i="5"/>
  <c r="D327" i="5"/>
  <c r="E244" i="5"/>
  <c r="F167" i="5"/>
  <c r="E230" i="5"/>
  <c r="D255" i="5"/>
  <c r="A34" i="5"/>
  <c r="E129" i="5"/>
  <c r="K348" i="5"/>
  <c r="B269" i="5"/>
  <c r="C305" i="5"/>
  <c r="G269" i="5"/>
  <c r="K169" i="5"/>
  <c r="D230" i="5"/>
  <c r="J232" i="5"/>
  <c r="D203" i="5"/>
  <c r="K96" i="5"/>
  <c r="I194" i="5"/>
  <c r="J164" i="5"/>
  <c r="H98" i="5"/>
  <c r="K151" i="5"/>
  <c r="B186" i="5"/>
  <c r="C190" i="5"/>
  <c r="I219" i="5"/>
  <c r="D72" i="5"/>
  <c r="J69" i="5"/>
  <c r="K164" i="5"/>
  <c r="A124" i="5"/>
  <c r="E95" i="5"/>
  <c r="D175" i="5"/>
  <c r="I245" i="5"/>
  <c r="B211" i="5"/>
  <c r="I73" i="5"/>
  <c r="F65" i="5"/>
  <c r="D169" i="5"/>
  <c r="I140" i="5"/>
  <c r="K131" i="5"/>
  <c r="I152" i="5"/>
  <c r="F34" i="5"/>
  <c r="K214" i="5"/>
  <c r="H42" i="5"/>
  <c r="C55" i="5"/>
  <c r="D192" i="5"/>
  <c r="K160" i="5"/>
  <c r="G122" i="5"/>
  <c r="K93" i="5"/>
  <c r="G182" i="5"/>
  <c r="C255" i="5"/>
  <c r="E218" i="5"/>
  <c r="F75" i="5"/>
  <c r="E73" i="5"/>
  <c r="D222" i="5"/>
  <c r="J169" i="5"/>
  <c r="K175" i="5"/>
  <c r="H299" i="5"/>
  <c r="B292" i="5"/>
  <c r="J132" i="5"/>
  <c r="K203" i="5"/>
  <c r="D82" i="5"/>
  <c r="A230" i="5"/>
  <c r="F197" i="5"/>
  <c r="G213" i="5"/>
  <c r="I99" i="5"/>
  <c r="J179" i="5"/>
  <c r="D186" i="5"/>
  <c r="K165" i="5"/>
  <c r="I82" i="5"/>
  <c r="E131" i="5"/>
  <c r="F137" i="5"/>
  <c r="I184" i="5"/>
  <c r="C291" i="5"/>
  <c r="K353" i="5"/>
  <c r="E312" i="5"/>
  <c r="B265" i="5"/>
  <c r="H146" i="5"/>
  <c r="A207" i="5"/>
  <c r="G209" i="5"/>
  <c r="I241" i="5"/>
  <c r="H73" i="5"/>
  <c r="A218" i="5"/>
  <c r="A126" i="5"/>
  <c r="E75" i="5"/>
  <c r="J117" i="5"/>
  <c r="A179" i="5"/>
  <c r="C324" i="5"/>
  <c r="I132" i="5"/>
  <c r="G27" i="5"/>
  <c r="G76" i="5"/>
  <c r="C244" i="5"/>
  <c r="E69" i="5"/>
  <c r="J122" i="5"/>
  <c r="G200" i="5"/>
  <c r="H170" i="5"/>
  <c r="J92" i="5"/>
  <c r="B146" i="5"/>
  <c r="C130" i="5"/>
  <c r="A196" i="5"/>
  <c r="G225" i="5"/>
  <c r="F66" i="5"/>
  <c r="A64" i="5"/>
  <c r="K220" i="5"/>
  <c r="B55" i="5"/>
  <c r="G108" i="5"/>
  <c r="H242" i="5"/>
  <c r="C153" i="5"/>
  <c r="D110" i="5"/>
  <c r="G163" i="5"/>
  <c r="F174" i="5"/>
  <c r="D240" i="5"/>
  <c r="B208" i="5"/>
  <c r="K83" i="5"/>
  <c r="F81" i="5"/>
  <c r="D153" i="5"/>
  <c r="C165" i="5"/>
  <c r="K119" i="5"/>
  <c r="E70" i="5"/>
  <c r="A306" i="5"/>
  <c r="D130" i="5"/>
  <c r="I138" i="5"/>
  <c r="J47" i="5"/>
  <c r="K134" i="5"/>
  <c r="E172" i="5"/>
  <c r="D76" i="5"/>
  <c r="A97" i="5"/>
  <c r="G247" i="5"/>
  <c r="F47" i="5"/>
  <c r="A62" i="5"/>
  <c r="I63" i="5"/>
  <c r="H227" i="5"/>
  <c r="H96" i="5"/>
  <c r="G118" i="5"/>
  <c r="J291" i="5"/>
  <c r="H330" i="5"/>
  <c r="G319" i="5"/>
  <c r="J258" i="5"/>
  <c r="B185" i="5"/>
  <c r="G184" i="5"/>
  <c r="F187" i="5"/>
  <c r="F218" i="5"/>
  <c r="E50" i="5"/>
  <c r="D241" i="5"/>
  <c r="D149" i="5"/>
  <c r="B52" i="5"/>
  <c r="G105" i="5"/>
  <c r="K170" i="5"/>
  <c r="D243" i="5"/>
  <c r="I206" i="5"/>
  <c r="B87" i="5"/>
  <c r="A85" i="5"/>
  <c r="H210" i="5"/>
  <c r="F77" i="5"/>
  <c r="J48" i="5"/>
  <c r="B160" i="5"/>
  <c r="K249" i="5"/>
  <c r="C202" i="5"/>
  <c r="G88" i="5"/>
  <c r="H80" i="5"/>
  <c r="A215" i="5"/>
  <c r="J187" i="5"/>
  <c r="G85" i="5"/>
  <c r="H144" i="5"/>
  <c r="H131" i="5"/>
  <c r="F247" i="5"/>
  <c r="C159" i="5"/>
  <c r="J238" i="5"/>
  <c r="H206" i="5"/>
  <c r="A76" i="5"/>
  <c r="E47" i="5"/>
  <c r="E167" i="5"/>
  <c r="F264" i="5"/>
  <c r="C88" i="5"/>
  <c r="C348" i="5"/>
  <c r="D196" i="5"/>
  <c r="G196" i="5"/>
  <c r="A231" i="5"/>
  <c r="H176" i="5"/>
  <c r="F196" i="5"/>
  <c r="H141" i="5"/>
  <c r="A152" i="5"/>
  <c r="C139" i="5"/>
  <c r="B125" i="5"/>
  <c r="J138" i="5"/>
  <c r="J323" i="5"/>
  <c r="F139" i="5"/>
  <c r="I14" i="5"/>
  <c r="D164" i="5"/>
  <c r="G109" i="5"/>
  <c r="E274" i="5"/>
  <c r="J282" i="5"/>
  <c r="J316" i="5"/>
  <c r="H249" i="5"/>
  <c r="G181" i="5"/>
  <c r="K241" i="5"/>
  <c r="K17" i="5"/>
  <c r="D45" i="5"/>
  <c r="H63" i="5"/>
  <c r="C163" i="5"/>
  <c r="A344" i="5"/>
  <c r="A335" i="5"/>
  <c r="K323" i="5"/>
  <c r="H264" i="5"/>
  <c r="I127" i="5"/>
  <c r="B188" i="5"/>
  <c r="F33" i="5"/>
  <c r="B40" i="5"/>
  <c r="K143" i="5"/>
  <c r="C89" i="5"/>
  <c r="D279" i="5"/>
  <c r="C253" i="5"/>
  <c r="B351" i="5"/>
  <c r="J285" i="5"/>
  <c r="A134" i="5"/>
  <c r="K196" i="5"/>
  <c r="F214" i="5"/>
  <c r="A49" i="5"/>
  <c r="H46" i="5"/>
  <c r="A68" i="5"/>
  <c r="F331" i="5"/>
  <c r="A350" i="5"/>
  <c r="J299" i="5"/>
  <c r="B300" i="5"/>
  <c r="D242" i="5"/>
  <c r="G245" i="5"/>
  <c r="E273" i="5"/>
  <c r="C66" i="5"/>
  <c r="A73" i="5"/>
  <c r="D322" i="5"/>
  <c r="D304" i="5"/>
  <c r="G328" i="5"/>
  <c r="D257" i="5"/>
  <c r="F239" i="5"/>
  <c r="H255" i="5"/>
  <c r="B275" i="5"/>
  <c r="B177" i="5"/>
  <c r="F25" i="5"/>
  <c r="F45" i="5"/>
  <c r="D148" i="5"/>
  <c r="E99" i="5"/>
  <c r="A295" i="5"/>
  <c r="J248" i="5"/>
  <c r="H333" i="5"/>
  <c r="A278" i="5"/>
  <c r="H129" i="5"/>
  <c r="G192" i="5"/>
  <c r="B210" i="5"/>
  <c r="I35" i="5"/>
  <c r="J56" i="5"/>
  <c r="A84" i="5"/>
  <c r="H304" i="5"/>
  <c r="H287" i="5"/>
  <c r="H350" i="5"/>
  <c r="A264" i="5"/>
  <c r="F220" i="5"/>
  <c r="G223" i="5"/>
  <c r="C254" i="5"/>
  <c r="C103" i="5"/>
  <c r="J103" i="5"/>
  <c r="I345" i="5"/>
  <c r="E304" i="5"/>
  <c r="K328" i="5"/>
  <c r="C328" i="5"/>
  <c r="E209" i="5"/>
  <c r="G258" i="5"/>
  <c r="E143" i="5"/>
  <c r="G58" i="5"/>
  <c r="D14" i="5"/>
  <c r="H83" i="5"/>
  <c r="F90" i="5"/>
  <c r="J304" i="5"/>
  <c r="I293" i="5"/>
  <c r="D308" i="5"/>
  <c r="J288" i="5"/>
  <c r="A222" i="5"/>
  <c r="I224" i="5"/>
  <c r="J38" i="5"/>
  <c r="H38" i="5"/>
  <c r="F142" i="5"/>
  <c r="G93" i="5"/>
  <c r="I280" i="5"/>
  <c r="H254" i="5"/>
  <c r="I325" i="5"/>
  <c r="H291" i="5"/>
  <c r="F135" i="5"/>
  <c r="E198" i="5"/>
  <c r="K215" i="5"/>
  <c r="D18" i="5"/>
  <c r="C167" i="5"/>
  <c r="F112" i="5"/>
  <c r="H265" i="5"/>
  <c r="A272" i="5"/>
  <c r="B308" i="5"/>
  <c r="E275" i="5"/>
  <c r="J172" i="5"/>
  <c r="C233" i="5"/>
  <c r="C191" i="5"/>
  <c r="H22" i="5"/>
  <c r="K69" i="5"/>
  <c r="D91" i="5"/>
  <c r="C303" i="5"/>
  <c r="C286" i="5"/>
  <c r="C349" i="5"/>
  <c r="G262" i="5"/>
  <c r="A219" i="5"/>
  <c r="B222" i="5"/>
  <c r="J245" i="5"/>
  <c r="F100" i="5"/>
  <c r="G45" i="5"/>
  <c r="H297" i="5"/>
  <c r="F259" i="5"/>
  <c r="D343" i="5"/>
  <c r="A257" i="5"/>
  <c r="F183" i="5"/>
  <c r="B249" i="5"/>
  <c r="A229" i="5"/>
  <c r="G274" i="5"/>
  <c r="J31" i="5"/>
  <c r="H97" i="5"/>
  <c r="G48" i="5"/>
  <c r="B340" i="5"/>
  <c r="E342" i="5"/>
  <c r="G343" i="5"/>
  <c r="J302" i="5"/>
  <c r="K202" i="5"/>
  <c r="A296" i="5"/>
  <c r="G136" i="5"/>
  <c r="B99" i="5"/>
  <c r="C44" i="5"/>
  <c r="H338" i="5"/>
  <c r="G336" i="5"/>
  <c r="B342" i="5"/>
  <c r="K300" i="5"/>
  <c r="F201" i="5"/>
  <c r="C290" i="5"/>
  <c r="B135" i="5"/>
  <c r="D17" i="5"/>
  <c r="I64" i="5"/>
  <c r="I65" i="5"/>
  <c r="J343" i="5"/>
  <c r="G311" i="5"/>
  <c r="G302" i="5"/>
  <c r="G264" i="5"/>
  <c r="G250" i="5"/>
  <c r="F254" i="5"/>
  <c r="G294" i="5"/>
  <c r="F27" i="5"/>
  <c r="I78" i="5"/>
  <c r="B34" i="5"/>
  <c r="D151" i="5"/>
  <c r="J346" i="5"/>
  <c r="E294" i="5"/>
  <c r="K291" i="5"/>
  <c r="I259" i="5"/>
  <c r="I198" i="5"/>
  <c r="H199" i="5"/>
  <c r="B19" i="5"/>
  <c r="J91" i="5"/>
  <c r="C63" i="5"/>
  <c r="K345" i="5"/>
  <c r="K327" i="5"/>
  <c r="E349" i="5"/>
  <c r="H329" i="5"/>
  <c r="I208" i="5"/>
  <c r="K142" i="5"/>
  <c r="E142" i="5"/>
  <c r="H17" i="5"/>
  <c r="G116" i="5"/>
  <c r="H61" i="5"/>
  <c r="H351" i="5"/>
  <c r="D310" i="5"/>
  <c r="G352" i="5"/>
  <c r="F283" i="5"/>
  <c r="G246" i="5"/>
  <c r="A246" i="5"/>
  <c r="I179" i="5"/>
  <c r="E45" i="5"/>
  <c r="E29" i="5"/>
  <c r="I136" i="5"/>
  <c r="G125" i="5"/>
  <c r="E351" i="5"/>
  <c r="I264" i="5"/>
  <c r="I350" i="5"/>
  <c r="J260" i="5"/>
  <c r="G165" i="5"/>
  <c r="K225" i="5"/>
  <c r="G244" i="5"/>
  <c r="D35" i="5"/>
  <c r="I123" i="5"/>
  <c r="J68" i="5"/>
  <c r="B315" i="5"/>
  <c r="B280" i="5"/>
  <c r="F350" i="5"/>
  <c r="B237" i="5"/>
  <c r="C160" i="5"/>
  <c r="B223" i="5"/>
  <c r="H225" i="5"/>
  <c r="A265" i="5"/>
  <c r="E38" i="5"/>
  <c r="D167" i="5"/>
  <c r="I145" i="5"/>
  <c r="A331" i="5"/>
  <c r="F352" i="5"/>
  <c r="K310" i="5"/>
  <c r="C262" i="5"/>
  <c r="C145" i="5"/>
  <c r="G205" i="5"/>
  <c r="A16" i="5"/>
  <c r="I20" i="5"/>
  <c r="E103" i="5"/>
  <c r="F48" i="5"/>
  <c r="K288" i="5"/>
  <c r="I250" i="5"/>
  <c r="G334" i="5"/>
  <c r="D248" i="5"/>
  <c r="I174" i="5"/>
  <c r="H237" i="5"/>
  <c r="F193" i="5"/>
  <c r="A118" i="5"/>
  <c r="D57" i="5"/>
  <c r="E331" i="5"/>
  <c r="F320" i="5"/>
  <c r="J334" i="5"/>
  <c r="H293" i="5"/>
  <c r="C194" i="5"/>
  <c r="I270" i="5"/>
  <c r="J127" i="5"/>
  <c r="C19" i="5"/>
  <c r="B178" i="5"/>
  <c r="C121" i="5"/>
  <c r="G62" i="5"/>
  <c r="A141" i="5"/>
  <c r="D86" i="5"/>
  <c r="A288" i="5"/>
  <c r="K261" i="5"/>
  <c r="A333" i="5"/>
  <c r="H219" i="5"/>
  <c r="I142" i="5"/>
  <c r="H205" i="5"/>
  <c r="B41" i="5"/>
  <c r="B115" i="5"/>
  <c r="A66" i="5"/>
  <c r="B353" i="5"/>
  <c r="I311" i="5"/>
  <c r="B326" i="5"/>
  <c r="K284" i="5"/>
  <c r="E252" i="5"/>
  <c r="K248" i="5"/>
  <c r="C181" i="5"/>
  <c r="H39" i="5"/>
  <c r="F78" i="5"/>
  <c r="K84" i="5"/>
  <c r="E328" i="5"/>
  <c r="F317" i="5"/>
  <c r="F308" i="5"/>
  <c r="D291" i="5"/>
  <c r="F222" i="5"/>
  <c r="I295" i="5"/>
  <c r="F156" i="5"/>
  <c r="J20" i="5"/>
  <c r="F62" i="5"/>
  <c r="C46" i="5"/>
  <c r="H148" i="5"/>
  <c r="B328" i="5"/>
  <c r="G349" i="5"/>
  <c r="A308" i="5"/>
  <c r="F315" i="5"/>
  <c r="D142" i="5"/>
  <c r="H202" i="5"/>
  <c r="K36" i="5"/>
  <c r="J146" i="5"/>
  <c r="B92" i="5"/>
  <c r="C282" i="5"/>
  <c r="B256" i="5"/>
  <c r="C327" i="5"/>
  <c r="F297" i="5"/>
  <c r="K136" i="5"/>
  <c r="J199" i="5"/>
  <c r="E202" i="5"/>
  <c r="F237" i="5"/>
  <c r="E35" i="5"/>
  <c r="J82" i="5"/>
  <c r="B95" i="5"/>
  <c r="F354" i="5"/>
  <c r="B313" i="5"/>
  <c r="B304" i="5"/>
  <c r="K286" i="5"/>
  <c r="B218" i="5"/>
  <c r="A276" i="5"/>
  <c r="B152" i="5"/>
  <c r="H25" i="5"/>
  <c r="D84" i="5"/>
  <c r="I90" i="5"/>
  <c r="A353" i="5"/>
  <c r="H311" i="5"/>
  <c r="H302" i="5"/>
  <c r="F285" i="5"/>
  <c r="H216" i="5"/>
  <c r="B273" i="5"/>
  <c r="H150" i="5"/>
  <c r="A15" i="5"/>
  <c r="C48" i="5"/>
  <c r="J57" i="5"/>
  <c r="F154" i="5"/>
  <c r="I352" i="5"/>
  <c r="I343" i="5"/>
  <c r="C302" i="5"/>
  <c r="D276" i="5"/>
  <c r="F136" i="5"/>
  <c r="J196" i="5"/>
  <c r="K18" i="5"/>
  <c r="J17" i="5"/>
  <c r="H93" i="5"/>
  <c r="I262" i="5"/>
  <c r="A345" i="5"/>
  <c r="G308" i="5"/>
  <c r="E204" i="5"/>
  <c r="J301" i="5"/>
  <c r="A138" i="5"/>
  <c r="G140" i="5"/>
  <c r="J170" i="5"/>
  <c r="B14" i="5"/>
  <c r="C227" i="5"/>
  <c r="A195" i="5"/>
  <c r="H87" i="5"/>
  <c r="A59" i="5"/>
  <c r="I155" i="5"/>
  <c r="K289" i="5"/>
  <c r="F249" i="5"/>
  <c r="J58" i="5"/>
  <c r="J99" i="5"/>
  <c r="D209" i="5"/>
  <c r="H92" i="5"/>
  <c r="E84" i="5"/>
  <c r="G144" i="5"/>
  <c r="I177" i="5"/>
  <c r="E123" i="5"/>
  <c r="I61" i="5"/>
  <c r="F95" i="5"/>
  <c r="A202" i="5"/>
  <c r="B172" i="5"/>
  <c r="B121" i="5"/>
  <c r="D98" i="5"/>
  <c r="C178" i="5"/>
  <c r="F144" i="5"/>
  <c r="J112" i="5"/>
  <c r="J157" i="5"/>
  <c r="J225" i="5"/>
  <c r="H193" i="5"/>
  <c r="C91" i="5"/>
  <c r="K82" i="5"/>
  <c r="J151" i="5"/>
  <c r="A185" i="5"/>
  <c r="E149" i="5"/>
  <c r="H47" i="5"/>
  <c r="A61" i="5"/>
  <c r="K235" i="5"/>
  <c r="H171" i="5"/>
  <c r="I226" i="5"/>
  <c r="D317" i="5"/>
  <c r="E223" i="5"/>
  <c r="F229" i="5"/>
  <c r="G141" i="5"/>
  <c r="F18" i="5"/>
  <c r="G95" i="5"/>
  <c r="I288" i="5"/>
  <c r="D253" i="5"/>
  <c r="I118" i="5"/>
  <c r="D62" i="5"/>
  <c r="E136" i="5"/>
  <c r="E200" i="5"/>
  <c r="C106" i="5"/>
  <c r="H172" i="5"/>
  <c r="C195" i="5"/>
  <c r="B102" i="5"/>
  <c r="F332" i="5"/>
  <c r="K340" i="5"/>
  <c r="G280" i="5"/>
  <c r="J242" i="5"/>
  <c r="D290" i="5"/>
  <c r="J176" i="5"/>
  <c r="E179" i="5"/>
  <c r="G147" i="5"/>
  <c r="H184" i="5"/>
  <c r="I188" i="5"/>
  <c r="D218" i="5"/>
  <c r="E64" i="5"/>
  <c r="F86" i="5"/>
  <c r="C209" i="5"/>
  <c r="F181" i="5"/>
  <c r="E91" i="5"/>
  <c r="F150" i="5"/>
  <c r="J125" i="5"/>
  <c r="I255" i="5"/>
  <c r="A53" i="5"/>
  <c r="B91" i="5"/>
  <c r="A233" i="5"/>
  <c r="J200" i="5"/>
  <c r="J81" i="5"/>
  <c r="C53" i="5"/>
  <c r="G161" i="5"/>
  <c r="J252" i="5"/>
  <c r="A208" i="5"/>
  <c r="C47" i="5"/>
  <c r="A94" i="5"/>
  <c r="H272" i="5"/>
  <c r="F129" i="5"/>
  <c r="I25" i="5"/>
  <c r="G215" i="5"/>
  <c r="C184" i="5"/>
  <c r="D99" i="5"/>
  <c r="H70" i="5"/>
  <c r="B144" i="5"/>
  <c r="A260" i="5"/>
  <c r="K199" i="5"/>
  <c r="C52" i="5"/>
  <c r="F111" i="5"/>
  <c r="H197" i="5"/>
  <c r="B139" i="5"/>
  <c r="G145" i="5"/>
  <c r="H323" i="5"/>
  <c r="K230" i="5"/>
  <c r="J163" i="5"/>
  <c r="B241" i="5"/>
  <c r="D71" i="5"/>
  <c r="I137" i="5"/>
  <c r="I239" i="5"/>
  <c r="A252" i="5"/>
  <c r="G158" i="5"/>
  <c r="G212" i="5"/>
  <c r="F216" i="5"/>
  <c r="B196" i="5"/>
  <c r="G50" i="5"/>
  <c r="E162" i="5"/>
  <c r="J168" i="5"/>
  <c r="E125" i="5"/>
  <c r="H339" i="5"/>
  <c r="G305" i="5"/>
  <c r="E288" i="5"/>
  <c r="G219" i="5"/>
  <c r="C279" i="5"/>
  <c r="G153" i="5"/>
  <c r="B156" i="5"/>
  <c r="F124" i="5"/>
  <c r="C146" i="5"/>
  <c r="A212" i="5"/>
  <c r="G241" i="5"/>
  <c r="J102" i="5"/>
  <c r="G94" i="5"/>
  <c r="C140" i="5"/>
  <c r="F279" i="5"/>
  <c r="A161" i="5"/>
  <c r="D53" i="5"/>
  <c r="H212" i="5"/>
  <c r="F107" i="5"/>
  <c r="G99" i="5"/>
  <c r="D190" i="5"/>
  <c r="G162" i="5"/>
  <c r="F162" i="5"/>
  <c r="C62" i="5"/>
  <c r="K48" i="5"/>
  <c r="K187" i="5"/>
  <c r="G156" i="5"/>
  <c r="G74" i="5"/>
  <c r="I51" i="5"/>
  <c r="A163" i="5"/>
  <c r="C208" i="5"/>
  <c r="D66" i="5"/>
  <c r="H142" i="5"/>
  <c r="A334" i="5"/>
  <c r="B194" i="5"/>
  <c r="A106" i="5"/>
  <c r="B98" i="5"/>
  <c r="G197" i="5"/>
  <c r="E231" i="5"/>
  <c r="G176" i="5"/>
  <c r="J337" i="5"/>
  <c r="J161" i="5"/>
  <c r="D280" i="5"/>
  <c r="C312" i="5"/>
  <c r="D101" i="5"/>
  <c r="J44" i="5"/>
  <c r="K182" i="5"/>
  <c r="E183" i="5"/>
  <c r="D65" i="5"/>
  <c r="J148" i="5"/>
  <c r="K154" i="5"/>
  <c r="G134" i="5"/>
  <c r="F114" i="5"/>
  <c r="H273" i="5"/>
  <c r="K64" i="5"/>
  <c r="C242" i="5"/>
  <c r="J259" i="5"/>
  <c r="J15" i="5"/>
  <c r="E90" i="5"/>
  <c r="H48" i="5"/>
  <c r="C353" i="5"/>
  <c r="C335" i="5"/>
  <c r="C326" i="5"/>
  <c r="G291" i="5"/>
  <c r="A216" i="5"/>
  <c r="C150" i="5"/>
  <c r="H149" i="5"/>
  <c r="K32" i="5"/>
  <c r="A77" i="5"/>
  <c r="D89" i="5"/>
  <c r="J329" i="5"/>
  <c r="K318" i="5"/>
  <c r="K309" i="5"/>
  <c r="I292" i="5"/>
  <c r="K223" i="5"/>
  <c r="I322" i="5"/>
  <c r="K157" i="5"/>
  <c r="F16" i="5"/>
  <c r="A70" i="5"/>
  <c r="E25" i="5"/>
  <c r="E128" i="5"/>
  <c r="I349" i="5"/>
  <c r="I340" i="5"/>
  <c r="H317" i="5"/>
  <c r="K234" i="5"/>
  <c r="I164" i="5"/>
  <c r="C164" i="5"/>
  <c r="J61" i="5"/>
  <c r="H59" i="5"/>
  <c r="G139" i="5"/>
  <c r="A79" i="5"/>
  <c r="D295" i="5"/>
  <c r="C269" i="5"/>
  <c r="D340" i="5"/>
  <c r="K226" i="5"/>
  <c r="A150" i="5"/>
  <c r="K212" i="5"/>
  <c r="F230" i="5"/>
  <c r="C21" i="5"/>
  <c r="C77" i="5"/>
  <c r="E104" i="5"/>
  <c r="A297" i="5"/>
  <c r="I287" i="5"/>
  <c r="B336" i="5"/>
  <c r="K281" i="5"/>
  <c r="K205" i="5"/>
  <c r="A209" i="5"/>
  <c r="A228" i="5"/>
  <c r="E279" i="5"/>
  <c r="E74" i="5"/>
  <c r="G35" i="5"/>
  <c r="B157" i="5"/>
  <c r="E345" i="5"/>
  <c r="E336" i="5"/>
  <c r="I301" i="5"/>
  <c r="B229" i="5"/>
  <c r="E160" i="5"/>
  <c r="J159" i="5"/>
  <c r="B35" i="5"/>
  <c r="E48" i="5"/>
  <c r="I149" i="5"/>
  <c r="A95" i="5"/>
  <c r="C289" i="5"/>
  <c r="E247" i="5"/>
  <c r="J327" i="5"/>
  <c r="C272" i="5"/>
  <c r="C128" i="5"/>
  <c r="B191" i="5"/>
  <c r="H208" i="5"/>
  <c r="E40" i="5"/>
  <c r="F52" i="5"/>
  <c r="J73" i="5"/>
  <c r="H320" i="5"/>
  <c r="J307" i="5"/>
  <c r="A294" i="5"/>
  <c r="E281" i="5"/>
  <c r="F236" i="5"/>
  <c r="G239" i="5"/>
  <c r="E265" i="5"/>
  <c r="I22" i="5"/>
  <c r="H94" i="5"/>
  <c r="J121" i="5"/>
  <c r="B307" i="5"/>
  <c r="D265" i="5"/>
  <c r="B349" i="5"/>
  <c r="J262" i="5"/>
  <c r="F188" i="5"/>
  <c r="G191" i="5"/>
  <c r="A56" i="5"/>
  <c r="G68" i="5"/>
  <c r="I29" i="5"/>
  <c r="B137" i="5"/>
  <c r="C351" i="5"/>
  <c r="C342" i="5"/>
  <c r="F323" i="5"/>
  <c r="I236" i="5"/>
  <c r="C166" i="5"/>
  <c r="H165" i="5"/>
  <c r="H14" i="5"/>
  <c r="D93" i="5"/>
  <c r="F54" i="5"/>
  <c r="F344" i="5"/>
  <c r="F326" i="5"/>
  <c r="K347" i="5"/>
  <c r="C320" i="5"/>
  <c r="D207" i="5"/>
  <c r="F141" i="5"/>
  <c r="K140" i="5"/>
  <c r="C16" i="5"/>
  <c r="K62" i="5"/>
  <c r="J162" i="5"/>
  <c r="D102" i="5"/>
  <c r="H284" i="5"/>
  <c r="J339" i="5"/>
  <c r="B324" i="5"/>
  <c r="E266" i="5"/>
  <c r="I126" i="5"/>
  <c r="H189" i="5"/>
  <c r="C207" i="5"/>
  <c r="H36" i="5"/>
  <c r="F161" i="5"/>
  <c r="F138" i="5"/>
  <c r="D338" i="5"/>
  <c r="H286" i="5"/>
  <c r="C318" i="5"/>
  <c r="I276" i="5"/>
  <c r="F152" i="5"/>
  <c r="J212" i="5"/>
  <c r="E215" i="5"/>
  <c r="J253" i="5"/>
  <c r="D30" i="5"/>
  <c r="H67" i="5"/>
  <c r="D80" i="5"/>
  <c r="A315" i="5"/>
  <c r="K308" i="5"/>
  <c r="F318" i="5"/>
  <c r="A250" i="5"/>
  <c r="C232" i="5"/>
  <c r="C238" i="5"/>
  <c r="A254" i="5"/>
  <c r="J28" i="5"/>
  <c r="B69" i="5"/>
  <c r="K75" i="5"/>
  <c r="G313" i="5"/>
  <c r="B303" i="5"/>
  <c r="A317" i="5"/>
  <c r="G248" i="5"/>
  <c r="I230" i="5"/>
  <c r="E236" i="5"/>
  <c r="B251" i="5"/>
  <c r="C33" i="5"/>
  <c r="I75" i="5"/>
  <c r="B97" i="5"/>
  <c r="E310" i="5"/>
  <c r="E280" i="5"/>
  <c r="E343" i="5"/>
  <c r="D321" i="5"/>
  <c r="C213" i="5"/>
  <c r="D216" i="5"/>
  <c r="J237" i="5"/>
  <c r="G55" i="5"/>
  <c r="F110" i="5"/>
  <c r="K116" i="5"/>
  <c r="H332" i="5"/>
  <c r="I321" i="5"/>
  <c r="G297" i="5"/>
  <c r="J325" i="5"/>
  <c r="K242" i="5"/>
  <c r="A166" i="5"/>
  <c r="K228" i="5"/>
  <c r="E14" i="5"/>
  <c r="G123" i="5"/>
  <c r="F74" i="5"/>
  <c r="J320" i="5"/>
  <c r="E354" i="5"/>
  <c r="D324" i="5"/>
  <c r="J255" i="5"/>
  <c r="A238" i="5"/>
  <c r="E248" i="5"/>
  <c r="D269" i="5"/>
  <c r="I18" i="5"/>
  <c r="G86" i="5"/>
  <c r="E93" i="5"/>
  <c r="J331" i="5"/>
  <c r="D341" i="5"/>
  <c r="B319" i="5"/>
  <c r="D274" i="5"/>
  <c r="D213" i="5"/>
  <c r="C214" i="5"/>
  <c r="E259" i="5"/>
  <c r="D56" i="5"/>
  <c r="C112" i="5"/>
  <c r="F51" i="5"/>
  <c r="C337" i="5"/>
  <c r="I330" i="5"/>
  <c r="H340" i="5"/>
  <c r="F299" i="5"/>
  <c r="A200" i="5"/>
  <c r="E284" i="5"/>
  <c r="H133" i="5"/>
  <c r="J36" i="5"/>
  <c r="H49" i="5"/>
  <c r="I60" i="5"/>
  <c r="I161" i="5"/>
  <c r="F345" i="5"/>
  <c r="F336" i="5"/>
  <c r="B327" i="5"/>
  <c r="F266" i="5"/>
  <c r="C129" i="5"/>
  <c r="G189" i="5"/>
  <c r="B192" i="5"/>
  <c r="D224" i="5"/>
  <c r="A35" i="5"/>
  <c r="K120" i="5"/>
  <c r="J71" i="5"/>
  <c r="D347" i="5"/>
  <c r="K305" i="5"/>
  <c r="B335" i="5"/>
  <c r="B279" i="5"/>
  <c r="E241" i="5"/>
  <c r="D282" i="5"/>
  <c r="E175" i="5"/>
  <c r="K33" i="5"/>
  <c r="J39" i="5"/>
  <c r="B173" i="5"/>
  <c r="E141" i="5"/>
  <c r="G329" i="5"/>
  <c r="A351" i="5"/>
  <c r="F309" i="5"/>
  <c r="D259" i="5"/>
  <c r="I143" i="5"/>
  <c r="B204" i="5"/>
  <c r="G38" i="5"/>
  <c r="A88" i="5"/>
  <c r="A89" i="5"/>
  <c r="D306" i="5"/>
  <c r="C295" i="5"/>
  <c r="I309" i="5"/>
  <c r="H294" i="5"/>
  <c r="F223" i="5"/>
  <c r="G226" i="5"/>
  <c r="J280" i="5"/>
  <c r="A102" i="5"/>
  <c r="B47" i="5"/>
  <c r="B67" i="5"/>
  <c r="F22" i="5"/>
  <c r="D184" i="5"/>
  <c r="A328" i="5"/>
  <c r="F349" i="5"/>
  <c r="K307" i="5"/>
  <c r="J249" i="5"/>
  <c r="F173" i="5"/>
  <c r="K172" i="5"/>
  <c r="B85" i="5"/>
  <c r="I97" i="5"/>
  <c r="H337" i="5"/>
  <c r="F286" i="5"/>
  <c r="D325" i="5"/>
  <c r="I275" i="5"/>
  <c r="I214" i="5"/>
  <c r="H215" i="5"/>
  <c r="D262" i="5"/>
  <c r="F19" i="5"/>
  <c r="J109" i="5"/>
  <c r="H116" i="5"/>
  <c r="D303" i="5"/>
  <c r="H285" i="5"/>
  <c r="H321" i="5"/>
  <c r="A251" i="5"/>
  <c r="A190" i="5"/>
  <c r="K190" i="5"/>
  <c r="I299" i="5"/>
  <c r="D26" i="5"/>
  <c r="B74" i="5"/>
  <c r="I74" i="5"/>
  <c r="E344" i="5"/>
  <c r="A303" i="5"/>
  <c r="F324" i="5"/>
  <c r="E322" i="5"/>
  <c r="F238" i="5"/>
  <c r="H274" i="5"/>
  <c r="F172" i="5"/>
  <c r="K72" i="5"/>
  <c r="D28" i="5"/>
  <c r="C134" i="5"/>
  <c r="H352" i="5"/>
  <c r="H343" i="5"/>
  <c r="I342" i="5"/>
  <c r="K238" i="5"/>
  <c r="H167" i="5"/>
  <c r="B167" i="5"/>
  <c r="H169" i="5"/>
  <c r="A201" i="5"/>
  <c r="B27" i="5"/>
  <c r="C114" i="5"/>
  <c r="B65" i="5"/>
  <c r="B343" i="5"/>
  <c r="D281" i="5"/>
  <c r="C304" i="5"/>
  <c r="H246" i="5"/>
  <c r="C245" i="5"/>
  <c r="I256" i="5"/>
  <c r="A277" i="5"/>
  <c r="H115" i="5"/>
  <c r="F122" i="5"/>
  <c r="D337" i="5"/>
  <c r="J279" i="5"/>
  <c r="D301" i="5"/>
  <c r="K316" i="5"/>
  <c r="I243" i="5"/>
  <c r="K250" i="5"/>
  <c r="C275" i="5"/>
  <c r="J35" i="5"/>
  <c r="K79" i="5"/>
  <c r="G80" i="5"/>
  <c r="G338" i="5"/>
  <c r="C336" i="5"/>
  <c r="H318" i="5"/>
  <c r="F301" i="5"/>
  <c r="H232" i="5"/>
  <c r="A263" i="5"/>
  <c r="H166" i="5"/>
  <c r="A31" i="5"/>
  <c r="I42" i="5"/>
  <c r="H74" i="5"/>
  <c r="E307" i="5"/>
  <c r="K319" i="5"/>
  <c r="F251" i="5"/>
  <c r="H233" i="5"/>
  <c r="E240" i="5"/>
  <c r="K256" i="5"/>
  <c r="D171" i="5"/>
  <c r="K77" i="5"/>
  <c r="A131" i="5"/>
  <c r="A269" i="5"/>
  <c r="G228" i="5"/>
  <c r="H117" i="5"/>
  <c r="I109" i="5"/>
  <c r="I186" i="5"/>
  <c r="C158" i="5"/>
  <c r="H114" i="5"/>
  <c r="I173" i="5"/>
  <c r="A17" i="5"/>
  <c r="E249" i="5"/>
  <c r="K60" i="5"/>
  <c r="E114" i="5"/>
  <c r="J236" i="5"/>
  <c r="E147" i="5"/>
  <c r="B116" i="5"/>
  <c r="E169" i="5"/>
  <c r="F234" i="5"/>
  <c r="D202" i="5"/>
  <c r="I89" i="5"/>
  <c r="D87" i="5"/>
  <c r="F147" i="5"/>
  <c r="K141" i="5"/>
  <c r="J101" i="5"/>
  <c r="B127" i="5"/>
  <c r="J267" i="5"/>
  <c r="B158" i="5"/>
  <c r="F59" i="5"/>
  <c r="K112" i="5"/>
  <c r="B244" i="5"/>
  <c r="H154" i="5"/>
  <c r="F56" i="5"/>
  <c r="I115" i="5"/>
  <c r="I160" i="5"/>
  <c r="C142" i="5"/>
  <c r="F39" i="5"/>
  <c r="D125" i="5"/>
  <c r="I312" i="5"/>
  <c r="K267" i="5"/>
  <c r="C120" i="5"/>
  <c r="K121" i="5"/>
  <c r="C196" i="5"/>
  <c r="B104" i="5"/>
  <c r="F53" i="5"/>
  <c r="K163" i="5"/>
  <c r="D238" i="5"/>
  <c r="G121" i="5"/>
  <c r="J18" i="5"/>
  <c r="H137" i="5"/>
  <c r="D159" i="5"/>
  <c r="I98" i="5"/>
  <c r="E41" i="5"/>
  <c r="D144" i="5"/>
  <c r="G314" i="5"/>
  <c r="F307" i="5"/>
  <c r="E271" i="5"/>
  <c r="E210" i="5"/>
  <c r="D211" i="5"/>
  <c r="G253" i="5"/>
  <c r="A148" i="5"/>
  <c r="H54" i="5"/>
  <c r="D154" i="5"/>
  <c r="B282" i="5"/>
  <c r="H240" i="5"/>
  <c r="E94" i="5"/>
  <c r="I54" i="5"/>
  <c r="I242" i="5"/>
  <c r="I150" i="5"/>
  <c r="E80" i="5"/>
  <c r="G57" i="5"/>
  <c r="C157" i="5"/>
  <c r="F244" i="5"/>
  <c r="A165" i="5"/>
  <c r="J136" i="5"/>
  <c r="H276" i="5"/>
  <c r="D237" i="5"/>
  <c r="J111" i="5"/>
  <c r="K103" i="5"/>
  <c r="I191" i="5"/>
  <c r="A164" i="5"/>
  <c r="J108" i="5"/>
  <c r="K167" i="5"/>
  <c r="I139" i="5"/>
  <c r="F175" i="5"/>
  <c r="G89" i="5"/>
  <c r="B181" i="5"/>
  <c r="E253" i="5"/>
  <c r="K216" i="5"/>
  <c r="K67" i="5"/>
  <c r="E121" i="5"/>
  <c r="B175" i="5"/>
  <c r="G146" i="5"/>
  <c r="B126" i="5"/>
  <c r="D135" i="5"/>
  <c r="H28" i="5"/>
  <c r="J221" i="5"/>
  <c r="A103" i="5"/>
  <c r="G285" i="5"/>
  <c r="G273" i="5"/>
  <c r="B131" i="5"/>
  <c r="E164" i="5"/>
  <c r="G172" i="5"/>
  <c r="F132" i="5"/>
  <c r="J63" i="5"/>
  <c r="K115" i="5"/>
  <c r="J185" i="5"/>
  <c r="K35" i="5"/>
  <c r="A113" i="5"/>
  <c r="G263" i="5"/>
  <c r="G261" i="5"/>
  <c r="J74" i="5"/>
  <c r="I79" i="5"/>
  <c r="B259" i="5"/>
  <c r="G167" i="5"/>
  <c r="I314" i="5"/>
  <c r="A310" i="5"/>
  <c r="B248" i="5"/>
  <c r="C250" i="5"/>
  <c r="A188" i="5"/>
  <c r="C281" i="5"/>
  <c r="F186" i="5"/>
  <c r="F113" i="5"/>
  <c r="G177" i="5"/>
  <c r="B296" i="5"/>
  <c r="A177" i="5"/>
  <c r="B71" i="5"/>
  <c r="G124" i="5"/>
  <c r="F232" i="5"/>
  <c r="A143" i="5"/>
  <c r="B68" i="5"/>
  <c r="C127" i="5"/>
  <c r="B149" i="5"/>
  <c r="H180" i="5"/>
  <c r="H24" i="5"/>
  <c r="J67" i="5"/>
  <c r="J223" i="5"/>
  <c r="J131" i="5"/>
  <c r="G69" i="5"/>
  <c r="A123" i="5"/>
  <c r="F153" i="5"/>
  <c r="A220" i="5"/>
  <c r="D189" i="5"/>
  <c r="G104" i="5"/>
  <c r="F102" i="5"/>
  <c r="C193" i="5"/>
  <c r="K124" i="5"/>
  <c r="A117" i="5"/>
  <c r="H173" i="5"/>
  <c r="B145" i="5"/>
  <c r="I185" i="5"/>
  <c r="C23" i="5"/>
  <c r="E66" i="5"/>
  <c r="B231" i="5"/>
  <c r="A92" i="5"/>
  <c r="K197" i="5"/>
  <c r="F339" i="5"/>
  <c r="A194" i="5"/>
  <c r="C101" i="5"/>
  <c r="D205" i="5"/>
  <c r="F163" i="5"/>
  <c r="A176" i="5"/>
  <c r="C84" i="5"/>
  <c r="J217" i="5"/>
  <c r="I88" i="5"/>
  <c r="C155" i="5"/>
  <c r="B230" i="5"/>
  <c r="H229" i="5"/>
  <c r="C117" i="5"/>
  <c r="B195" i="5"/>
  <c r="A199" i="5"/>
  <c r="C211" i="5"/>
  <c r="J220" i="5"/>
  <c r="H51" i="5"/>
  <c r="H209" i="5"/>
  <c r="D251" i="5"/>
  <c r="J173" i="5"/>
  <c r="B120" i="5"/>
  <c r="J60" i="5"/>
  <c r="F88" i="5"/>
  <c r="A132" i="5"/>
  <c r="G160" i="5"/>
  <c r="E68" i="5"/>
  <c r="J70" i="5"/>
  <c r="E165" i="5"/>
  <c r="K126" i="5"/>
  <c r="D270" i="5"/>
  <c r="D170" i="5"/>
  <c r="I120" i="5"/>
  <c r="I84" i="5"/>
  <c r="F128" i="5"/>
  <c r="K217" i="5"/>
  <c r="K71" i="5"/>
  <c r="A74" i="5"/>
  <c r="E60" i="5"/>
  <c r="C118" i="5"/>
  <c r="E184" i="5"/>
  <c r="B212" i="5"/>
  <c r="A101" i="5"/>
  <c r="B103" i="5"/>
  <c r="I48" i="5"/>
  <c r="B140" i="5"/>
  <c r="G229" i="5"/>
  <c r="H121" i="5"/>
  <c r="E62" i="5"/>
  <c r="D40" i="5"/>
  <c r="A71" i="5"/>
  <c r="F149" i="5"/>
  <c r="A178" i="5"/>
  <c r="H112" i="5"/>
  <c r="H76" i="5"/>
  <c r="C136" i="5"/>
  <c r="C228" i="5"/>
  <c r="F63" i="5"/>
  <c r="C171" i="5"/>
  <c r="B110" i="5"/>
  <c r="E130" i="5"/>
  <c r="E222" i="5"/>
  <c r="G92" i="5"/>
  <c r="D44" i="5"/>
  <c r="C43" i="5"/>
  <c r="G178" i="5"/>
  <c r="D206" i="5"/>
  <c r="G83" i="5"/>
  <c r="H85" i="5"/>
  <c r="F30" i="5"/>
  <c r="D221" i="5"/>
  <c r="C259" i="5"/>
  <c r="F185" i="5"/>
  <c r="C85" i="5"/>
  <c r="C49" i="5"/>
  <c r="A175" i="5"/>
  <c r="K204" i="5"/>
  <c r="I86" i="5"/>
  <c r="A38" i="5"/>
  <c r="J165" i="5"/>
  <c r="E199" i="5"/>
  <c r="G231" i="5"/>
  <c r="A33" i="5"/>
  <c r="K146" i="5"/>
  <c r="F130" i="5"/>
  <c r="J234" i="5"/>
  <c r="F277" i="5"/>
  <c r="J152" i="5"/>
  <c r="B56" i="5"/>
  <c r="K78" i="5"/>
  <c r="C75" i="5"/>
  <c r="D165" i="5"/>
  <c r="H196" i="5"/>
  <c r="F46" i="5"/>
  <c r="D38" i="5"/>
  <c r="B182" i="5"/>
  <c r="K148" i="5"/>
  <c r="A80" i="5"/>
  <c r="F82" i="5"/>
  <c r="J113" i="5"/>
  <c r="H160" i="5"/>
  <c r="J274" i="5"/>
  <c r="H119" i="5"/>
  <c r="J106" i="5"/>
  <c r="H231" i="5"/>
  <c r="I151" i="5"/>
  <c r="A24" i="5"/>
  <c r="K176" i="5"/>
  <c r="D208" i="5"/>
  <c r="A46" i="5"/>
  <c r="E56" i="5"/>
  <c r="I153" i="5"/>
  <c r="B227" i="5"/>
  <c r="J266" i="5"/>
  <c r="G129" i="5"/>
  <c r="E79" i="5"/>
  <c r="C102" i="5"/>
  <c r="I66" i="5"/>
  <c r="D234" i="5"/>
  <c r="I204" i="5"/>
  <c r="K138" i="5"/>
  <c r="G131" i="5"/>
  <c r="I95" i="5"/>
  <c r="A262" i="5"/>
  <c r="H125" i="5"/>
  <c r="D103" i="5"/>
  <c r="I105" i="5"/>
  <c r="G54" i="5"/>
  <c r="D152" i="5"/>
  <c r="E250" i="5"/>
  <c r="K181" i="5"/>
  <c r="D50" i="5"/>
  <c r="B73" i="5"/>
  <c r="G117" i="5"/>
  <c r="K298" i="5"/>
  <c r="D137" i="5"/>
  <c r="H91" i="5"/>
  <c r="B94" i="5"/>
  <c r="D37" i="5"/>
  <c r="G211" i="5"/>
  <c r="J265" i="5"/>
  <c r="A147" i="5"/>
  <c r="K61" i="5"/>
  <c r="A108" i="5"/>
  <c r="K166" i="5"/>
  <c r="H194" i="5"/>
  <c r="C95" i="5"/>
  <c r="D97" i="5"/>
  <c r="I41" i="5"/>
  <c r="E59" i="5"/>
  <c r="B161" i="5"/>
  <c r="J188" i="5"/>
  <c r="D124" i="5"/>
  <c r="A65" i="5"/>
  <c r="I169" i="5"/>
  <c r="C285" i="5"/>
  <c r="B176" i="5"/>
  <c r="K114" i="5"/>
  <c r="E117" i="5"/>
  <c r="D113" i="5"/>
  <c r="I187" i="5"/>
  <c r="K219" i="5"/>
  <c r="F182" i="5"/>
  <c r="B142" i="5"/>
  <c r="H143" i="5"/>
  <c r="C172" i="5"/>
  <c r="F118" i="5"/>
  <c r="G120" i="5"/>
  <c r="H71" i="5"/>
  <c r="C169" i="5"/>
  <c r="B199" i="5"/>
  <c r="J115" i="5"/>
  <c r="G56" i="5"/>
  <c r="C34" i="5"/>
  <c r="J216" i="5"/>
  <c r="D187" i="5"/>
  <c r="C183" i="5"/>
  <c r="A149" i="5"/>
  <c r="K89" i="5"/>
  <c r="G106" i="5"/>
  <c r="D134" i="5"/>
  <c r="I223" i="5"/>
  <c r="B66" i="5"/>
  <c r="F91" i="5"/>
  <c r="F215" i="5"/>
  <c r="G251" i="5"/>
  <c r="H179" i="5"/>
  <c r="A91" i="5"/>
  <c r="G142" i="5"/>
  <c r="G101" i="5"/>
  <c r="E135" i="5"/>
  <c r="D155" i="5"/>
  <c r="F43" i="5"/>
  <c r="F108" i="5"/>
  <c r="A110" i="5"/>
  <c r="K94" i="5"/>
  <c r="K145" i="5"/>
  <c r="E235" i="5"/>
  <c r="I77" i="5"/>
  <c r="J79" i="5"/>
  <c r="G17" i="5"/>
  <c r="G193" i="5"/>
  <c r="I225" i="5"/>
  <c r="G15" i="5"/>
  <c r="D172" i="5"/>
  <c r="C113" i="5"/>
  <c r="F98" i="5"/>
  <c r="A142" i="5"/>
  <c r="A234" i="5"/>
  <c r="H57" i="5"/>
  <c r="K31" i="5"/>
  <c r="C192" i="5"/>
  <c r="H223" i="5"/>
  <c r="E156" i="5"/>
  <c r="D114" i="5"/>
  <c r="A55" i="5"/>
  <c r="J29" i="5"/>
  <c r="D247" i="5"/>
  <c r="E216" i="5"/>
  <c r="G150" i="5"/>
  <c r="C143" i="5"/>
  <c r="B84" i="5"/>
  <c r="J203" i="5"/>
  <c r="D239" i="5"/>
  <c r="A168" i="5"/>
  <c r="H102" i="5"/>
  <c r="F125" i="5"/>
  <c r="A90" i="5"/>
  <c r="A211" i="5"/>
  <c r="C243" i="5"/>
  <c r="E177" i="5"/>
  <c r="J154" i="5"/>
  <c r="A119" i="5"/>
  <c r="H258" i="5"/>
  <c r="F164" i="5"/>
  <c r="F44" i="5"/>
  <c r="D67" i="5"/>
  <c r="E196" i="5"/>
  <c r="A247" i="5"/>
  <c r="H158" i="5"/>
  <c r="G73" i="5"/>
  <c r="E96" i="5"/>
  <c r="B240" i="5"/>
  <c r="G210" i="5"/>
  <c r="I144" i="5"/>
  <c r="I125" i="5"/>
  <c r="H66" i="5"/>
  <c r="D83" i="5"/>
  <c r="G157" i="5"/>
  <c r="H251" i="5"/>
  <c r="C104" i="5"/>
  <c r="C68" i="5"/>
  <c r="D188" i="5"/>
  <c r="J296" i="5"/>
  <c r="C141" i="5"/>
  <c r="I67" i="5"/>
  <c r="G90" i="5"/>
  <c r="H82" i="5"/>
  <c r="J137" i="5"/>
  <c r="E166" i="5"/>
  <c r="J85" i="5"/>
  <c r="D88" i="5"/>
  <c r="D31" i="5"/>
  <c r="H186" i="5"/>
  <c r="G216" i="5"/>
  <c r="B75" i="5"/>
  <c r="J129" i="5"/>
  <c r="A129" i="5"/>
  <c r="K297" i="5"/>
  <c r="F131" i="5"/>
  <c r="F97" i="5"/>
  <c r="C123" i="5"/>
  <c r="I182" i="5"/>
  <c r="B214" i="5"/>
  <c r="E132" i="5"/>
  <c r="J124" i="5"/>
  <c r="H35" i="5"/>
  <c r="K232" i="5"/>
  <c r="J96" i="5"/>
  <c r="J183" i="5"/>
  <c r="A198" i="5"/>
  <c r="F72" i="5"/>
  <c r="I50" i="5"/>
  <c r="K105" i="5"/>
  <c r="D176" i="5"/>
  <c r="B143" i="5"/>
  <c r="B109" i="5"/>
  <c r="G111" i="5"/>
  <c r="E163" i="5"/>
  <c r="D193" i="5"/>
  <c r="E98" i="5"/>
  <c r="K55" i="5"/>
  <c r="I16" i="5"/>
  <c r="I47" i="5"/>
  <c r="I172" i="5"/>
  <c r="F200" i="5"/>
  <c r="E89" i="5"/>
  <c r="I114" i="5"/>
  <c r="F159" i="5"/>
  <c r="J190" i="5"/>
  <c r="B58" i="5"/>
  <c r="I44" i="5"/>
  <c r="K147" i="5"/>
  <c r="H153" i="5"/>
  <c r="C246" i="5"/>
  <c r="D69" i="5"/>
  <c r="K179" i="5"/>
  <c r="B171" i="5"/>
  <c r="F202" i="5"/>
  <c r="B39" i="5"/>
  <c r="C170" i="5"/>
  <c r="D136" i="5"/>
  <c r="I121" i="5"/>
  <c r="J180" i="5"/>
  <c r="I210" i="5"/>
  <c r="K80" i="5"/>
  <c r="K44" i="5"/>
  <c r="F228" i="5"/>
  <c r="K198" i="5"/>
  <c r="B133" i="5"/>
  <c r="E137" i="5"/>
  <c r="D78" i="5"/>
  <c r="D63" i="5"/>
  <c r="H222" i="5"/>
  <c r="B193" i="5"/>
  <c r="D127" i="5"/>
  <c r="F166" i="5"/>
  <c r="E107" i="5"/>
  <c r="J147" i="5"/>
  <c r="J239" i="5"/>
  <c r="J51" i="5"/>
  <c r="G159" i="5"/>
  <c r="D94" i="5"/>
  <c r="C126" i="5"/>
  <c r="I154" i="5"/>
  <c r="C74" i="5"/>
  <c r="K99" i="5"/>
  <c r="C205" i="5"/>
  <c r="E237" i="5"/>
  <c r="C65" i="5"/>
  <c r="K108" i="5"/>
  <c r="C162" i="5"/>
  <c r="C241" i="5"/>
  <c r="E326" i="5" l="1"/>
  <c r="C308" i="5"/>
  <c r="F145" i="5"/>
  <c r="F242" i="5"/>
  <c r="E303" i="5"/>
  <c r="A271" i="5"/>
  <c r="B129" i="5"/>
  <c r="F314" i="5"/>
  <c r="F294" i="5"/>
  <c r="F69" i="5"/>
  <c r="I278" i="5"/>
  <c r="A289" i="5"/>
  <c r="D244" i="5"/>
  <c r="J330" i="5"/>
  <c r="H322" i="5"/>
  <c r="B138" i="5"/>
  <c r="J155" i="5"/>
  <c r="C70" i="5"/>
  <c r="K260" i="5"/>
  <c r="B180" i="5"/>
  <c r="B271" i="5"/>
  <c r="E197" i="5"/>
  <c r="A100" i="5"/>
  <c r="E295" i="5"/>
  <c r="C340" i="5"/>
  <c r="D339" i="5"/>
  <c r="H124" i="5"/>
  <c r="J321" i="5"/>
  <c r="G306" i="5"/>
  <c r="G220" i="5"/>
  <c r="A354" i="5"/>
  <c r="H191" i="5"/>
  <c r="B258" i="5"/>
  <c r="D294" i="5"/>
  <c r="G164" i="5"/>
  <c r="G266" i="5"/>
  <c r="I72" i="5"/>
  <c r="K74" i="5"/>
  <c r="J145" i="5"/>
  <c r="I190" i="5"/>
  <c r="B330" i="5"/>
  <c r="E148" i="5"/>
  <c r="C345" i="5"/>
  <c r="D256" i="5"/>
  <c r="E301" i="5"/>
  <c r="D210" i="5"/>
  <c r="C119" i="5"/>
  <c r="C260" i="5"/>
  <c r="B83" i="5"/>
  <c r="B233" i="5"/>
  <c r="G96" i="5"/>
  <c r="E251" i="5"/>
  <c r="I203" i="5"/>
  <c r="I80" i="5"/>
  <c r="G53" i="5"/>
  <c r="H283" i="5"/>
  <c r="G324" i="5"/>
  <c r="C311" i="5"/>
  <c r="G286" i="5"/>
  <c r="D220" i="5"/>
  <c r="K106" i="5"/>
  <c r="B62" i="5"/>
  <c r="K344" i="5"/>
  <c r="A232" i="5"/>
  <c r="I162" i="5"/>
  <c r="C174" i="5"/>
  <c r="G199" i="5"/>
  <c r="H174" i="5"/>
  <c r="K70" i="5"/>
  <c r="F288" i="5"/>
  <c r="J305" i="5"/>
  <c r="F261" i="5"/>
  <c r="E86" i="5"/>
  <c r="H295" i="5"/>
  <c r="H326" i="5"/>
  <c r="J140" i="5"/>
  <c r="D79" i="5"/>
  <c r="J306" i="5"/>
  <c r="K273" i="5"/>
  <c r="K301" i="5"/>
  <c r="B219" i="5"/>
  <c r="H45" i="5"/>
  <c r="E314" i="5"/>
  <c r="H163" i="5"/>
  <c r="B77" i="5"/>
  <c r="I39" i="5"/>
  <c r="B42" i="5"/>
  <c r="C124" i="5"/>
  <c r="F267" i="5"/>
  <c r="B338" i="5"/>
  <c r="B153" i="5"/>
  <c r="C151" i="5"/>
  <c r="H328" i="5"/>
  <c r="J218" i="5"/>
  <c r="I326" i="5"/>
  <c r="K243" i="5"/>
  <c r="G113" i="5"/>
  <c r="J354" i="5"/>
  <c r="A245" i="5"/>
  <c r="B309" i="5"/>
  <c r="J195" i="5"/>
  <c r="D68" i="5"/>
  <c r="I346" i="5"/>
  <c r="D178" i="5"/>
  <c r="H127" i="5"/>
  <c r="H213" i="5"/>
  <c r="B128" i="5"/>
  <c r="F84" i="5"/>
  <c r="F353" i="5"/>
  <c r="E212" i="5"/>
  <c r="I307" i="5"/>
  <c r="K224" i="5"/>
  <c r="E57" i="5"/>
  <c r="C287" i="5"/>
  <c r="I281" i="5"/>
  <c r="C188" i="5"/>
  <c r="H136" i="5"/>
  <c r="G331" i="5"/>
  <c r="I221" i="5"/>
  <c r="B285" i="5"/>
  <c r="J139" i="5"/>
  <c r="K122" i="5"/>
  <c r="B346" i="5"/>
  <c r="D236" i="5"/>
  <c r="A312" i="5"/>
  <c r="H244" i="5"/>
  <c r="C173" i="5"/>
  <c r="E82" i="5"/>
  <c r="F341" i="5"/>
  <c r="J268" i="5"/>
  <c r="G37" i="5"/>
  <c r="F278" i="5"/>
  <c r="B44" i="5"/>
  <c r="F68" i="5"/>
  <c r="I197" i="5"/>
  <c r="B147" i="5"/>
  <c r="J26" i="5"/>
  <c r="H27" i="5"/>
  <c r="H75" i="5"/>
  <c r="C40" i="5"/>
  <c r="F29" i="5"/>
  <c r="A137" i="5"/>
  <c r="E268" i="5"/>
  <c r="C307" i="5"/>
  <c r="H248" i="5"/>
  <c r="J311" i="5"/>
  <c r="H140" i="5"/>
  <c r="J150" i="5"/>
  <c r="C168" i="5"/>
  <c r="G190" i="5"/>
  <c r="G323" i="5"/>
  <c r="E239" i="5"/>
  <c r="B90" i="5"/>
  <c r="I334" i="5"/>
  <c r="J144" i="5"/>
  <c r="I332" i="5"/>
  <c r="J226" i="5"/>
  <c r="I53" i="5"/>
  <c r="B348" i="5"/>
  <c r="C201" i="5"/>
  <c r="K91" i="5"/>
  <c r="F284" i="5"/>
  <c r="G47" i="5"/>
  <c r="J290" i="5"/>
  <c r="I220" i="5"/>
  <c r="A343" i="5"/>
  <c r="J205" i="5"/>
  <c r="F233" i="5"/>
  <c r="H157" i="5"/>
  <c r="E49" i="5"/>
  <c r="I37" i="5"/>
  <c r="E325" i="5"/>
  <c r="A189" i="5"/>
  <c r="H81" i="5"/>
  <c r="B329" i="5"/>
  <c r="G152" i="5"/>
  <c r="H90" i="5"/>
  <c r="E306" i="5"/>
  <c r="E124" i="5"/>
  <c r="E298" i="5"/>
  <c r="C271" i="5"/>
  <c r="F64" i="5"/>
  <c r="F241" i="5"/>
  <c r="F291" i="5"/>
  <c r="I196" i="5"/>
  <c r="K68" i="5"/>
  <c r="A282" i="5"/>
  <c r="A81" i="5"/>
  <c r="F177" i="5"/>
  <c r="I183" i="5"/>
  <c r="K128" i="5"/>
  <c r="F117" i="5"/>
  <c r="C267" i="5"/>
  <c r="H296" i="5"/>
  <c r="I228" i="5"/>
  <c r="J348" i="5"/>
  <c r="H211" i="5"/>
  <c r="C54" i="5"/>
  <c r="D305" i="5"/>
  <c r="G254" i="5"/>
  <c r="I87" i="5"/>
  <c r="C218" i="5"/>
  <c r="K51" i="5"/>
  <c r="A259" i="5"/>
  <c r="I202" i="5"/>
  <c r="C73" i="5"/>
  <c r="I232" i="5"/>
  <c r="B100" i="5"/>
  <c r="F212" i="5"/>
  <c r="B276" i="5"/>
  <c r="G232" i="5"/>
  <c r="J347" i="5"/>
  <c r="G169" i="5"/>
  <c r="C147" i="5"/>
  <c r="D198" i="5"/>
  <c r="B299" i="5"/>
  <c r="A128" i="5"/>
  <c r="K272" i="5"/>
  <c r="A339" i="5"/>
  <c r="D235" i="5"/>
  <c r="F295" i="5"/>
  <c r="K259" i="5"/>
  <c r="C94" i="5"/>
  <c r="B53" i="5"/>
  <c r="E32" i="5"/>
  <c r="I265" i="5"/>
  <c r="H175" i="5"/>
  <c r="C132" i="5"/>
  <c r="D348" i="5"/>
  <c r="D163" i="5"/>
  <c r="K201" i="5"/>
  <c r="D52" i="5"/>
  <c r="C122" i="5"/>
  <c r="A120" i="5"/>
  <c r="K296" i="5"/>
  <c r="E269" i="5"/>
  <c r="C347" i="5"/>
  <c r="J210" i="5"/>
  <c r="I85" i="5"/>
  <c r="J312" i="5"/>
  <c r="J160" i="5"/>
  <c r="B150" i="5"/>
  <c r="K293" i="5"/>
  <c r="D292" i="5"/>
  <c r="K222" i="5"/>
  <c r="G87" i="5"/>
  <c r="G281" i="5"/>
  <c r="E106" i="5"/>
  <c r="F346" i="5"/>
  <c r="A107" i="5"/>
  <c r="E85" i="5"/>
  <c r="G143" i="5"/>
  <c r="K111" i="5"/>
  <c r="F305" i="5"/>
  <c r="A318" i="5"/>
  <c r="K162" i="5"/>
  <c r="D219" i="5"/>
  <c r="G41" i="5"/>
  <c r="G257" i="5"/>
  <c r="D201" i="5"/>
  <c r="H325" i="5"/>
  <c r="J240" i="5"/>
  <c r="I291" i="5"/>
  <c r="F227" i="5"/>
  <c r="J110" i="5"/>
  <c r="J256" i="5"/>
  <c r="J308" i="5"/>
  <c r="A302" i="5"/>
  <c r="C156" i="5"/>
  <c r="J83" i="5"/>
  <c r="H86" i="5"/>
  <c r="H269" i="5"/>
  <c r="K195" i="5"/>
  <c r="I81" i="5"/>
  <c r="F300" i="5"/>
  <c r="G100" i="5"/>
  <c r="D352" i="5"/>
  <c r="D145" i="5"/>
  <c r="I103" i="5"/>
  <c r="D261" i="5"/>
  <c r="E44" i="5"/>
  <c r="F260" i="5"/>
  <c r="C204" i="5"/>
  <c r="E83" i="5"/>
  <c r="C344" i="5"/>
  <c r="H60" i="5"/>
  <c r="A275" i="5"/>
  <c r="I218" i="5"/>
  <c r="I113" i="5"/>
  <c r="J178" i="5"/>
  <c r="H123" i="5"/>
  <c r="E33" i="5"/>
  <c r="E65" i="5"/>
  <c r="G235" i="5"/>
  <c r="K47" i="5"/>
  <c r="H303" i="5"/>
  <c r="K184" i="5"/>
  <c r="A227" i="5"/>
  <c r="B334" i="5"/>
  <c r="J263" i="5"/>
  <c r="F146" i="5"/>
  <c r="I34" i="5"/>
  <c r="H56" i="5"/>
  <c r="B323" i="5"/>
  <c r="I30" i="5"/>
  <c r="H260" i="5"/>
  <c r="B203" i="5"/>
  <c r="K254" i="5"/>
  <c r="J126" i="5"/>
  <c r="K257" i="5"/>
  <c r="K279" i="5"/>
  <c r="F240" i="5"/>
  <c r="H95" i="5"/>
  <c r="G289" i="5"/>
  <c r="J46" i="5"/>
  <c r="C323" i="5"/>
  <c r="I131" i="5"/>
  <c r="K92" i="5"/>
  <c r="J130" i="5"/>
  <c r="G227" i="5"/>
  <c r="G267" i="5"/>
  <c r="C76" i="5"/>
  <c r="B190" i="5"/>
  <c r="F160" i="5"/>
  <c r="H259" i="5"/>
  <c r="J293" i="5"/>
  <c r="J340" i="5"/>
  <c r="B60" i="5"/>
  <c r="I212" i="5"/>
  <c r="F348" i="5"/>
  <c r="G187" i="5"/>
  <c r="G346" i="5"/>
  <c r="G301" i="5"/>
  <c r="J66" i="5"/>
  <c r="H280" i="5"/>
  <c r="J277" i="5"/>
  <c r="J276" i="5"/>
  <c r="H77" i="5"/>
  <c r="I310" i="5"/>
  <c r="C354" i="5"/>
  <c r="K137" i="5"/>
  <c r="J104" i="5"/>
  <c r="I344" i="5"/>
  <c r="H203" i="5"/>
  <c r="K349" i="5"/>
  <c r="B164" i="5"/>
  <c r="K159" i="5"/>
  <c r="E315" i="5"/>
  <c r="F198" i="5"/>
  <c r="K299" i="5"/>
  <c r="J208" i="5"/>
  <c r="J114" i="5"/>
  <c r="C314" i="5"/>
  <c r="K87" i="5"/>
  <c r="J204" i="5"/>
  <c r="E292" i="5"/>
  <c r="F121" i="5"/>
  <c r="A290" i="5"/>
  <c r="G316" i="5"/>
  <c r="G320" i="5"/>
  <c r="H159" i="5"/>
  <c r="I49" i="5"/>
  <c r="G148" i="5"/>
  <c r="K193" i="5"/>
  <c r="A240" i="5"/>
  <c r="K188" i="5"/>
  <c r="H162" i="5"/>
  <c r="I305" i="5"/>
  <c r="E297" i="5"/>
  <c r="I244" i="5"/>
  <c r="A170" i="5"/>
  <c r="B89" i="5"/>
  <c r="B320" i="5"/>
  <c r="J107" i="5"/>
  <c r="G51" i="5"/>
  <c r="A239" i="5"/>
  <c r="D263" i="5"/>
  <c r="F224" i="5"/>
  <c r="A111" i="5"/>
  <c r="I246" i="5"/>
  <c r="E299" i="5"/>
  <c r="K211" i="5"/>
  <c r="F115" i="5"/>
  <c r="C276" i="5"/>
  <c r="F143" i="5"/>
  <c r="E337" i="5"/>
  <c r="B322" i="5"/>
  <c r="D195" i="5"/>
  <c r="G173" i="5"/>
  <c r="K118" i="5"/>
  <c r="D104" i="5"/>
  <c r="A313" i="5"/>
  <c r="G303" i="5"/>
  <c r="D180" i="5"/>
  <c r="B113" i="5"/>
  <c r="F246" i="5"/>
  <c r="A158" i="5"/>
  <c r="C64" i="5"/>
  <c r="B166" i="5"/>
  <c r="E217" i="5"/>
  <c r="E316" i="5"/>
  <c r="B168" i="5"/>
  <c r="C339" i="5"/>
  <c r="B290" i="5"/>
  <c r="F85" i="5"/>
  <c r="E52" i="5"/>
  <c r="C39" i="5"/>
  <c r="E111" i="5"/>
  <c r="J90" i="5"/>
  <c r="J53" i="5"/>
  <c r="D266" i="5"/>
  <c r="A210" i="5"/>
  <c r="G66" i="5"/>
  <c r="D284" i="5"/>
  <c r="B117" i="5"/>
  <c r="G287" i="5"/>
  <c r="H263" i="5"/>
  <c r="K342" i="5"/>
  <c r="A237" i="5"/>
  <c r="D90" i="5"/>
  <c r="H347" i="5"/>
  <c r="G206" i="5"/>
  <c r="G300" i="5"/>
  <c r="E186" i="5"/>
  <c r="E76" i="5"/>
  <c r="E321" i="5"/>
  <c r="A96" i="5"/>
  <c r="H53" i="5"/>
  <c r="H50" i="5"/>
  <c r="A322" i="5"/>
  <c r="B216" i="5"/>
  <c r="E113" i="5"/>
  <c r="A304" i="5"/>
  <c r="E300" i="5"/>
  <c r="D131" i="5"/>
  <c r="I240" i="5"/>
  <c r="K50" i="5"/>
  <c r="I267" i="5"/>
  <c r="F211" i="5"/>
  <c r="A52" i="5"/>
  <c r="G344" i="5"/>
  <c r="G332" i="5"/>
  <c r="B163" i="5"/>
  <c r="H99" i="5"/>
  <c r="D313" i="5"/>
  <c r="F256" i="5"/>
  <c r="A159" i="5"/>
  <c r="A248" i="5"/>
  <c r="B159" i="5"/>
  <c r="J261" i="5"/>
  <c r="A223" i="5"/>
  <c r="I318" i="5"/>
  <c r="E191" i="5"/>
  <c r="G70" i="5"/>
  <c r="E334" i="5"/>
  <c r="C283" i="5"/>
  <c r="G174" i="5"/>
  <c r="D223" i="5"/>
  <c r="A44" i="5"/>
  <c r="G326" i="5"/>
  <c r="A172" i="5"/>
  <c r="A305" i="5"/>
  <c r="C50" i="5"/>
  <c r="B341" i="5"/>
  <c r="G186" i="5"/>
  <c r="K117" i="5"/>
  <c r="F60" i="5"/>
  <c r="C100" i="5"/>
  <c r="C97" i="5"/>
  <c r="I298" i="5"/>
  <c r="A204" i="5"/>
  <c r="D73" i="5"/>
  <c r="K304" i="5"/>
  <c r="F32" i="5"/>
  <c r="I339" i="5"/>
  <c r="K153" i="5"/>
  <c r="K52" i="5"/>
  <c r="A298" i="5"/>
  <c r="I134" i="5"/>
  <c r="I351" i="5"/>
  <c r="G214" i="5"/>
  <c r="E161" i="5"/>
  <c r="K313" i="5"/>
  <c r="A197" i="5"/>
  <c r="A309" i="5"/>
  <c r="J224" i="5"/>
  <c r="C186" i="5"/>
  <c r="H31" i="5"/>
  <c r="E28" i="5"/>
  <c r="K237" i="5"/>
  <c r="B118" i="5"/>
  <c r="E255" i="5"/>
  <c r="H353" i="5"/>
  <c r="I271" i="5"/>
  <c r="D123" i="5"/>
  <c r="E261" i="5"/>
  <c r="E262" i="5"/>
  <c r="H188" i="5"/>
  <c r="E77" i="5"/>
  <c r="K252" i="5"/>
  <c r="K132" i="5"/>
  <c r="B107" i="5"/>
  <c r="K109" i="5"/>
  <c r="H40" i="5"/>
  <c r="D283" i="5"/>
  <c r="C219" i="5"/>
  <c r="J119" i="5"/>
  <c r="A266" i="5"/>
  <c r="B354" i="5"/>
  <c r="B169" i="5"/>
  <c r="C135" i="5"/>
  <c r="J338" i="5"/>
  <c r="A214" i="5"/>
  <c r="E157" i="5"/>
  <c r="D272" i="5"/>
  <c r="K285" i="5"/>
  <c r="A226" i="5"/>
  <c r="H100" i="5"/>
  <c r="J272" i="5"/>
  <c r="D49" i="5"/>
  <c r="F104" i="5"/>
  <c r="K213" i="5"/>
  <c r="A181" i="5"/>
  <c r="B339" i="5"/>
  <c r="H241" i="5"/>
  <c r="C268" i="5"/>
  <c r="F194" i="5"/>
  <c r="G71" i="5"/>
  <c r="I258" i="5"/>
  <c r="A341" i="5"/>
  <c r="A156" i="5"/>
  <c r="I62" i="5"/>
  <c r="A348" i="5"/>
  <c r="F171" i="5"/>
  <c r="F178" i="5"/>
  <c r="G242" i="5"/>
  <c r="A48" i="5"/>
  <c r="B332" i="5"/>
  <c r="A186" i="5"/>
  <c r="A63" i="5"/>
  <c r="F148" i="5"/>
  <c r="D92" i="5"/>
  <c r="D156" i="5"/>
  <c r="I96" i="5"/>
  <c r="D296" i="5"/>
  <c r="G283" i="5"/>
  <c r="A340" i="5"/>
  <c r="B234" i="5"/>
  <c r="D41" i="5"/>
  <c r="F292" i="5"/>
  <c r="D214" i="5"/>
  <c r="I335" i="5"/>
  <c r="G198" i="5"/>
  <c r="I333" i="5"/>
  <c r="I148" i="5"/>
  <c r="H106" i="5"/>
  <c r="G312" i="5"/>
  <c r="F28" i="5"/>
  <c r="A292" i="5"/>
  <c r="K227" i="5"/>
  <c r="B33" i="5"/>
  <c r="I269" i="5"/>
  <c r="C56" i="5"/>
  <c r="K200" i="5"/>
  <c r="K81" i="5"/>
  <c r="A224" i="5"/>
  <c r="G63" i="5"/>
  <c r="H313" i="5"/>
  <c r="A241" i="5"/>
  <c r="H307" i="5"/>
  <c r="E194" i="5"/>
  <c r="I69" i="5"/>
  <c r="A323" i="5"/>
  <c r="A171" i="5"/>
  <c r="B302" i="5"/>
  <c r="A187" i="5"/>
  <c r="I91" i="5"/>
  <c r="C346" i="5"/>
  <c r="B205" i="5"/>
  <c r="K317" i="5"/>
  <c r="B235" i="5"/>
  <c r="F281" i="5"/>
  <c r="E190" i="5"/>
  <c r="G166" i="5"/>
  <c r="C61" i="5"/>
  <c r="D346" i="5"/>
  <c r="J241" i="5"/>
  <c r="H349" i="5"/>
  <c r="E256" i="5"/>
  <c r="D77" i="5"/>
  <c r="B345" i="5"/>
  <c r="G168" i="5"/>
  <c r="F80" i="5"/>
  <c r="F225" i="5"/>
  <c r="J349" i="5"/>
  <c r="G133" i="5"/>
  <c r="A115" i="5"/>
  <c r="E353" i="5"/>
  <c r="G243" i="5"/>
  <c r="A326" i="5"/>
  <c r="J211" i="5"/>
  <c r="I102" i="5"/>
  <c r="I157" i="5"/>
  <c r="B78" i="5"/>
  <c r="D128" i="5"/>
  <c r="A255" i="5"/>
  <c r="K85" i="5"/>
  <c r="A352" i="5"/>
  <c r="K210" i="5"/>
  <c r="I323" i="5"/>
  <c r="K240" i="5"/>
  <c r="G84" i="5"/>
  <c r="A332" i="5"/>
  <c r="F155" i="5"/>
  <c r="F306" i="5"/>
  <c r="K58" i="5"/>
  <c r="B325" i="5"/>
  <c r="G170" i="5"/>
  <c r="I133" i="5"/>
  <c r="A321" i="5"/>
  <c r="G30" i="5"/>
  <c r="C280" i="5"/>
  <c r="I268" i="5"/>
  <c r="E203" i="5"/>
  <c r="I181" i="5"/>
  <c r="E109" i="5"/>
  <c r="B264" i="5"/>
  <c r="I27" i="5"/>
  <c r="A342" i="5"/>
  <c r="K265" i="5"/>
  <c r="K178" i="5"/>
  <c r="H319" i="5"/>
  <c r="B54" i="5"/>
  <c r="A325" i="5"/>
  <c r="F351" i="5"/>
  <c r="A86" i="5"/>
  <c r="I324" i="5"/>
  <c r="C148" i="5"/>
  <c r="F271" i="5"/>
  <c r="H178" i="5"/>
  <c r="B64" i="5"/>
  <c r="E282" i="5"/>
  <c r="B250" i="5"/>
  <c r="F49" i="5"/>
  <c r="B26" i="5"/>
  <c r="C27" i="5"/>
  <c r="D355" i="5"/>
  <c r="F355" i="5"/>
  <c r="E355" i="5" l="1"/>
  <c r="J355" i="5" s="1"/>
</calcChain>
</file>

<file path=xl/sharedStrings.xml><?xml version="1.0" encoding="utf-8"?>
<sst xmlns="http://schemas.openxmlformats.org/spreadsheetml/2006/main" count="1227" uniqueCount="518">
  <si>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</si>
  <si>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</si>
  <si>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</si>
  <si>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</si>
  <si>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</si>
  <si>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</si>
  <si>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</si>
  <si>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</si>
  <si>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</si>
  <si>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</si>
  <si>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</si>
  <si>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</si>
  <si>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</si>
  <si>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</si>
  <si>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</si>
  <si>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</si>
  <si>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</si>
  <si>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</si>
  <si>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</si>
  <si>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</si>
  <si>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</si>
  <si>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</si>
  <si>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</si>
  <si>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</si>
  <si>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</si>
  <si>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</si>
  <si>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</si>
  <si>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</si>
  <si>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</si>
  <si>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</si>
  <si>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</si>
  <si>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</si>
  <si>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</si>
  <si>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</si>
  <si>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</si>
  <si>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</si>
  <si>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</si>
  <si>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</si>
  <si>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</si>
  <si>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</si>
  <si>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</si>
  <si>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</si>
  <si>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</si>
  <si>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</si>
  <si>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</si>
  <si>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</si>
  <si>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</si>
  <si>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</si>
  <si>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</si>
  <si>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</si>
  <si>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</si>
  <si>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</si>
  <si>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</si>
  <si>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</si>
  <si>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</si>
  <si>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</si>
  <si>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</si>
  <si>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</si>
  <si>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</si>
  <si>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</si>
  <si>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</si>
  <si>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</si>
  <si>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</si>
  <si>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</si>
  <si>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</si>
  <si>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</si>
  <si>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</si>
  <si>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</si>
  <si>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</si>
  <si>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</si>
  <si>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</si>
  <si>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</si>
  <si>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</si>
  <si>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</si>
  <si>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</si>
  <si>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</si>
  <si>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</si>
  <si>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</si>
  <si>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</si>
  <si>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</si>
  <si>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</si>
  <si>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</si>
  <si>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</si>
  <si>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</si>
  <si>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</si>
  <si>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</si>
  <si>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</si>
  <si>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</si>
  <si>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</si>
  <si>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</si>
  <si>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</si>
  <si>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</si>
  <si>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</si>
  <si>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</si>
  <si>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</si>
  <si>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</si>
  <si>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</si>
  <si>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</si>
  <si>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</si>
  <si>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</si>
  <si>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</si>
  <si>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</si>
  <si>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</si>
  <si>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</si>
  <si>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</si>
  <si>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</si>
  <si>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</si>
  <si>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</si>
  <si>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</si>
  <si>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</si>
  <si>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</si>
  <si>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</si>
  <si>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</si>
  <si>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</si>
  <si>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</si>
  <si>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</si>
  <si>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</si>
  <si>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</si>
  <si>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</si>
  <si>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</si>
  <si>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</si>
  <si>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</si>
  <si>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</si>
  <si>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</si>
  <si>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</si>
  <si>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</si>
  <si>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</si>
  <si>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</si>
  <si>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</si>
  <si>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</si>
  <si>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</si>
  <si>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</si>
  <si>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</si>
  <si>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</si>
  <si>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</si>
  <si>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</si>
  <si>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</si>
  <si>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</si>
  <si>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</si>
  <si>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</si>
  <si>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</si>
  <si>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</si>
  <si>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</si>
  <si>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</si>
  <si>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</si>
  <si>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</si>
  <si>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</si>
  <si>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</si>
  <si>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</si>
  <si>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</si>
  <si>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</si>
  <si>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</si>
  <si>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</si>
  <si>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</si>
  <si>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</si>
  <si>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</si>
  <si>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</si>
  <si>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</si>
  <si>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</si>
  <si>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</si>
  <si>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</si>
  <si>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</si>
  <si>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</si>
  <si>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</si>
  <si>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</si>
  <si>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</si>
  <si>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</si>
  <si>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</si>
  <si>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</si>
  <si>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</si>
  <si>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</si>
  <si>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</si>
  <si>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</si>
  <si>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</si>
  <si>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</si>
  <si>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</si>
  <si>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</si>
  <si>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</si>
  <si>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</si>
  <si>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</si>
  <si>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</si>
  <si>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</si>
  <si>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</si>
  <si>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</si>
  <si>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</si>
  <si>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</si>
  <si>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</si>
  <si>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</si>
  <si>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</si>
  <si>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</si>
  <si>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</si>
  <si>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</si>
  <si>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</si>
  <si>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</si>
  <si>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</si>
  <si>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</si>
  <si>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</si>
  <si>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</si>
  <si>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</si>
  <si>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</si>
  <si>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</si>
  <si>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</si>
  <si>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</si>
  <si>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</si>
  <si>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</si>
  <si>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</si>
  <si>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</si>
  <si>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</si>
  <si>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</si>
  <si>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</si>
  <si>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</si>
  <si>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</si>
  <si>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</si>
  <si>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</si>
  <si>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</si>
  <si>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</si>
  <si>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</si>
  <si>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</si>
  <si>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</si>
  <si>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</si>
  <si>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</si>
  <si>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</si>
  <si>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</si>
  <si>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</si>
  <si>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</si>
  <si>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</si>
  <si>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</si>
  <si>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</si>
  <si>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</si>
  <si>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</si>
  <si>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</si>
  <si>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</si>
  <si>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</si>
  <si>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</si>
  <si>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</si>
  <si>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</si>
  <si>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</si>
  <si>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</si>
  <si>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</si>
  <si>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</si>
  <si>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</si>
  <si>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</si>
  <si>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</si>
  <si>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</si>
  <si>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</si>
  <si>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</si>
  <si>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</si>
  <si>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</si>
  <si>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</si>
  <si>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</si>
  <si>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</si>
  <si>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</si>
  <si>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</si>
  <si>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</si>
  <si>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</si>
  <si>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</si>
  <si>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</si>
  <si>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</si>
  <si>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</si>
  <si>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</si>
  <si>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</si>
  <si>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</si>
  <si>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</si>
  <si>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</si>
  <si>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</si>
  <si>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</si>
  <si>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</si>
  <si>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</si>
  <si>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</si>
  <si>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</si>
  <si>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</si>
  <si>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</si>
  <si>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</si>
  <si>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</si>
  <si>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</si>
  <si>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</si>
  <si>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</si>
  <si>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</si>
  <si>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</si>
  <si>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</si>
  <si>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</si>
  <si>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</si>
  <si>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</si>
  <si>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</si>
  <si>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</si>
  <si>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</si>
  <si>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</si>
  <si>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</si>
  <si>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</si>
  <si>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</si>
  <si>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</si>
  <si>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</si>
  <si>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</si>
  <si>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</si>
  <si>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</si>
  <si>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</si>
  <si>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</si>
  <si>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</si>
  <si>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</si>
  <si>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</si>
  <si>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</si>
  <si>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</si>
  <si>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</si>
  <si>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</si>
  <si>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</si>
  <si>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</si>
  <si>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</si>
  <si>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</si>
  <si>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</si>
  <si>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</si>
  <si>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</si>
  <si>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</si>
  <si>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</si>
  <si>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</si>
  <si>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</si>
  <si>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</si>
  <si>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</si>
  <si>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</si>
  <si>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</si>
  <si>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</si>
  <si>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</si>
  <si>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</si>
  <si>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</si>
  <si>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</si>
  <si>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</si>
  <si>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</si>
  <si>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</si>
  <si>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</si>
  <si>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</si>
  <si>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</si>
  <si>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</si>
  <si>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</si>
  <si>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</si>
  <si>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</si>
  <si>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</si>
  <si>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</si>
  <si>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</si>
  <si>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</si>
  <si>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</si>
  <si>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</si>
  <si>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</si>
  <si>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</si>
  <si>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</si>
  <si>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</si>
  <si>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</si>
  <si>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</si>
  <si>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</si>
  <si>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</si>
  <si>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</si>
  <si>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</si>
  <si>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</si>
  <si>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</si>
  <si>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</si>
  <si>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</si>
  <si>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</si>
  <si>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</si>
  <si>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</si>
  <si>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</si>
  <si>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</si>
  <si>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</si>
  <si>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</si>
  <si>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</si>
  <si>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</si>
  <si>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</si>
  <si>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</si>
  <si>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</si>
  <si>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</si>
  <si>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</si>
  <si>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</si>
  <si>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</si>
  <si>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</si>
  <si>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</si>
  <si>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</si>
  <si>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</si>
  <si>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</si>
  <si>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</si>
  <si>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</si>
  <si>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</si>
  <si>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</si>
  <si>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</si>
  <si>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</si>
  <si>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</si>
  <si>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</si>
  <si>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</si>
  <si>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</si>
  <si>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</si>
  <si>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</si>
  <si>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</si>
  <si>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</si>
  <si>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</si>
  <si>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</si>
  <si>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</si>
  <si>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</si>
  <si>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</si>
  <si>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</si>
  <si>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</si>
  <si>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</si>
  <si>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</si>
  <si>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</si>
  <si>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</si>
  <si>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</si>
  <si>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</si>
  <si>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</si>
  <si>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</si>
  <si>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</si>
  <si>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</si>
  <si>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</si>
  <si>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</si>
  <si>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</si>
  <si>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</si>
  <si>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</si>
  <si>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</si>
  <si>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</si>
  <si>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</si>
  <si>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</si>
  <si>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</si>
  <si>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</si>
  <si>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</si>
  <si>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</si>
  <si>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</si>
  <si>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</si>
  <si>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</si>
  <si>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</si>
  <si>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</si>
  <si>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</si>
  <si>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</si>
  <si>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</si>
  <si>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</si>
  <si>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</si>
  <si>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</si>
  <si>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</si>
  <si>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</si>
  <si>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</si>
  <si>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</si>
  <si>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</si>
  <si>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</si>
  <si>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</si>
  <si>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</si>
  <si>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</si>
  <si>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</si>
  <si>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</si>
  <si>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</si>
  <si>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</si>
  <si>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</si>
  <si>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</si>
  <si>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</si>
  <si>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</si>
  <si>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</si>
  <si>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</si>
  <si>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</si>
  <si>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</si>
  <si>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</si>
  <si>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</si>
  <si>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</si>
  <si>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</si>
  <si>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</si>
  <si>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</si>
  <si>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</si>
  <si>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</si>
  <si>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</si>
  <si>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</si>
  <si>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</si>
  <si>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</si>
  <si>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</si>
  <si>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</si>
  <si>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</si>
  <si>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</si>
  <si>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</si>
  <si>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</si>
  <si>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</si>
  <si>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</si>
  <si>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</si>
  <si>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</si>
  <si>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</si>
  <si>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</si>
  <si>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</si>
  <si>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</si>
  <si>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</si>
  <si>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</si>
  <si>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</si>
  <si>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</si>
  <si>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</si>
  <si>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</si>
  <si>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</si>
  <si>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</si>
  <si>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</si>
  <si>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</si>
  <si>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</si>
  <si>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</si>
  <si>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</si>
  <si>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</si>
  <si>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</si>
  <si>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</si>
  <si>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</si>
  <si>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</si>
  <si>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</si>
  <si>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</si>
  <si>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</si>
  <si>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</si>
  <si>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</si>
  <si>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</si>
  <si>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</si>
  <si>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</si>
  <si>
    <t>بونص نزمول 20 + رواتب 420+50 كهرباء وماء</t>
  </si>
  <si>
    <t>Inv-182</t>
  </si>
  <si>
    <t>متنوع زهور التهاني</t>
  </si>
  <si>
    <t>Inv-183</t>
  </si>
  <si>
    <t>متنوع ايمن</t>
  </si>
  <si>
    <t>Inv-184</t>
  </si>
  <si>
    <t>متنوع ابوادم</t>
  </si>
  <si>
    <t>كوكوبيت عدد 7 الحبه 3</t>
  </si>
  <si>
    <t>شجره بونسيانا</t>
  </si>
  <si>
    <t>Inv-185</t>
  </si>
  <si>
    <t>Inv-186</t>
  </si>
  <si>
    <t>اوليفيرا+حلفا</t>
  </si>
  <si>
    <t>Inv-187</t>
  </si>
  <si>
    <t>مجنونخ عدد 10 الحبه 1</t>
  </si>
  <si>
    <t>Inv-188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</si>
</sst>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921.79500000000007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الحساب'!$A$4:$A$354,MATCH(1,'كشف الحساب'!$P$4:$P$354,0)),"")</f>
        <v>46121</v>
      </c>
      <c r="B6" s="122" t="str">
        <f>IFERROR(INDEX('كشف الحساب'!$B$4:$B$354,MATCH(1,'كشف الحساب'!$P$4:$P$354,0)),"")</f>
        <v>Inv-001</v>
      </c>
      <c r="C6" s="121" t="str">
        <f>IFERROR(INDEX('كشف الحساب'!$C$4:$C$354,MATCH(1,'كشف الحساب'!$P$4:$P$354,0)),"")</f>
        <v>بيع عدد١ اناناس</v>
      </c>
      <c r="D6" s="123">
        <f>IFERROR(INDEX('كشف الحساب'!$E$4:$E$354,MATCH(1,'كشف الحساب'!$P$4:$P$354,0)),"")</f>
        <v>5</v>
      </c>
      <c r="E6" s="124">
        <f>IFERROR(INDEX('كشف الحساب'!$D$4:$D$354,MATCH(1,'كشف الحساب'!$P$4:$P$354,0)),"")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الحساب'!$A$4:$A$354,MATCH(2,'كشف الحساب'!$P$4:$P$354,0)),"")</f>
        <v>46134</v>
      </c>
      <c r="B7" s="122" t="str">
        <f>IFERROR(INDEX('كشف الحساب'!$B$4:$B$354,MATCH(2,'كشف الحساب'!$P$4:$P$354,0)),"")</f>
        <v>8127</v>
      </c>
      <c r="C7" s="121" t="str">
        <f>IFERROR(INDEX('كشف الحساب'!$C$4:$C$354,MATCH(2,'كشف الحساب'!$P$4:$P$354,0)),"")</f>
        <v>تاير لعربة الرش</v>
      </c>
      <c r="D7" s="123">
        <f>IFERROR(INDEX('كشف الحساب'!$E$4:$E$354,MATCH(2,'كشف الحساب'!$P$4:$P$354,0)),"")</f>
        <v>0</v>
      </c>
      <c r="E7" s="124">
        <f>IFERROR(INDEX('كشف الحساب'!$D$4:$D$354,MATCH(2,'كشف الحساب'!$P$4:$P$354,0)),"")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الحساب'!$A$4:$A$354,MATCH(3,'كشف الحساب'!$P$4:$P$354,0)),"")</f>
        <v>46142</v>
      </c>
      <c r="B8" s="122">
        <f>IFERROR(INDEX('كشف الحساب'!$B$4:$B$354,MATCH(3,'كشف الحساب'!$P$4:$P$354,0)),"")</f>
        <v>0</v>
      </c>
      <c r="C8" s="121" t="str">
        <f>IFERROR(INDEX('كشف الحساب'!$C$4:$C$354,MATCH(3,'كشف الحساب'!$P$4:$P$354,0)),"")</f>
        <v>مدخول شهر ابريل</v>
      </c>
      <c r="D8" s="123">
        <f>IFERROR(INDEX('كشف الحساب'!$E$4:$E$354,MATCH(3,'كشف الحساب'!$P$4:$P$354,0)),"")</f>
        <v>40.5</v>
      </c>
      <c r="E8" s="124">
        <f>IFERROR(INDEX('كشف الحساب'!$D$4:$D$354,MATCH(3,'كشف الحساب'!$P$4:$P$354,0)),"")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الحساب'!$A$4:$A$354,MATCH(4,'كشف الحساب'!$P$4:$P$354,0)),"")</f>
        <v>46151</v>
      </c>
      <c r="B9" s="122" t="str">
        <f>IFERROR(INDEX('كشف الحساب'!$B$4:$B$354,MATCH(4,'كشف الحساب'!$P$4:$P$354,0)),"")</f>
        <v>Inv-013</v>
      </c>
      <c r="C9" s="121" t="str">
        <f>IFERROR(INDEX('كشف الحساب'!$C$4:$C$354,MATCH(4,'كشف الحساب'!$P$4:$P$354,0)),"")</f>
        <v>فل عدد 21 سعر الحبه .0.750</v>
      </c>
      <c r="D9" s="123">
        <f>IFERROR(INDEX('كشف الحساب'!$E$4:$E$354,MATCH(4,'كشف الحساب'!$P$4:$P$354,0)),"")</f>
        <v>15.75</v>
      </c>
      <c r="E9" s="124">
        <f>IFERROR(INDEX('كشف الحساب'!$D$4:$D$354,MATCH(4,'كشف الحساب'!$P$4:$P$354,0)),"")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الحساب'!$A$4:$A$354,MATCH(5,'كشف الحساب'!$P$4:$P$354,0)),"")</f>
        <v>46151</v>
      </c>
      <c r="B10" s="122" t="str">
        <f>IFERROR(INDEX('كشف الحساب'!$B$4:$B$354,MATCH(5,'كشف الحساب'!$P$4:$P$354,0)),"")</f>
        <v>Inv-013A</v>
      </c>
      <c r="C10" s="121" t="str">
        <f>IFERROR(INDEX('كشف الحساب'!$C$4:$C$354,MATCH(5,'كشف الحساب'!$P$4:$P$354,0)),"")</f>
        <v>برازيليا عدد 25 سعر الحبه .500</v>
      </c>
      <c r="D10" s="123">
        <f>IFERROR(INDEX('كشف الحساب'!$E$4:$E$354,MATCH(5,'كشف الحساب'!$P$4:$P$354,0)),"")</f>
        <v>12.5</v>
      </c>
      <c r="E10" s="124">
        <f>IFERROR(INDEX('كشف الحساب'!$D$4:$D$354,MATCH(5,'كشف الحساب'!$P$4:$P$354,0)),"")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الحساب'!$A$4:$A$354,MATCH(6,'كشف الحساب'!$P$4:$P$354,0)),"")</f>
        <v>46152</v>
      </c>
      <c r="B11" s="122" t="str">
        <f>IFERROR(INDEX('كشف الحساب'!$B$4:$B$354,MATCH(6,'كشف الحساب'!$P$4:$P$354,0)),"")</f>
        <v>Inv-016</v>
      </c>
      <c r="C11" s="121" t="str">
        <f>IFERROR(INDEX('كشف الحساب'!$C$4:$C$354,MATCH(6,'كشف الحساب'!$P$4:$P$354,0)),"")</f>
        <v>ودليه عدد 3 الحبه 0.750</v>
      </c>
      <c r="D11" s="123">
        <f>IFERROR(INDEX('كشف الحساب'!$E$4:$E$354,MATCH(6,'كشف الحساب'!$P$4:$P$354,0)),"")</f>
        <v>2.25</v>
      </c>
      <c r="E11" s="124">
        <f>IFERROR(INDEX('كشف الحساب'!$D$4:$D$354,MATCH(6,'كشف الحساب'!$P$4:$P$354,0)),"")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الحساب'!$A$4:$A$354,MATCH(7,'كشف الحساب'!$P$4:$P$354,0)),"")</f>
        <v>46155</v>
      </c>
      <c r="B12" s="122" t="str">
        <f>IFERROR(INDEX('كشف الحساب'!$B$4:$B$354,MATCH(7,'كشف الحساب'!$P$4:$P$354,0)),"")</f>
        <v>Inv-017</v>
      </c>
      <c r="C12" s="121" t="str">
        <f>IFERROR(INDEX('كشف الحساب'!$C$4:$C$354,MATCH(7,'كشف الحساب'!$P$4:$P$354,0)),"")</f>
        <v>فل عدد 10 الحبه 0.750</v>
      </c>
      <c r="D12" s="123">
        <f>IFERROR(INDEX('كشف الحساب'!$E$4:$E$354,MATCH(7,'كشف الحساب'!$P$4:$P$354,0)),"")</f>
        <v>7.5</v>
      </c>
      <c r="E12" s="124">
        <f>IFERROR(INDEX('كشف الحساب'!$D$4:$D$354,MATCH(7,'كشف الحساب'!$P$4:$P$354,0)),"")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الحساب'!$A$4:$A$354,MATCH(8,'كشف الحساب'!$P$4:$P$354,0)),"")</f>
        <v>46156</v>
      </c>
      <c r="B13" s="122" t="str">
        <f>IFERROR(INDEX('كشف الحساب'!$B$4:$B$354,MATCH(8,'كشف الحساب'!$P$4:$P$354,0)),"")</f>
        <v>Inv-18A</v>
      </c>
      <c r="C13" s="121" t="str">
        <f>IFERROR(INDEX('كشف الحساب'!$C$4:$C$354,MATCH(8,'كشف الحساب'!$P$4:$P$354,0)),"")</f>
        <v>ربل 4 حبات الحبه 1.500</v>
      </c>
      <c r="D13" s="123">
        <f>IFERROR(INDEX('كشف الحساب'!$E$4:$E$354,MATCH(8,'كشف الحساب'!$P$4:$P$354,0)),"")</f>
        <v>6</v>
      </c>
      <c r="E13" s="124">
        <f>IFERROR(INDEX('كشف الحساب'!$D$4:$D$354,MATCH(8,'كشف الحساب'!$P$4:$P$354,0)),"")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الحساب'!$A$4:$A$354,MATCH(9,'كشف الحساب'!$P$4:$P$354,0)),"")</f>
        <v>46156</v>
      </c>
      <c r="B14" s="122" t="str">
        <f>IFERROR(INDEX('كشف الحساب'!$B$4:$B$354,MATCH(9,'كشف الحساب'!$P$4:$P$354,0)),"")</f>
        <v>Inv-18</v>
      </c>
      <c r="C14" s="121" t="str">
        <f>IFERROR(INDEX('كشف الحساب'!$C$4:$C$354,MATCH(9,'كشف الحساب'!$P$4:$P$354,0)),"")</f>
        <v>ودليه 8 حبات الحبه 1</v>
      </c>
      <c r="D14" s="123">
        <f>IFERROR(INDEX('كشف الحساب'!$E$4:$E$354,MATCH(9,'كشف الحساب'!$P$4:$P$354,0)),"")</f>
        <v>8</v>
      </c>
      <c r="E14" s="124">
        <f>IFERROR(INDEX('كشف الحساب'!$D$4:$D$354,MATCH(9,'كشف الحساب'!$P$4:$P$354,0)),"")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الحساب'!$A$4:$A$354,MATCH(10,'كشف الحساب'!$P$4:$P$354,0)),"")</f>
        <v>46158</v>
      </c>
      <c r="B15" s="122" t="str">
        <f>IFERROR(INDEX('كشف الحساب'!$B$4:$B$354,MATCH(10,'كشف الحساب'!$P$4:$P$354,0)),"")</f>
        <v>Inv-19</v>
      </c>
      <c r="C15" s="121" t="str">
        <f>IFERROR(INDEX('كشف الحساب'!$C$4:$C$354,MATCH(10,'كشف الحساب'!$P$4:$P$354,0)),"")</f>
        <v>فل عدد 2 الحبه 0.750</v>
      </c>
      <c r="D15" s="123">
        <f>IFERROR(INDEX('كشف الحساب'!$E$4:$E$354,MATCH(10,'كشف الحساب'!$P$4:$P$354,0)),"")</f>
        <v>1.5</v>
      </c>
      <c r="E15" s="124">
        <f>IFERROR(INDEX('كشف الحساب'!$D$4:$D$354,MATCH(10,'كشف الحساب'!$P$4:$P$354,0)),"")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الحساب'!$A$4:$A$354,MATCH(11,'كشف الحساب'!$P$4:$P$354,0)),"")</f>
        <v>46158</v>
      </c>
      <c r="B16" s="122" t="str">
        <f>IFERROR(INDEX('كشف الحساب'!$B$4:$B$354,MATCH(11,'كشف الحساب'!$P$4:$P$354,0)),"")</f>
        <v>Inv-20</v>
      </c>
      <c r="C16" s="121" t="str">
        <f>IFERROR(INDEX('كشف الحساب'!$C$4:$C$354,MATCH(11,'كشف الحساب'!$P$4:$P$354,0)),"")</f>
        <v>صبار اوليفيرا عدد 3 الحبه 0.750</v>
      </c>
      <c r="D16" s="123">
        <f>IFERROR(INDEX('كشف الحساب'!$E$4:$E$354,MATCH(11,'كشف الحساب'!$P$4:$P$354,0)),"")</f>
        <v>2.25</v>
      </c>
      <c r="E16" s="124">
        <f>IFERROR(INDEX('كشف الحساب'!$D$4:$D$354,MATCH(11,'كشف الحساب'!$P$4:$P$354,0)),"")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الحساب'!$A$4:$A$354,MATCH(12,'كشف الحساب'!$P$4:$P$354,0)),"")</f>
        <v>46158</v>
      </c>
      <c r="B17" s="122" t="str">
        <f>IFERROR(INDEX('كشف الحساب'!$B$4:$B$354,MATCH(12,'كشف الحساب'!$P$4:$P$354,0)),"")</f>
        <v>Inv-21</v>
      </c>
      <c r="C17" s="121" t="str">
        <f>IFERROR(INDEX('كشف الحساب'!$C$4:$C$354,MATCH(12,'كشف الحساب'!$P$4:$P$354,0)),"")</f>
        <v>دارسينا عدد 1 الحبه 2.500</v>
      </c>
      <c r="D17" s="123">
        <f>IFERROR(INDEX('كشف الحساب'!$E$4:$E$354,MATCH(12,'كشف الحساب'!$P$4:$P$354,0)),"")</f>
        <v>2.5</v>
      </c>
      <c r="E17" s="124">
        <f>IFERROR(INDEX('كشف الحساب'!$D$4:$D$354,MATCH(12,'كشف الحساب'!$P$4:$P$354,0)),"")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الحساب'!$A$4:$A$354,MATCH(13,'كشف الحساب'!$P$4:$P$354,0)),"")</f>
        <v>46159</v>
      </c>
      <c r="B18" s="122" t="str">
        <f>IFERROR(INDEX('كشف الحساب'!$B$4:$B$354,MATCH(13,'كشف الحساب'!$P$4:$P$354,0)),"")</f>
        <v>Inv-22</v>
      </c>
      <c r="C18" s="121" t="str">
        <f>IFERROR(INDEX('كشف الحساب'!$C$4:$C$354,MATCH(13,'كشف الحساب'!$P$4:$P$354,0)),"")</f>
        <v>فل عدد 30 الحبه 0.750</v>
      </c>
      <c r="D18" s="123">
        <f>IFERROR(INDEX('كشف الحساب'!$E$4:$E$354,MATCH(13,'كشف الحساب'!$P$4:$P$354,0)),"")</f>
        <v>22.5</v>
      </c>
      <c r="E18" s="124">
        <f>IFERROR(INDEX('كشف الحساب'!$D$4:$D$354,MATCH(13,'كشف الحساب'!$P$4:$P$354,0)),"")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الحساب'!$A$4:$A$354,MATCH(14,'كشف الحساب'!$P$4:$P$354,0)),"")</f>
        <v>46159</v>
      </c>
      <c r="B19" s="122" t="str">
        <f>IFERROR(INDEX('كشف الحساب'!$B$4:$B$354,MATCH(14,'كشف الحساب'!$P$4:$P$354,0)),"")</f>
        <v>Inv-23</v>
      </c>
      <c r="C19" s="121" t="str">
        <f>IFERROR(INDEX('كشف الحساب'!$C$4:$C$354,MATCH(14,'كشف الحساب'!$P$4:$P$354,0)),"")</f>
        <v>برازيليا عدد 16 الحبه 0.500</v>
      </c>
      <c r="D19" s="123">
        <f>IFERROR(INDEX('كشف الحساب'!$E$4:$E$354,MATCH(14,'كشف الحساب'!$P$4:$P$354,0)),"")</f>
        <v>8</v>
      </c>
      <c r="E19" s="124">
        <f>IFERROR(INDEX('كشف الحساب'!$D$4:$D$354,MATCH(14,'كشف الحساب'!$P$4:$P$354,0)),"")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الحساب'!$A$4:$A$354,MATCH(15,'كشف الحساب'!$P$4:$P$354,0)),"")</f>
        <v>46160</v>
      </c>
      <c r="B20" s="122" t="str">
        <f>IFERROR(INDEX('كشف الحساب'!$B$4:$B$354,MATCH(15,'كشف الحساب'!$P$4:$P$354,0)),"")</f>
        <v>Inv-24</v>
      </c>
      <c r="C20" s="121" t="str">
        <f>IFERROR(INDEX('كشف الحساب'!$C$4:$C$354,MATCH(15,'كشف الحساب'!$P$4:$P$354,0)),"")</f>
        <v>فل عدد10 الحبه 0.750</v>
      </c>
      <c r="D20" s="123">
        <f>IFERROR(INDEX('كشف الحساب'!$E$4:$E$354,MATCH(15,'كشف الحساب'!$P$4:$P$354,0)),"")</f>
        <v>7.5</v>
      </c>
      <c r="E20" s="124">
        <f>IFERROR(INDEX('كشف الحساب'!$D$4:$D$354,MATCH(15,'كشف الحساب'!$P$4:$P$354,0)),"")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الحساب'!$A$4:$A$354,MATCH(16,'كشف الحساب'!$P$4:$P$354,0)),"")</f>
        <v>46160</v>
      </c>
      <c r="B21" s="122" t="str">
        <f>IFERROR(INDEX('كشف الحساب'!$B$4:$B$354,MATCH(16,'كشف الحساب'!$P$4:$P$354,0)),"")</f>
        <v>Inv-25</v>
      </c>
      <c r="C21" s="121" t="str">
        <f>IFERROR(INDEX('كشف الحساب'!$C$4:$C$354,MATCH(16,'كشف الحساب'!$P$4:$P$354,0)),"")</f>
        <v>دارسيناحمراء عدد 1</v>
      </c>
      <c r="D21" s="123">
        <f>IFERROR(INDEX('كشف الحساب'!$E$4:$E$354,MATCH(16,'كشف الحساب'!$P$4:$P$354,0)),"")</f>
        <v>5</v>
      </c>
      <c r="E21" s="124">
        <f>IFERROR(INDEX('كشف الحساب'!$D$4:$D$354,MATCH(16,'كشف الحساب'!$P$4:$P$354,0)),"")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الحساب'!$A$4:$A$354,MATCH(17,'كشف الحساب'!$P$4:$P$354,0)),"")</f>
        <v>46160</v>
      </c>
      <c r="B22" s="122" t="str">
        <f>IFERROR(INDEX('كشف الحساب'!$B$4:$B$354,MATCH(17,'كشف الحساب'!$P$4:$P$354,0)),"")</f>
        <v>Inv-26</v>
      </c>
      <c r="C22" s="121" t="str">
        <f>IFERROR(INDEX('كشف الحساب'!$C$4:$C$354,MATCH(17,'كشف الحساب'!$P$4:$P$354,0)),"")</f>
        <v>دارسينا خضراء عدد 2 الحبه 1.500</v>
      </c>
      <c r="D22" s="123">
        <f>IFERROR(INDEX('كشف الحساب'!$E$4:$E$354,MATCH(17,'كشف الحساب'!$P$4:$P$354,0)),"")</f>
        <v>3</v>
      </c>
      <c r="E22" s="124">
        <f>IFERROR(INDEX('كشف الحساب'!$D$4:$D$354,MATCH(17,'كشف الحساب'!$P$4:$P$354,0)),"")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الحساب'!$A$4:$A$354,MATCH(18,'كشف الحساب'!$P$4:$P$354,0)),"")</f>
        <v>46160</v>
      </c>
      <c r="B23" s="122" t="str">
        <f>IFERROR(INDEX('كشف الحساب'!$B$4:$B$354,MATCH(18,'كشف الحساب'!$P$4:$P$354,0)),"")</f>
        <v>Inv-27</v>
      </c>
      <c r="C23" s="121" t="str">
        <f>IFERROR(INDEX('كشف الحساب'!$C$4:$C$354,MATCH(18,'كشف الحساب'!$P$4:$P$354,0)),"")</f>
        <v>ربل عدد 2 الحبه 1.500</v>
      </c>
      <c r="D23" s="123">
        <f>IFERROR(INDEX('كشف الحساب'!$E$4:$E$354,MATCH(18,'كشف الحساب'!$P$4:$P$354,0)),"")</f>
        <v>3</v>
      </c>
      <c r="E23" s="124">
        <f>IFERROR(INDEX('كشف الحساب'!$D$4:$D$354,MATCH(18,'كشف الحساب'!$P$4:$P$354,0)),"")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الحساب'!$A$4:$A$354,MATCH(19,'كشف الحساب'!$P$4:$P$354,0)),"")</f>
        <v>46160</v>
      </c>
      <c r="B24" s="122" t="str">
        <f>IFERROR(INDEX('كشف الحساب'!$B$4:$B$354,MATCH(19,'كشف الحساب'!$P$4:$P$354,0)),"")</f>
        <v>Inv-28</v>
      </c>
      <c r="C24" s="121" t="str">
        <f>IFERROR(INDEX('كشف الحساب'!$C$4:$C$354,MATCH(19,'كشف الحساب'!$P$4:$P$354,0)),"")</f>
        <v>دارسينا حمراء عدد2 الحبه 2.500</v>
      </c>
      <c r="D24" s="123">
        <f>IFERROR(INDEX('كشف الحساب'!$E$4:$E$354,MATCH(19,'كشف الحساب'!$P$4:$P$354,0)),"")</f>
        <v>5</v>
      </c>
      <c r="E24" s="124">
        <f>IFERROR(INDEX('كشف الحساب'!$D$4:$D$354,MATCH(19,'كشف الحساب'!$P$4:$P$354,0)),"")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الحساب'!$A$4:$A$354,MATCH(20,'كشف الحساب'!$P$4:$P$354,0)),"")</f>
        <v>46160</v>
      </c>
      <c r="B25" s="122" t="str">
        <f>IFERROR(INDEX('كشف الحساب'!$B$4:$B$354,MATCH(20,'كشف الحساب'!$P$4:$P$354,0)),"")</f>
        <v>Inv-29</v>
      </c>
      <c r="C25" s="121" t="str">
        <f>IFERROR(INDEX('كشف الحساب'!$C$4:$C$354,MATCH(20,'كشف الحساب'!$P$4:$P$354,0)),"")</f>
        <v>برازيليا عدد 10 الحبه 0.500</v>
      </c>
      <c r="D25" s="123">
        <f>IFERROR(INDEX('كشف الحساب'!$E$4:$E$354,MATCH(20,'كشف الحساب'!$P$4:$P$354,0)),"")</f>
        <v>5</v>
      </c>
      <c r="E25" s="124">
        <f>IFERROR(INDEX('كشف الحساب'!$D$4:$D$354,MATCH(20,'كشف الحساب'!$P$4:$P$354,0)),"")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الحساب'!$A$4:$A$354,MATCH(21,'كشف الحساب'!$P$4:$P$354,0)),"")</f>
        <v>46160</v>
      </c>
      <c r="B26" s="122" t="str">
        <f>IFERROR(INDEX('كشف الحساب'!$B$4:$B$354,MATCH(21,'كشف الحساب'!$P$4:$P$354,0)),"")</f>
        <v>85164</v>
      </c>
      <c r="C26" s="121" t="str">
        <f>IFERROR(INDEX('كشف الحساب'!$C$4:$C$354,MATCH(21,'كشف الحساب'!$P$4:$P$354,0)),"")</f>
        <v>مبيد اسيتبلان عدد 1</v>
      </c>
      <c r="D26" s="123">
        <f>IFERROR(INDEX('كشف الحساب'!$E$4:$E$354,MATCH(21,'كشف الحساب'!$P$4:$P$354,0)),"")</f>
        <v>0</v>
      </c>
      <c r="E26" s="124">
        <f>IFERROR(INDEX('كشف الحساب'!$D$4:$D$354,MATCH(21,'كشف الحساب'!$P$4:$P$354,0)),"")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الحساب'!$A$4:$A$354,MATCH(22,'كشف الحساب'!$P$4:$P$354,0)),"")</f>
        <v>46161</v>
      </c>
      <c r="B27" s="122" t="str">
        <f>IFERROR(INDEX('كشف الحساب'!$B$4:$B$354,MATCH(22,'كشف الحساب'!$P$4:$P$354,0)),"")</f>
        <v>Inv-30</v>
      </c>
      <c r="C27" s="121" t="str">
        <f>IFERROR(INDEX('كشف الحساب'!$C$4:$C$354,MATCH(22,'كشف الحساب'!$P$4:$P$354,0)),"")</f>
        <v>فل عدد 30 الحبه 0.750</v>
      </c>
      <c r="D27" s="123">
        <f>IFERROR(INDEX('كشف الحساب'!$E$4:$E$354,MATCH(22,'كشف الحساب'!$P$4:$P$354,0)),"")</f>
        <v>22.5</v>
      </c>
      <c r="E27" s="124">
        <f>IFERROR(INDEX('كشف الحساب'!$D$4:$D$354,MATCH(22,'كشف الحساب'!$P$4:$P$354,0)),"")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الحساب'!$A$4:$A$354,MATCH(23,'كشف الحساب'!$P$4:$P$354,0)),"")</f>
        <v>46162</v>
      </c>
      <c r="B28" s="122" t="str">
        <f>IFERROR(INDEX('كشف الحساب'!$B$4:$B$354,MATCH(23,'كشف الحساب'!$P$4:$P$354,0)),"")</f>
        <v>Inv-31</v>
      </c>
      <c r="C28" s="121" t="str">
        <f>IFERROR(INDEX('كشف الحساب'!$C$4:$C$354,MATCH(23,'كشف الحساب'!$P$4:$P$354,0)),"")</f>
        <v>فل عدد30 الحبه 0.750</v>
      </c>
      <c r="D28" s="123">
        <f>IFERROR(INDEX('كشف الحساب'!$E$4:$E$354,MATCH(23,'كشف الحساب'!$P$4:$P$354,0)),"")</f>
        <v>22.5</v>
      </c>
      <c r="E28" s="124">
        <f>IFERROR(INDEX('كشف الحساب'!$D$4:$D$354,MATCH(23,'كشف الحساب'!$P$4:$P$354,0)),"")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الحساب'!$A$4:$A$354,MATCH(24,'كشف الحساب'!$P$4:$P$354,0)),"")</f>
        <v>46162</v>
      </c>
      <c r="B29" s="122" t="str">
        <f>IFERROR(INDEX('كشف الحساب'!$B$4:$B$354,MATCH(24,'كشف الحساب'!$P$4:$P$354,0)),"")</f>
        <v>Inv-32</v>
      </c>
      <c r="C29" s="121" t="str">
        <f>IFERROR(INDEX('كشف الحساب'!$C$4:$C$354,MATCH(24,'كشف الحساب'!$P$4:$P$354,0)),"")</f>
        <v>برازيليا عدد 50 الحبه0.500</v>
      </c>
      <c r="D29" s="123">
        <f>IFERROR(INDEX('كشف الحساب'!$E$4:$E$354,MATCH(24,'كشف الحساب'!$P$4:$P$354,0)),"")</f>
        <v>25</v>
      </c>
      <c r="E29" s="124">
        <f>IFERROR(INDEX('كشف الحساب'!$D$4:$D$354,MATCH(24,'كشف الحساب'!$P$4:$P$354,0)),"")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الحساب'!$A$4:$A$354,MATCH(25,'كشف الحساب'!$P$4:$P$354,0)),"")</f>
        <v>46163</v>
      </c>
      <c r="B30" s="122" t="str">
        <f>IFERROR(INDEX('كشف الحساب'!$B$4:$B$354,MATCH(25,'كشف الحساب'!$P$4:$P$354,0)),"")</f>
        <v>Inv-33</v>
      </c>
      <c r="C30" s="121" t="str">
        <f>IFERROR(INDEX('كشف الحساب'!$C$4:$C$354,MATCH(25,'كشف الحساب'!$P$4:$P$354,0)),"")</f>
        <v>برازيليا عدد 75 الحبه 0.500</v>
      </c>
      <c r="D30" s="123">
        <f>IFERROR(INDEX('كشف الحساب'!$E$4:$E$354,MATCH(25,'كشف الحساب'!$P$4:$P$354,0)),"")</f>
        <v>37.5</v>
      </c>
      <c r="E30" s="124">
        <f>IFERROR(INDEX('كشف الحساب'!$D$4:$D$354,MATCH(25,'كشف الحساب'!$P$4:$P$354,0)),"")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الحساب'!$A$4:$A$354,MATCH(26,'كشف الحساب'!$P$4:$P$354,0)),"")</f>
        <v>46163</v>
      </c>
      <c r="B31" s="122" t="str">
        <f>IFERROR(INDEX('كشف الحساب'!$B$4:$B$354,MATCH(26,'كشف الحساب'!$P$4:$P$354,0)),"")</f>
        <v>Inv-34</v>
      </c>
      <c r="C31" s="121" t="str">
        <f>IFERROR(INDEX('كشف الحساب'!$C$4:$C$354,MATCH(26,'كشف الحساب'!$P$4:$P$354,0)),"")</f>
        <v>دارسينيا احمر عدد1 حبه 2.500</v>
      </c>
      <c r="D31" s="123">
        <f>IFERROR(INDEX('كشف الحساب'!$E$4:$E$354,MATCH(26,'كشف الحساب'!$P$4:$P$354,0)),"")</f>
        <v>2.5</v>
      </c>
      <c r="E31" s="124">
        <f>IFERROR(INDEX('كشف الحساب'!$D$4:$D$354,MATCH(26,'كشف الحساب'!$P$4:$P$354,0)),"")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الحساب'!$A$4:$A$354,MATCH(27,'كشف الحساب'!$P$4:$P$354,0)),"")</f>
        <v>46164</v>
      </c>
      <c r="B32" s="122" t="str">
        <f>IFERROR(INDEX('كشف الحساب'!$B$4:$B$354,MATCH(27,'كشف الحساب'!$P$4:$P$354,0)),"")</f>
        <v>Inv-35</v>
      </c>
      <c r="C32" s="121" t="str">
        <f>IFERROR(INDEX('كشف الحساب'!$C$4:$C$354,MATCH(27,'كشف الحساب'!$P$4:$P$354,0)),"")</f>
        <v>دارسينا حمراء عدد 6 الحبه 2,500</v>
      </c>
      <c r="D32" s="123">
        <f>IFERROR(INDEX('كشف الحساب'!$E$4:$E$354,MATCH(27,'كشف الحساب'!$P$4:$P$354,0)),"")</f>
        <v>15</v>
      </c>
      <c r="E32" s="124">
        <f>IFERROR(INDEX('كشف الحساب'!$D$4:$D$354,MATCH(27,'كشف الحساب'!$P$4:$P$354,0)),"")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الحساب'!$A$4:$A$354,MATCH(28,'كشف الحساب'!$P$4:$P$354,0)),"")</f>
        <v>46164</v>
      </c>
      <c r="B33" s="122" t="str">
        <f>IFERROR(INDEX('كشف الحساب'!$B$4:$B$354,MATCH(28,'كشف الحساب'!$P$4:$P$354,0)),"")</f>
        <v>Inv-36</v>
      </c>
      <c r="C33" s="121" t="str">
        <f>IFERROR(INDEX('كشف الحساب'!$C$4:$C$354,MATCH(28,'كشف الحساب'!$P$4:$P$354,0)),"")</f>
        <v>ربل عدد4 الحبه 1.500</v>
      </c>
      <c r="D33" s="123">
        <f>IFERROR(INDEX('كشف الحساب'!$E$4:$E$354,MATCH(28,'كشف الحساب'!$P$4:$P$354,0)),"")</f>
        <v>6</v>
      </c>
      <c r="E33" s="124">
        <f>IFERROR(INDEX('كشف الحساب'!$D$4:$D$354,MATCH(28,'كشف الحساب'!$P$4:$P$354,0)),"")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الحساب'!$A$4:$A$354,MATCH(29,'كشف الحساب'!$P$4:$P$354,0)),"")</f>
        <v>46167</v>
      </c>
      <c r="B34" s="122" t="str">
        <f>IFERROR(INDEX('كشف الحساب'!$B$4:$B$354,MATCH(29,'كشف الحساب'!$P$4:$P$354,0)),"")</f>
        <v>Inv-37</v>
      </c>
      <c r="C34" s="121" t="str">
        <f>IFERROR(INDEX('كشف الحساب'!$C$4:$C$354,MATCH(29,'كشف الحساب'!$P$4:$P$354,0)),"")</f>
        <v>عطره عدد 10 الحبه 0.750</v>
      </c>
      <c r="D34" s="123">
        <f>IFERROR(INDEX('كشف الحساب'!$E$4:$E$354,MATCH(29,'كشف الحساب'!$P$4:$P$354,0)),"")</f>
        <v>7.5</v>
      </c>
      <c r="E34" s="124">
        <f>IFERROR(INDEX('كشف الحساب'!$D$4:$D$354,MATCH(29,'كشف الحساب'!$P$4:$P$354,0)),"")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الحساب'!$A$4:$A$354,MATCH(30,'كشف الحساب'!$P$4:$P$354,0)),"")</f>
        <v>46167</v>
      </c>
      <c r="B35" s="122" t="str">
        <f>IFERROR(INDEX('كشف الحساب'!$B$4:$B$354,MATCH(30,'كشف الحساب'!$P$4:$P$354,0)),"")</f>
        <v>Inv-38</v>
      </c>
      <c r="C35" s="121" t="str">
        <f>IFERROR(INDEX('كشف الحساب'!$C$4:$C$354,MATCH(30,'كشف الحساب'!$P$4:$P$354,0)),"")</f>
        <v>ودليه عدد 2 الحبه 1</v>
      </c>
      <c r="D35" s="123">
        <f>IFERROR(INDEX('كشف الحساب'!$E$4:$E$354,MATCH(30,'كشف الحساب'!$P$4:$P$354,0)),"")</f>
        <v>2</v>
      </c>
      <c r="E35" s="124">
        <f>IFERROR(INDEX('كشف الحساب'!$D$4:$D$354,MATCH(30,'كشف الحساب'!$P$4:$P$354,0)),"")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الحساب'!$A$4:$A$354,MATCH(31,'كشف الحساب'!$P$4:$P$354,0)),"")</f>
        <v>46167</v>
      </c>
      <c r="B36" s="122" t="str">
        <f>IFERROR(INDEX('كشف الحساب'!$B$4:$B$354,MATCH(31,'كشف الحساب'!$P$4:$P$354,0)),"")</f>
        <v>Inv-39</v>
      </c>
      <c r="C36" s="121" t="str">
        <f>IFERROR(INDEX('كشف الحساب'!$C$4:$C$354,MATCH(31,'كشف الحساب'!$P$4:$P$354,0)),"")</f>
        <v>داراسينا حمراء عدد4 الحبه 1</v>
      </c>
      <c r="D36" s="123">
        <f>IFERROR(INDEX('كشف الحساب'!$E$4:$E$354,MATCH(31,'كشف الحساب'!$P$4:$P$354,0)),"")</f>
        <v>4</v>
      </c>
      <c r="E36" s="124">
        <f>IFERROR(INDEX('كشف الحساب'!$D$4:$D$354,MATCH(31,'كشف الحساب'!$P$4:$P$354,0)),"")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الحساب'!$A$4:$A$354,MATCH(32,'كشف الحساب'!$P$4:$P$354,0)),"")</f>
        <v>46146</v>
      </c>
      <c r="B37" s="122" t="str">
        <f>IFERROR(INDEX('كشف الحساب'!$B$4:$B$354,MATCH(32,'كشف الحساب'!$P$4:$P$354,0)),"")</f>
        <v>Inv-40</v>
      </c>
      <c r="C37" s="121" t="str">
        <f>IFERROR(INDEX('كشف الحساب'!$C$4:$C$354,MATCH(32,'كشف الحساب'!$P$4:$P$354,0)),"")</f>
        <v>other</v>
      </c>
      <c r="D37" s="123">
        <f>IFERROR(INDEX('كشف الحساب'!$E$4:$E$354,MATCH(32,'كشف الحساب'!$P$4:$P$354,0)),"")</f>
        <v>9</v>
      </c>
      <c r="E37" s="124">
        <f>IFERROR(INDEX('كشف الحساب'!$D$4:$D$354,MATCH(32,'كشف الحساب'!$P$4:$P$354,0)),"")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الحساب'!$A$4:$A$354,MATCH(33,'كشف الحساب'!$P$4:$P$354,0)),"")</f>
        <v>46146</v>
      </c>
      <c r="B38" s="122" t="str">
        <f>IFERROR(INDEX('كشف الحساب'!$B$4:$B$354,MATCH(33,'كشف الحساب'!$P$4:$P$354,0)),"")</f>
        <v>Inv-41</v>
      </c>
      <c r="C38" s="121" t="str">
        <f>IFERROR(INDEX('كشف الحساب'!$C$4:$C$354,MATCH(33,'كشف الحساب'!$P$4:$P$354,0)),"")</f>
        <v>other</v>
      </c>
      <c r="D38" s="123">
        <f>IFERROR(INDEX('كشف الحساب'!$E$4:$E$354,MATCH(33,'كشف الحساب'!$P$4:$P$354,0)),"")</f>
        <v>9</v>
      </c>
      <c r="E38" s="124">
        <f>IFERROR(INDEX('كشف الحساب'!$D$4:$D$354,MATCH(33,'كشف الحساب'!$P$4:$P$354,0)),"")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الحساب'!$A$4:$A$354,MATCH(34,'كشف الحساب'!$P$4:$P$354,0)),"")</f>
        <v>46146</v>
      </c>
      <c r="B39" s="122" t="str">
        <f>IFERROR(INDEX('كشف الحساب'!$B$4:$B$354,MATCH(34,'كشف الحساب'!$P$4:$P$354,0)),"")</f>
        <v>Inv-42</v>
      </c>
      <c r="C39" s="121" t="str">
        <f>IFERROR(INDEX('كشف الحساب'!$C$4:$C$354,MATCH(34,'كشف الحساب'!$P$4:$P$354,0)),"")</f>
        <v>other</v>
      </c>
      <c r="D39" s="123">
        <f>IFERROR(INDEX('كشف الحساب'!$E$4:$E$354,MATCH(34,'كشف الحساب'!$P$4:$P$354,0)),"")</f>
        <v>2</v>
      </c>
      <c r="E39" s="124">
        <f>IFERROR(INDEX('كشف الحساب'!$D$4:$D$354,MATCH(34,'كشف الحساب'!$P$4:$P$354,0)),"")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الحساب'!$A$4:$A$354,MATCH(35,'كشف الحساب'!$P$4:$P$354,0)),"")</f>
        <v>46147</v>
      </c>
      <c r="B40" s="122" t="str">
        <f>IFERROR(INDEX('كشف الحساب'!$B$4:$B$354,MATCH(35,'كشف الحساب'!$P$4:$P$354,0)),"")</f>
        <v>Inv-43</v>
      </c>
      <c r="C40" s="121" t="str">
        <f>IFERROR(INDEX('كشف الحساب'!$C$4:$C$354,MATCH(35,'كشف الحساب'!$P$4:$P$354,0)),"")</f>
        <v>other</v>
      </c>
      <c r="D40" s="123">
        <f>IFERROR(INDEX('كشف الحساب'!$E$4:$E$354,MATCH(35,'كشف الحساب'!$P$4:$P$354,0)),"")</f>
        <v>3.75</v>
      </c>
      <c r="E40" s="124">
        <f>IFERROR(INDEX('كشف الحساب'!$D$4:$D$354,MATCH(35,'كشف الحساب'!$P$4:$P$354,0)),"")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الحساب'!$A$4:$A$354,MATCH(36,'كشف الحساب'!$P$4:$P$354,0)),"")</f>
        <v>46149</v>
      </c>
      <c r="B41" s="122" t="str">
        <f>IFERROR(INDEX('كشف الحساب'!$B$4:$B$354,MATCH(36,'كشف الحساب'!$P$4:$P$354,0)),"")</f>
        <v>Inv-44a</v>
      </c>
      <c r="C41" s="121" t="str">
        <f>IFERROR(INDEX('كشف الحساب'!$C$4:$C$354,MATCH(36,'كشف الحساب'!$P$4:$P$354,0)),"")</f>
        <v>other</v>
      </c>
      <c r="D41" s="123">
        <f>IFERROR(INDEX('كشف الحساب'!$E$4:$E$354,MATCH(36,'كشف الحساب'!$P$4:$P$354,0)),"")</f>
        <v>5</v>
      </c>
      <c r="E41" s="124">
        <f>IFERROR(INDEX('كشف الحساب'!$D$4:$D$354,MATCH(36,'كشف الحساب'!$P$4:$P$354,0)),"")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الحساب'!$A$4:$A$354,MATCH(37,'كشف الحساب'!$P$4:$P$354,0)),"")</f>
        <v>46155</v>
      </c>
      <c r="B42" s="122" t="str">
        <f>IFERROR(INDEX('كشف الحساب'!$B$4:$B$354,MATCH(37,'كشف الحساب'!$P$4:$P$354,0)),"")</f>
        <v>Inv-44</v>
      </c>
      <c r="C42" s="121" t="str">
        <f>IFERROR(INDEX('كشف الحساب'!$C$4:$C$354,MATCH(37,'كشف الحساب'!$P$4:$P$354,0)),"")</f>
        <v>other</v>
      </c>
      <c r="D42" s="123">
        <f>IFERROR(INDEX('كشف الحساب'!$E$4:$E$354,MATCH(37,'كشف الحساب'!$P$4:$P$354,0)),"")</f>
        <v>15</v>
      </c>
      <c r="E42" s="124">
        <f>IFERROR(INDEX('كشف الحساب'!$D$4:$D$354,MATCH(37,'كشف الحساب'!$P$4:$P$354,0)),"")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الحساب'!$A$4:$A$354,MATCH(38,'كشف الحساب'!$P$4:$P$354,0)),"")</f>
        <v>46155</v>
      </c>
      <c r="B43" s="122" t="str">
        <f>IFERROR(INDEX('كشف الحساب'!$B$4:$B$354,MATCH(38,'كشف الحساب'!$P$4:$P$354,0)),"")</f>
        <v>Inv-45</v>
      </c>
      <c r="C43" s="121" t="str">
        <f>IFERROR(INDEX('كشف الحساب'!$C$4:$C$354,MATCH(38,'كشف الحساب'!$P$4:$P$354,0)),"")</f>
        <v>other</v>
      </c>
      <c r="D43" s="123">
        <f>IFERROR(INDEX('كشف الحساب'!$E$4:$E$354,MATCH(38,'كشف الحساب'!$P$4:$P$354,0)),"")</f>
        <v>4</v>
      </c>
      <c r="E43" s="124">
        <f>IFERROR(INDEX('كشف الحساب'!$D$4:$D$354,MATCH(38,'كشف الحساب'!$P$4:$P$354,0)),"")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الحساب'!$A$4:$A$354,MATCH(39,'كشف الحساب'!$P$4:$P$354,0)),"")</f>
        <v>46155</v>
      </c>
      <c r="B44" s="122" t="str">
        <f>IFERROR(INDEX('كشف الحساب'!$B$4:$B$354,MATCH(39,'كشف الحساب'!$P$4:$P$354,0)),"")</f>
        <v>Inv-46</v>
      </c>
      <c r="C44" s="121" t="str">
        <f>IFERROR(INDEX('كشف الحساب'!$C$4:$C$354,MATCH(39,'كشف الحساب'!$P$4:$P$354,0)),"")</f>
        <v>other</v>
      </c>
      <c r="D44" s="123">
        <f>IFERROR(INDEX('كشف الحساب'!$E$4:$E$354,MATCH(39,'كشف الحساب'!$P$4:$P$354,0)),"")</f>
        <v>3.6</v>
      </c>
      <c r="E44" s="124">
        <f>IFERROR(INDEX('كشف الحساب'!$D$4:$D$354,MATCH(39,'كشف الحساب'!$P$4:$P$354,0)),"")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الحساب'!$A$4:$A$354,MATCH(40,'كشف الحساب'!$P$4:$P$354,0)),"")</f>
        <v>46158</v>
      </c>
      <c r="B45" s="122" t="str">
        <f>IFERROR(INDEX('كشف الحساب'!$B$4:$B$354,MATCH(40,'كشف الحساب'!$P$4:$P$354,0)),"")</f>
        <v>Inv-47</v>
      </c>
      <c r="C45" s="121" t="str">
        <f>IFERROR(INDEX('كشف الحساب'!$C$4:$C$354,MATCH(40,'كشف الحساب'!$P$4:$P$354,0)),"")</f>
        <v>other</v>
      </c>
      <c r="D45" s="123">
        <f>IFERROR(INDEX('كشف الحساب'!$E$4:$E$354,MATCH(40,'كشف الحساب'!$P$4:$P$354,0)),"")</f>
        <v>3</v>
      </c>
      <c r="E45" s="124">
        <f>IFERROR(INDEX('كشف الحساب'!$D$4:$D$354,MATCH(40,'كشف الحساب'!$P$4:$P$354,0)),"")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الحساب'!$A$4:$A$354,MATCH(41,'كشف الحساب'!$P$4:$P$354,0)),"")</f>
        <v>46155</v>
      </c>
      <c r="B46" s="122">
        <f>IFERROR(INDEX('كشف الحساب'!$B$4:$B$354,MATCH(41,'كشف الحساب'!$P$4:$P$354,0)),"")</f>
        <v>0</v>
      </c>
      <c r="C46" s="121" t="str">
        <f>IFERROR(INDEX('كشف الحساب'!$C$4:$C$354,MATCH(41,'كشف الحساب'!$P$4:$P$354,0)),"")</f>
        <v>جبس لتغطيه المحميه</v>
      </c>
      <c r="D46" s="123">
        <f>IFERROR(INDEX('كشف الحساب'!$E$4:$E$354,MATCH(41,'كشف الحساب'!$P$4:$P$354,0)),"")</f>
        <v>0</v>
      </c>
      <c r="E46" s="124">
        <f>IFERROR(INDEX('كشف الحساب'!$D$4:$D$354,MATCH(41,'كشف الحساب'!$P$4:$P$354,0)),"")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الحساب'!$A$4:$A$354,MATCH(42,'كشف الحساب'!$P$4:$P$354,0)),"")</f>
        <v>46175</v>
      </c>
      <c r="B47" s="122" t="str">
        <f>IFERROR(INDEX('كشف الحساب'!$B$4:$B$354,MATCH(42,'كشف الحساب'!$P$4:$P$354,0)),"")</f>
        <v>Inv-53</v>
      </c>
      <c r="C47" s="121" t="str">
        <f>IFERROR(INDEX('كشف الحساب'!$C$4:$C$354,MATCH(42,'كشف الحساب'!$P$4:$P$354,0)),"")</f>
        <v>فل عدد 24 الحبه .750</v>
      </c>
      <c r="D47" s="123">
        <f>IFERROR(INDEX('كشف الحساب'!$E$4:$E$354,MATCH(42,'كشف الحساب'!$P$4:$P$354,0)),"")</f>
        <v>18</v>
      </c>
      <c r="E47" s="124">
        <f>IFERROR(INDEX('كشف الحساب'!$D$4:$D$354,MATCH(42,'كشف الحساب'!$P$4:$P$354,0)),"")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الحساب'!$A$4:$A$354,MATCH(43,'كشف الحساب'!$P$4:$P$354,0)),"")</f>
        <v>46175</v>
      </c>
      <c r="B48" s="122" t="str">
        <f>IFERROR(INDEX('كشف الحساب'!$B$4:$B$354,MATCH(43,'كشف الحساب'!$P$4:$P$354,0)),"")</f>
        <v>Inv-54</v>
      </c>
      <c r="C48" s="121" t="str">
        <f>IFERROR(INDEX('كشف الحساب'!$C$4:$C$354,MATCH(43,'كشف الحساب'!$P$4:$P$354,0)),"")</f>
        <v>دارسينا خضراء عدد 1 الحبه 2</v>
      </c>
      <c r="D48" s="123">
        <f>IFERROR(INDEX('كشف الحساب'!$E$4:$E$354,MATCH(43,'كشف الحساب'!$P$4:$P$354,0)),"")</f>
        <v>2</v>
      </c>
      <c r="E48" s="124">
        <f>IFERROR(INDEX('كشف الحساب'!$D$4:$D$354,MATCH(43,'كشف الحساب'!$P$4:$P$354,0)),"")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الحساب'!$A$4:$A$354,MATCH(44,'كشف الحساب'!$P$4:$P$354,0)),"")</f>
        <v>46175</v>
      </c>
      <c r="B49" s="122" t="str">
        <f>IFERROR(INDEX('كشف الحساب'!$B$4:$B$354,MATCH(44,'كشف الحساب'!$P$4:$P$354,0)),"")</f>
        <v>Inv-55</v>
      </c>
      <c r="C49" s="121" t="str">
        <f>IFERROR(INDEX('كشف الحساب'!$C$4:$C$354,MATCH(44,'كشف الحساب'!$P$4:$P$354,0)),"")</f>
        <v>افوبيا عدد 2 الحبه .750</v>
      </c>
      <c r="D49" s="123">
        <f>IFERROR(INDEX('كشف الحساب'!$E$4:$E$354,MATCH(44,'كشف الحساب'!$P$4:$P$354,0)),"")</f>
        <v>1.5</v>
      </c>
      <c r="E49" s="124">
        <f>IFERROR(INDEX('كشف الحساب'!$D$4:$D$354,MATCH(44,'كشف الحساب'!$P$4:$P$354,0)),"")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الحساب'!$A$4:$A$354,MATCH(45,'كشف الحساب'!$P$4:$P$354,0)),"")</f>
        <v>46175</v>
      </c>
      <c r="B50" s="122" t="str">
        <f>IFERROR(INDEX('كشف الحساب'!$B$4:$B$354,MATCH(45,'كشف الحساب'!$P$4:$P$354,0)),"")</f>
        <v>Inv-56</v>
      </c>
      <c r="C50" s="121" t="str">
        <f>IFERROR(INDEX('كشف الحساب'!$C$4:$C$354,MATCH(45,'كشف الحساب'!$P$4:$P$354,0)),"")</f>
        <v>دارسينا سوداء عدد 3 الحبه 1</v>
      </c>
      <c r="D50" s="123">
        <f>IFERROR(INDEX('كشف الحساب'!$E$4:$E$354,MATCH(45,'كشف الحساب'!$P$4:$P$354,0)),"")</f>
        <v>3</v>
      </c>
      <c r="E50" s="124">
        <f>IFERROR(INDEX('كشف الحساب'!$D$4:$D$354,MATCH(45,'كشف الحساب'!$P$4:$P$354,0)),"")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الحساب'!$A$4:$A$354,MATCH(46,'كشف الحساب'!$P$4:$P$354,0)),"")</f>
        <v>46177</v>
      </c>
      <c r="B51" s="122" t="str">
        <f>IFERROR(INDEX('كشف الحساب'!$B$4:$B$354,MATCH(46,'كشف الحساب'!$P$4:$P$354,0)),"")</f>
        <v>inv-57</v>
      </c>
      <c r="C51" s="121" t="str">
        <f>IFERROR(INDEX('كشف الحساب'!$C$4:$C$354,MATCH(46,'كشف الحساب'!$P$4:$P$354,0)),"")</f>
        <v>فوزير عدد1 قيمه 1</v>
      </c>
      <c r="D51" s="123">
        <f>IFERROR(INDEX('كشف الحساب'!$E$4:$E$354,MATCH(46,'كشف الحساب'!$P$4:$P$354,0)),"")</f>
        <v>1</v>
      </c>
      <c r="E51" s="124">
        <f>IFERROR(INDEX('كشف الحساب'!$D$4:$D$354,MATCH(46,'كشف الحساب'!$P$4:$P$354,0)),"")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الحساب'!$A$4:$A$354,MATCH(47,'كشف الحساب'!$P$4:$P$354,0)),"")</f>
        <v>46177</v>
      </c>
      <c r="B52" s="122">
        <f>IFERROR(INDEX('كشف الحساب'!$B$4:$B$354,MATCH(47,'كشف الحساب'!$P$4:$P$354,0)),"")</f>
        <v>0</v>
      </c>
      <c r="C52" s="121" t="str">
        <f>IFERROR(INDEX('كشف الحساب'!$C$4:$C$354,MATCH(47,'كشف الحساب'!$P$4:$P$354,0)),"")</f>
        <v>سماد</v>
      </c>
      <c r="D52" s="123">
        <f>IFERROR(INDEX('كشف الحساب'!$E$4:$E$354,MATCH(47,'كشف الحساب'!$P$4:$P$354,0)),"")</f>
        <v>0</v>
      </c>
      <c r="E52" s="124">
        <f>IFERROR(INDEX('كشف الحساب'!$D$4:$D$354,MATCH(47,'كشف الحساب'!$P$4:$P$354,0)),"")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الحساب'!$A$4:$A$354,MATCH(48,'كشف الحساب'!$P$4:$P$354,0)),"")</f>
        <v>46177</v>
      </c>
      <c r="B53" s="122">
        <f>IFERROR(INDEX('كشف الحساب'!$B$4:$B$354,MATCH(48,'كشف الحساب'!$P$4:$P$354,0)),"")</f>
        <v>0</v>
      </c>
      <c r="C53" s="121" t="str">
        <f>IFERROR(INDEX('كشف الحساب'!$C$4:$C$354,MATCH(48,'كشف الحساب'!$P$4:$P$354,0)),"")</f>
        <v>تاير لعربة الرش</v>
      </c>
      <c r="D53" s="123">
        <f>IFERROR(INDEX('كشف الحساب'!$E$4:$E$354,MATCH(48,'كشف الحساب'!$P$4:$P$354,0)),"")</f>
        <v>0</v>
      </c>
      <c r="E53" s="124">
        <f>IFERROR(INDEX('كشف الحساب'!$D$4:$D$354,MATCH(48,'كشف الحساب'!$P$4:$P$354,0)),"")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الحساب'!$A$4:$A$354,MATCH(49,'كشف الحساب'!$P$4:$P$354,0)),"")</f>
        <v>46177</v>
      </c>
      <c r="B54" s="122">
        <f>IFERROR(INDEX('كشف الحساب'!$B$4:$B$354,MATCH(49,'كشف الحساب'!$P$4:$P$354,0)),"")</f>
        <v>0</v>
      </c>
      <c r="C54" s="121" t="str">
        <f>IFERROR(INDEX('كشف الحساب'!$C$4:$C$354,MATCH(49,'كشف الحساب'!$P$4:$P$354,0)),"")</f>
        <v>حفاره خلط السماد</v>
      </c>
      <c r="D54" s="123">
        <f>IFERROR(INDEX('كشف الحساب'!$E$4:$E$354,MATCH(49,'كشف الحساب'!$P$4:$P$354,0)),"")</f>
        <v>0</v>
      </c>
      <c r="E54" s="124">
        <f>IFERROR(INDEX('كشف الحساب'!$D$4:$D$354,MATCH(49,'كشف الحساب'!$P$4:$P$354,0)),"")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الحساب'!$A$4:$A$354,MATCH(50,'كشف الحساب'!$P$4:$P$354,0)),"")</f>
        <v>46179</v>
      </c>
      <c r="B55" s="122" t="str">
        <f>IFERROR(INDEX('كشف الحساب'!$B$4:$B$354,MATCH(50,'كشف الحساب'!$P$4:$P$354,0)),"")</f>
        <v>Inv-58</v>
      </c>
      <c r="C55" s="121" t="str">
        <f>IFERROR(INDEX('كشف الحساب'!$C$4:$C$354,MATCH(50,'كشف الحساب'!$P$4:$P$354,0)),"")</f>
        <v>دارسينا عدد3 بقيمه 1 للحبه</v>
      </c>
      <c r="D55" s="123">
        <f>IFERROR(INDEX('كشف الحساب'!$E$4:$E$354,MATCH(50,'كشف الحساب'!$P$4:$P$354,0)),"")</f>
        <v>3</v>
      </c>
      <c r="E55" s="124">
        <f>IFERROR(INDEX('كشف الحساب'!$D$4:$D$354,MATCH(50,'كشف الحساب'!$P$4:$P$354,0)),"")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الحساب'!$A$4:$A$354,MATCH(51,'كشف الحساب'!$P$4:$P$354,0)),"")</f>
        <v>46179</v>
      </c>
      <c r="B56" s="122" t="str">
        <f>IFERROR(INDEX('كشف الحساب'!$B$4:$B$354,MATCH(51,'كشف الحساب'!$P$4:$P$354,0)),"")</f>
        <v>Inv-59</v>
      </c>
      <c r="C56" s="121" t="str">
        <f>IFERROR(INDEX('كشف الحساب'!$C$4:$C$354,MATCH(51,'كشف الحساب'!$P$4:$P$354,0)),"")</f>
        <v>ودليه عدد 1 بقيمه 1</v>
      </c>
      <c r="D56" s="123">
        <f>IFERROR(INDEX('كشف الحساب'!$E$4:$E$354,MATCH(51,'كشف الحساب'!$P$4:$P$354,0)),"")</f>
        <v>1</v>
      </c>
      <c r="E56" s="124">
        <f>IFERROR(INDEX('كشف الحساب'!$D$4:$D$354,MATCH(51,'كشف الحساب'!$P$4:$P$354,0)),"")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الحساب'!$A$4:$A$354,MATCH(52,'كشف الحساب'!$P$4:$P$354,0)),"")</f>
        <v>46179</v>
      </c>
      <c r="B57" s="122" t="str">
        <f>IFERROR(INDEX('كشف الحساب'!$B$4:$B$354,MATCH(52,'كشف الحساب'!$P$4:$P$354,0)),"")</f>
        <v>Inv-60</v>
      </c>
      <c r="C57" s="121" t="str">
        <f>IFERROR(INDEX('كشف الحساب'!$C$4:$C$354,MATCH(52,'كشف الحساب'!$P$4:$P$354,0)),"")</f>
        <v>دارسينا حمراء عدد 1 بقيمه 3</v>
      </c>
      <c r="D57" s="123">
        <f>IFERROR(INDEX('كشف الحساب'!$E$4:$E$354,MATCH(52,'كشف الحساب'!$P$4:$P$354,0)),"")</f>
        <v>3</v>
      </c>
      <c r="E57" s="124">
        <f>IFERROR(INDEX('كشف الحساب'!$D$4:$D$354,MATCH(52,'كشف الحساب'!$P$4:$P$354,0)),"")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الحساب'!$A$4:$A$354,MATCH(53,'كشف الحساب'!$P$4:$P$354,0)),"")</f>
        <v>46181</v>
      </c>
      <c r="B58" s="122" t="str">
        <f>IFERROR(INDEX('كشف الحساب'!$B$4:$B$354,MATCH(53,'كشف الحساب'!$P$4:$P$354,0)),"")</f>
        <v>Inv-61</v>
      </c>
      <c r="C58" s="121" t="str">
        <f>IFERROR(INDEX('كشف الحساب'!$C$4:$C$354,MATCH(53,'كشف الحساب'!$P$4:$P$354,0)),"")</f>
        <v>فل عدد 20 بقيمه 0.750</v>
      </c>
      <c r="D58" s="123">
        <f>IFERROR(INDEX('كشف الحساب'!$E$4:$E$354,MATCH(53,'كشف الحساب'!$P$4:$P$354,0)),"")</f>
        <v>15</v>
      </c>
      <c r="E58" s="124">
        <f>IFERROR(INDEX('كشف الحساب'!$D$4:$D$354,MATCH(53,'كشف الحساب'!$P$4:$P$354,0)),"")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الحساب'!$A$4:$A$354,MATCH(54,'كشف الحساب'!$P$4:$P$354,0)),"")</f>
        <v>46181</v>
      </c>
      <c r="B59" s="122">
        <f>IFERROR(INDEX('كشف الحساب'!$B$4:$B$354,MATCH(54,'كشف الحساب'!$P$4:$P$354,0)),"")</f>
        <v>0</v>
      </c>
      <c r="C59" s="121" t="str">
        <f>IFERROR(INDEX('كشف الحساب'!$C$4:$C$354,MATCH(54,'كشف الحساب'!$P$4:$P$354,0)),"")</f>
        <v>اسمنت اسود للمحميه الصغيره الجديده</v>
      </c>
      <c r="D59" s="123">
        <f>IFERROR(INDEX('كشف الحساب'!$E$4:$E$354,MATCH(54,'كشف الحساب'!$P$4:$P$354,0)),"")</f>
        <v>0</v>
      </c>
      <c r="E59" s="124">
        <f>IFERROR(INDEX('كشف الحساب'!$D$4:$D$354,MATCH(54,'كشف الحساب'!$P$4:$P$354,0)),"")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الحساب'!$A$4:$A$354,MATCH(55,'كشف الحساب'!$P$4:$P$354,0)),"")</f>
        <v>46181</v>
      </c>
      <c r="B60" s="122">
        <f>IFERROR(INDEX('كشف الحساب'!$B$4:$B$354,MATCH(55,'كشف الحساب'!$P$4:$P$354,0)),"")</f>
        <v>0</v>
      </c>
      <c r="C60" s="121" t="str">
        <f>IFERROR(INDEX('كشف الحساب'!$C$4:$C$354,MATCH(55,'كشف الحساب'!$P$4:$P$354,0)),"")</f>
        <v>حديد اسود للمحميه الصغيره الجديده</v>
      </c>
      <c r="D60" s="123">
        <f>IFERROR(INDEX('كشف الحساب'!$E$4:$E$354,MATCH(55,'كشف الحساب'!$P$4:$P$354,0)),"")</f>
        <v>0</v>
      </c>
      <c r="E60" s="124">
        <f>IFERROR(INDEX('كشف الحساب'!$D$4:$D$354,MATCH(55,'كشف الحساب'!$P$4:$P$354,0)),"")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الحساب'!$A$4:$A$354,MATCH(56,'كشف الحساب'!$P$4:$P$354,0)),"")</f>
        <v>46182</v>
      </c>
      <c r="B61" s="122" t="str">
        <f>IFERROR(INDEX('كشف الحساب'!$B$4:$B$354,MATCH(56,'كشف الحساب'!$P$4:$P$354,0)),"")</f>
        <v>Inv-62</v>
      </c>
      <c r="C61" s="121" t="str">
        <f>IFERROR(INDEX('كشف الحساب'!$C$4:$C$354,MATCH(56,'كشف الحساب'!$P$4:$P$354,0)),"")</f>
        <v>فل عدد 30 الحبه 0.750</v>
      </c>
      <c r="D61" s="123">
        <f>IFERROR(INDEX('كشف الحساب'!$E$4:$E$354,MATCH(56,'كشف الحساب'!$P$4:$P$354,0)),"")</f>
        <v>22.5</v>
      </c>
      <c r="E61" s="124">
        <f>IFERROR(INDEX('كشف الحساب'!$D$4:$D$354,MATCH(56,'كشف الحساب'!$P$4:$P$354,0)),"")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الحساب'!$A$4:$A$354,MATCH(57,'كشف الحساب'!$P$4:$P$354,0)),"")</f>
        <v>46184</v>
      </c>
      <c r="B62" s="122">
        <f>IFERROR(INDEX('كشف الحساب'!$B$4:$B$354,MATCH(57,'كشف الحساب'!$P$4:$P$354,0)),"")</f>
        <v>0</v>
      </c>
      <c r="C62" s="121" t="str">
        <f>IFERROR(INDEX('كشف الحساب'!$C$4:$C$354,MATCH(57,'كشف الحساب'!$P$4:$P$354,0)),"")</f>
        <v>براغي</v>
      </c>
      <c r="D62" s="123">
        <f>IFERROR(INDEX('كشف الحساب'!$E$4:$E$354,MATCH(57,'كشف الحساب'!$P$4:$P$354,0)),"")</f>
        <v>0</v>
      </c>
      <c r="E62" s="124">
        <f>IFERROR(INDEX('كشف الحساب'!$D$4:$D$354,MATCH(57,'كشف الحساب'!$P$4:$P$354,0)),"")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الحساب'!$A$4:$A$354,MATCH(58,'كشف الحساب'!$P$4:$P$354,0)),"")</f>
        <v>46185</v>
      </c>
      <c r="B63" s="122">
        <f>IFERROR(INDEX('كشف الحساب'!$B$4:$B$354,MATCH(58,'كشف الحساب'!$P$4:$P$354,0)),"")</f>
        <v>0</v>
      </c>
      <c r="C63" s="121" t="str">
        <f>IFERROR(INDEX('كشف الحساب'!$C$4:$C$354,MATCH(58,'كشف الحساب'!$P$4:$P$354,0)),"")</f>
        <v>رول لحيم</v>
      </c>
      <c r="D63" s="123">
        <f>IFERROR(INDEX('كشف الحساب'!$E$4:$E$354,MATCH(58,'كشف الحساب'!$P$4:$P$354,0)),"")</f>
        <v>0</v>
      </c>
      <c r="E63" s="124">
        <f>IFERROR(INDEX('كشف الحساب'!$D$4:$D$354,MATCH(58,'كشف الحساب'!$P$4:$P$354,0)),"")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الحساب'!$A$4:$A$354,MATCH(59,'كشف الحساب'!$P$4:$P$354,0)),"")</f>
        <v>46186</v>
      </c>
      <c r="B64" s="122" t="str">
        <f>IFERROR(INDEX('كشف الحساب'!$B$4:$B$354,MATCH(59,'كشف الحساب'!$P$4:$P$354,0)),"")</f>
        <v>Inv-64</v>
      </c>
      <c r="C64" s="121" t="str">
        <f>IFERROR(INDEX('كشف الحساب'!$C$4:$C$354,MATCH(59,'كشف الحساب'!$P$4:$P$354,0)),"")</f>
        <v>معلقات عدد 10 الحبه 1</v>
      </c>
      <c r="D64" s="123">
        <f>IFERROR(INDEX('كشف الحساب'!$E$4:$E$354,MATCH(59,'كشف الحساب'!$P$4:$P$354,0)),"")</f>
        <v>10</v>
      </c>
      <c r="E64" s="124">
        <f>IFERROR(INDEX('كشف الحساب'!$D$4:$D$354,MATCH(59,'كشف الحساب'!$P$4:$P$354,0)),"")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الحساب'!$A$4:$A$354,MATCH(60,'كشف الحساب'!$P$4:$P$354,0)),"")</f>
        <v>46186</v>
      </c>
      <c r="B65" s="122" t="str">
        <f>IFERROR(INDEX('كشف الحساب'!$B$4:$B$354,MATCH(60,'كشف الحساب'!$P$4:$P$354,0)),"")</f>
        <v>Inv-65</v>
      </c>
      <c r="C65" s="121" t="str">
        <f>IFERROR(INDEX('كشف الحساب'!$C$4:$C$354,MATCH(60,'كشف الحساب'!$P$4:$P$354,0)),"")</f>
        <v>ودوليه عدد 5 الحبه 1</v>
      </c>
      <c r="D65" s="123">
        <f>IFERROR(INDEX('كشف الحساب'!$E$4:$E$354,MATCH(60,'كشف الحساب'!$P$4:$P$354,0)),"")</f>
        <v>5</v>
      </c>
      <c r="E65" s="124">
        <f>IFERROR(INDEX('كشف الحساب'!$D$4:$D$354,MATCH(60,'كشف الحساب'!$P$4:$P$354,0)),"")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الحساب'!$A$4:$A$354,MATCH(61,'كشف الحساب'!$P$4:$P$354,0)),"")</f>
        <v>46189</v>
      </c>
      <c r="B66" s="122" t="str">
        <f>IFERROR(INDEX('كشف الحساب'!$B$4:$B$354,MATCH(61,'كشف الحساب'!$P$4:$P$354,0)),"")</f>
        <v>Inv-66</v>
      </c>
      <c r="C66" s="121" t="str">
        <f>IFERROR(INDEX('كشف الحساب'!$C$4:$C$354,MATCH(61,'كشف الحساب'!$P$4:$P$354,0)),"")</f>
        <v>شوكليرا عدد10 الحبه 1.500</v>
      </c>
      <c r="D66" s="123">
        <f>IFERROR(INDEX('كشف الحساب'!$E$4:$E$354,MATCH(61,'كشف الحساب'!$P$4:$P$354,0)),"")</f>
        <v>15</v>
      </c>
      <c r="E66" s="124">
        <f>IFERROR(INDEX('كشف الحساب'!$D$4:$D$354,MATCH(61,'كشف الحساب'!$P$4:$P$354,0)),"")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الحساب'!$A$4:$A$354,MATCH(62,'كشف الحساب'!$P$4:$P$354,0)),"")</f>
        <v>46189</v>
      </c>
      <c r="B67" s="122" t="str">
        <f>IFERROR(INDEX('كشف الحساب'!$B$4:$B$354,MATCH(62,'كشف الحساب'!$P$4:$P$354,0)),"")</f>
        <v>Inv-67</v>
      </c>
      <c r="C67" s="121" t="str">
        <f>IFERROR(INDEX('كشف الحساب'!$C$4:$C$354,MATCH(62,'كشف الحساب'!$P$4:$P$354,0)),"")</f>
        <v>فيكس عدد7 الحبه 1</v>
      </c>
      <c r="D67" s="123">
        <f>IFERROR(INDEX('كشف الحساب'!$E$4:$E$354,MATCH(62,'كشف الحساب'!$P$4:$P$354,0)),"")</f>
        <v>7</v>
      </c>
      <c r="E67" s="124">
        <f>IFERROR(INDEX('كشف الحساب'!$D$4:$D$354,MATCH(62,'كشف الحساب'!$P$4:$P$354,0)),"")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الحساب'!$A$4:$A$354,MATCH(63,'كشف الحساب'!$P$4:$P$354,0)),"")</f>
        <v>46189</v>
      </c>
      <c r="B68" s="122" t="str">
        <f>IFERROR(INDEX('كشف الحساب'!$B$4:$B$354,MATCH(63,'كشف الحساب'!$P$4:$P$354,0)),"")</f>
        <v>Inv-68</v>
      </c>
      <c r="C68" s="121" t="str">
        <f>IFERROR(INDEX('كشف الحساب'!$C$4:$C$354,MATCH(63,'كشف الحساب'!$P$4:$P$354,0)),"")</f>
        <v>ربل عدد 5 الحبه 2</v>
      </c>
      <c r="D68" s="123">
        <f>IFERROR(INDEX('كشف الحساب'!$E$4:$E$354,MATCH(63,'كشف الحساب'!$P$4:$P$354,0)),"")</f>
        <v>10</v>
      </c>
      <c r="E68" s="124">
        <f>IFERROR(INDEX('كشف الحساب'!$D$4:$D$354,MATCH(63,'كشف الحساب'!$P$4:$P$354,0)),"")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الحساب'!$A$4:$A$354,MATCH(64,'كشف الحساب'!$P$4:$P$354,0)),"")</f>
        <v>46189</v>
      </c>
      <c r="B69" s="122" t="str">
        <f>IFERROR(INDEX('كشف الحساب'!$B$4:$B$354,MATCH(64,'كشف الحساب'!$P$4:$P$354,0)),"")</f>
        <v>Inv-69</v>
      </c>
      <c r="C69" s="121" t="str">
        <f>IFERROR(INDEX('كشف الحساب'!$C$4:$C$354,MATCH(64,'كشف الحساب'!$P$4:$P$354,0)),"")</f>
        <v>فل عدد 24 الحبه .750</v>
      </c>
      <c r="D69" s="123">
        <f>IFERROR(INDEX('كشف الحساب'!$E$4:$E$354,MATCH(64,'كشف الحساب'!$P$4:$P$354,0)),"")</f>
        <v>18</v>
      </c>
      <c r="E69" s="124">
        <f>IFERROR(INDEX('كشف الحساب'!$D$4:$D$354,MATCH(64,'كشف الحساب'!$P$4:$P$354,0)),"")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الحساب'!$A$4:$A$354,MATCH(65,'كشف الحساب'!$P$4:$P$354,0)),"")</f>
        <v>46188</v>
      </c>
      <c r="B70" s="122">
        <f>IFERROR(INDEX('كشف الحساب'!$B$4:$B$354,MATCH(65,'كشف الحساب'!$P$4:$P$354,0)),"")</f>
        <v>0</v>
      </c>
      <c r="C70" s="121" t="str">
        <f>IFERROR(INDEX('كشف الحساب'!$C$4:$C$354,MATCH(65,'كشف الحساب'!$P$4:$P$354,0)),"")</f>
        <v>أقامه عبدول</v>
      </c>
      <c r="D70" s="123">
        <f>IFERROR(INDEX('كشف الحساب'!$E$4:$E$354,MATCH(65,'كشف الحساب'!$P$4:$P$354,0)),"")</f>
        <v>0</v>
      </c>
      <c r="E70" s="124">
        <f>IFERROR(INDEX('كشف الحساب'!$D$4:$D$354,MATCH(65,'كشف الحساب'!$P$4:$P$354,0)),"")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الحساب'!$A$4:$A$354,MATCH(66,'كشف الحساب'!$P$4:$P$354,0)),"")</f>
        <v>46190</v>
      </c>
      <c r="B71" s="122" t="str">
        <f>IFERROR(INDEX('كشف الحساب'!$B$4:$B$354,MATCH(66,'كشف الحساب'!$P$4:$P$354,0)),"")</f>
        <v>Inv-70</v>
      </c>
      <c r="C71" s="121" t="str">
        <f>IFERROR(INDEX('كشف الحساب'!$C$4:$C$354,MATCH(66,'كشف الحساب'!$P$4:$P$354,0)),"")</f>
        <v>افوبياعدد 1 الحبه .0.750</v>
      </c>
      <c r="D71" s="123">
        <f>IFERROR(INDEX('كشف الحساب'!$E$4:$E$354,MATCH(66,'كشف الحساب'!$P$4:$P$354,0)),"")</f>
        <v>0.75</v>
      </c>
      <c r="E71" s="124">
        <f>IFERROR(INDEX('كشف الحساب'!$D$4:$D$354,MATCH(66,'كشف الحساب'!$P$4:$P$354,0)),"")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الحساب'!$A$4:$A$354,MATCH(67,'كشف الحساب'!$P$4:$P$354,0)),"")</f>
        <v>46190</v>
      </c>
      <c r="B72" s="122" t="str">
        <f>IFERROR(INDEX('كشف الحساب'!$B$4:$B$354,MATCH(67,'كشف الحساب'!$P$4:$P$354,0)),"")</f>
        <v>Inv-71</v>
      </c>
      <c r="C72" s="121" t="str">
        <f>IFERROR(INDEX('كشف الحساب'!$C$4:$C$354,MATCH(67,'كشف الحساب'!$P$4:$P$354,0)),"")</f>
        <v>دارسينا عدد 1 الحبه 1.500</v>
      </c>
      <c r="D72" s="123">
        <f>IFERROR(INDEX('كشف الحساب'!$E$4:$E$354,MATCH(67,'كشف الحساب'!$P$4:$P$354,0)),"")</f>
        <v>1.5</v>
      </c>
      <c r="E72" s="124">
        <f>IFERROR(INDEX('كشف الحساب'!$D$4:$D$354,MATCH(67,'كشف الحساب'!$P$4:$P$354,0)),"")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الحساب'!$A$4:$A$354,MATCH(68,'كشف الحساب'!$P$4:$P$354,0)),"")</f>
        <v>46191</v>
      </c>
      <c r="B73" s="122" t="str">
        <f>IFERROR(INDEX('كشف الحساب'!$B$4:$B$354,MATCH(68,'كشف الحساب'!$P$4:$P$354,0)),"")</f>
        <v>Inv-72</v>
      </c>
      <c r="C73" s="121" t="str">
        <f>IFERROR(INDEX('كشف الحساب'!$C$4:$C$354,MATCH(68,'كشف الحساب'!$P$4:$P$354,0)),"")</f>
        <v>فل عدد 1 الحبه 0.750</v>
      </c>
      <c r="D73" s="123">
        <f>IFERROR(INDEX('كشف الحساب'!$E$4:$E$354,MATCH(68,'كشف الحساب'!$P$4:$P$354,0)),"")</f>
        <v>0.75</v>
      </c>
      <c r="E73" s="124">
        <f>IFERROR(INDEX('كشف الحساب'!$D$4:$D$354,MATCH(68,'كشف الحساب'!$P$4:$P$354,0)),"")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الحساب'!$A$4:$A$354,MATCH(69,'كشف الحساب'!$P$4:$P$354,0)),"")</f>
        <v>46191</v>
      </c>
      <c r="B74" s="122" t="str">
        <f>IFERROR(INDEX('كشف الحساب'!$B$4:$B$354,MATCH(69,'كشف الحساب'!$P$4:$P$354,0)),"")</f>
        <v>Inv-73</v>
      </c>
      <c r="C74" s="121" t="str">
        <f>IFERROR(INDEX('كشف الحساب'!$C$4:$C$354,MATCH(69,'كشف الحساب'!$P$4:$P$354,0)),"")</f>
        <v>ودليه عدد 3 الحبه 1</v>
      </c>
      <c r="D74" s="123">
        <f>IFERROR(INDEX('كشف الحساب'!$E$4:$E$354,MATCH(69,'كشف الحساب'!$P$4:$P$354,0)),"")</f>
        <v>3</v>
      </c>
      <c r="E74" s="124">
        <f>IFERROR(INDEX('كشف الحساب'!$D$4:$D$354,MATCH(69,'كشف الحساب'!$P$4:$P$354,0)),"")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الحساب'!$A$4:$A$354,MATCH(70,'كشف الحساب'!$P$4:$P$354,0)),"")</f>
        <v>46199</v>
      </c>
      <c r="B75" s="122" t="str">
        <f>IFERROR(INDEX('كشف الحساب'!$B$4:$B$354,MATCH(70,'كشف الحساب'!$P$4:$P$354,0)),"")</f>
        <v>Inv-74</v>
      </c>
      <c r="C75" s="121" t="str">
        <f>IFERROR(INDEX('كشف الحساب'!$C$4:$C$354,MATCH(70,'كشف الحساب'!$P$4:$P$354,0)),"")</f>
        <v>ربل عدد 11 الحبه 2</v>
      </c>
      <c r="D75" s="123">
        <f>IFERROR(INDEX('كشف الحساب'!$E$4:$E$354,MATCH(70,'كشف الحساب'!$P$4:$P$354,0)),"")</f>
        <v>22</v>
      </c>
      <c r="E75" s="124">
        <f>IFERROR(INDEX('كشف الحساب'!$D$4:$D$354,MATCH(70,'كشف الحساب'!$P$4:$P$354,0)),"")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الحساب'!$A$4:$A$354,MATCH(71,'كشف الحساب'!$P$4:$P$354,0)),"")</f>
        <v>46199</v>
      </c>
      <c r="B76" s="122" t="str">
        <f>IFERROR(INDEX('كشف الحساب'!$B$4:$B$354,MATCH(71,'كشف الحساب'!$P$4:$P$354,0)),"")</f>
        <v>Inv-75</v>
      </c>
      <c r="C76" s="121" t="str">
        <f>IFERROR(INDEX('كشف الحساب'!$C$4:$C$354,MATCH(71,'كشف الحساب'!$P$4:$P$354,0)),"")</f>
        <v>شوفليرا عدد6 الحبه 1.500</v>
      </c>
      <c r="D76" s="123">
        <f>IFERROR(INDEX('كشف الحساب'!$E$4:$E$354,MATCH(71,'كشف الحساب'!$P$4:$P$354,0)),"")</f>
        <v>9</v>
      </c>
      <c r="E76" s="124">
        <f>IFERROR(INDEX('كشف الحساب'!$D$4:$D$354,MATCH(71,'كشف الحساب'!$P$4:$P$354,0)),"")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الحساب'!$A$4:$A$354,MATCH(72,'كشف الحساب'!$P$4:$P$354,0)),"")</f>
        <v>46197</v>
      </c>
      <c r="B77" s="122">
        <f>IFERROR(INDEX('كشف الحساب'!$B$4:$B$354,MATCH(72,'كشف الحساب'!$P$4:$P$354,0)),"")</f>
        <v>0</v>
      </c>
      <c r="C77" s="121" t="str">
        <f>IFERROR(INDEX('كشف الحساب'!$C$4:$C$354,MATCH(72,'كشف الحساب'!$P$4:$P$354,0)),"")</f>
        <v>nbk 18-18-18</v>
      </c>
      <c r="D77" s="123">
        <f>IFERROR(INDEX('كشف الحساب'!$E$4:$E$354,MATCH(72,'كشف الحساب'!$P$4:$P$354,0)),"")</f>
        <v>0</v>
      </c>
      <c r="E77" s="124">
        <f>IFERROR(INDEX('كشف الحساب'!$D$4:$D$354,MATCH(72,'كشف الحساب'!$P$4:$P$354,0)),"")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الحساب'!$A$4:$A$354,MATCH(73,'كشف الحساب'!$P$4:$P$354,0)),"")</f>
        <v>46201</v>
      </c>
      <c r="B78" s="122" t="str">
        <f>IFERROR(INDEX('كشف الحساب'!$B$4:$B$354,MATCH(73,'كشف الحساب'!$P$4:$P$354,0)),"")</f>
        <v>Inv-76</v>
      </c>
      <c r="C78" s="121" t="str">
        <f>IFERROR(INDEX('كشف الحساب'!$C$4:$C$354,MATCH(73,'كشف الحساب'!$P$4:$P$354,0)),"")</f>
        <v>فل عدد 11 الحبه 0.750</v>
      </c>
      <c r="D78" s="123">
        <f>IFERROR(INDEX('كشف الحساب'!$E$4:$E$354,MATCH(73,'كشف الحساب'!$P$4:$P$354,0)),"")</f>
        <v>8.25</v>
      </c>
      <c r="E78" s="124">
        <f>IFERROR(INDEX('كشف الحساب'!$D$4:$D$354,MATCH(73,'كشف الحساب'!$P$4:$P$354,0)),"")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الحساب'!$A$4:$A$354,MATCH(74,'كشف الحساب'!$P$4:$P$354,0)),"")</f>
        <v>46202</v>
      </c>
      <c r="B79" s="122" t="str">
        <f>IFERROR(INDEX('كشف الحساب'!$B$4:$B$354,MATCH(74,'كشف الحساب'!$P$4:$P$354,0)),"")</f>
        <v>Inv-77</v>
      </c>
      <c r="C79" s="121" t="str">
        <f>IFERROR(INDEX('كشف الحساب'!$C$4:$C$354,MATCH(74,'كشف الحساب'!$P$4:$P$354,0)),"")</f>
        <v>عطره عدد 3 الحبه 0.750</v>
      </c>
      <c r="D79" s="123">
        <f>IFERROR(INDEX('كشف الحساب'!$E$4:$E$354,MATCH(74,'كشف الحساب'!$P$4:$P$354,0)),"")</f>
        <v>2.25</v>
      </c>
      <c r="E79" s="124">
        <f>IFERROR(INDEX('كشف الحساب'!$D$4:$D$354,MATCH(74,'كشف الحساب'!$P$4:$P$354,0)),"")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الحساب'!$A$4:$A$354,MATCH(75,'كشف الحساب'!$P$4:$P$354,0)),"")</f>
        <v>46202</v>
      </c>
      <c r="B80" s="122" t="str">
        <f>IFERROR(INDEX('كشف الحساب'!$B$4:$B$354,MATCH(75,'كشف الحساب'!$P$4:$P$354,0)),"")</f>
        <v>Inv-78</v>
      </c>
      <c r="C80" s="121" t="str">
        <f>IFERROR(INDEX('كشف الحساب'!$C$4:$C$354,MATCH(75,'كشف الحساب'!$P$4:$P$354,0)),"")</f>
        <v>معلقات عدد 3 الحبه 1</v>
      </c>
      <c r="D80" s="123">
        <f>IFERROR(INDEX('كشف الحساب'!$E$4:$E$354,MATCH(75,'كشف الحساب'!$P$4:$P$354,0)),"")</f>
        <v>3</v>
      </c>
      <c r="E80" s="124">
        <f>IFERROR(INDEX('كشف الحساب'!$D$4:$D$354,MATCH(75,'كشف الحساب'!$P$4:$P$354,0)),"")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الحساب'!$A$4:$A$354,MATCH(76,'كشف الحساب'!$P$4:$P$354,0)),"")</f>
        <v>46203</v>
      </c>
      <c r="B81" s="122" t="str">
        <f>IFERROR(INDEX('كشف الحساب'!$B$4:$B$354,MATCH(76,'كشف الحساب'!$P$4:$P$354,0)),"")</f>
        <v>Inv-79</v>
      </c>
      <c r="C81" s="121" t="str">
        <f>IFERROR(INDEX('كشف الحساب'!$C$4:$C$354,MATCH(76,'كشف الحساب'!$P$4:$P$354,0)),"")</f>
        <v>معلقات عدد 4 الحبه 1</v>
      </c>
      <c r="D81" s="123">
        <f>IFERROR(INDEX('كشف الحساب'!$E$4:$E$354,MATCH(76,'كشف الحساب'!$P$4:$P$354,0)),"")</f>
        <v>4</v>
      </c>
      <c r="E81" s="124">
        <f>IFERROR(INDEX('كشف الحساب'!$D$4:$D$354,MATCH(76,'كشف الحساب'!$P$4:$P$354,0)),"")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الحساب'!$A$4:$A$354,MATCH(77,'كشف الحساب'!$P$4:$P$354,0)),"")</f>
        <v>46203</v>
      </c>
      <c r="B82" s="122" t="str">
        <f>IFERROR(INDEX('كشف الحساب'!$B$4:$B$354,MATCH(77,'كشف الحساب'!$P$4:$P$354,0)),"")</f>
        <v>Inv-80</v>
      </c>
      <c r="C82" s="121" t="str">
        <f>IFERROR(INDEX('كشف الحساب'!$C$4:$C$354,MATCH(77,'كشف الحساب'!$P$4:$P$354,0)),"")</f>
        <v>معلقات عدد4 الحبه 1</v>
      </c>
      <c r="D82" s="123">
        <f>IFERROR(INDEX('كشف الحساب'!$E$4:$E$354,MATCH(77,'كشف الحساب'!$P$4:$P$354,0)),"")</f>
        <v>4</v>
      </c>
      <c r="E82" s="124">
        <f>IFERROR(INDEX('كشف الحساب'!$D$4:$D$354,MATCH(77,'كشف الحساب'!$P$4:$P$354,0)),"")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الحساب'!$A$4:$A$354,MATCH(78,'كشف الحساب'!$P$4:$P$354,0)),"")</f>
        <v>46203</v>
      </c>
      <c r="B83" s="122" t="str">
        <f>IFERROR(INDEX('كشف الحساب'!$B$4:$B$354,MATCH(78,'كشف الحساب'!$P$4:$P$354,0)),"")</f>
        <v>Inv-81</v>
      </c>
      <c r="C83" s="121" t="str">
        <f>IFERROR(INDEX('كشف الحساب'!$C$4:$C$354,MATCH(78,'كشف الحساب'!$P$4:$P$354,0)),"")</f>
        <v>افوبيا عدد 2 الحبه 1</v>
      </c>
      <c r="D83" s="123">
        <f>IFERROR(INDEX('كشف الحساب'!$E$4:$E$354,MATCH(78,'كشف الحساب'!$P$4:$P$354,0)),"")</f>
        <v>2</v>
      </c>
      <c r="E83" s="124">
        <f>IFERROR(INDEX('كشف الحساب'!$D$4:$D$354,MATCH(78,'كشف الحساب'!$P$4:$P$354,0)),"")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الحساب'!$A$4:$A$354,MATCH(79,'كشف الحساب'!$P$4:$P$354,0)),"")</f>
        <v>46203</v>
      </c>
      <c r="B84" s="122">
        <f>IFERROR(INDEX('كشف الحساب'!$B$4:$B$354,MATCH(79,'كشف الحساب'!$P$4:$P$354,0)),"")</f>
        <v>0</v>
      </c>
      <c r="C84" s="121" t="str">
        <f>IFERROR(INDEX('كشف الحساب'!$C$4:$C$354,MATCH(79,'كشف الحساب'!$P$4:$P$354,0)),"")</f>
        <v>رواتب عماله شهر يونيو 2026</v>
      </c>
      <c r="D84" s="123">
        <f>IFERROR(INDEX('كشف الحساب'!$E$4:$E$354,MATCH(79,'كشف الحساب'!$P$4:$P$354,0)),"")</f>
        <v>0</v>
      </c>
      <c r="E84" s="124">
        <f>IFERROR(INDEX('كشف الحساب'!$D$4:$D$354,MATCH(79,'كشف الحساب'!$P$4:$P$354,0)),"")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الحساب'!$A$4:$A$354,MATCH(80,'كشف الحساب'!$P$4:$P$354,0)),"")</f>
        <v>46203</v>
      </c>
      <c r="B85" s="122">
        <f>IFERROR(INDEX('كشف الحساب'!$B$4:$B$354,MATCH(80,'كشف الحساب'!$P$4:$P$354,0)),"")</f>
        <v>0</v>
      </c>
      <c r="C85" s="121" t="str">
        <f>IFERROR(INDEX('كشف الحساب'!$C$4:$C$354,MATCH(80,'كشف الحساب'!$P$4:$P$354,0)),"")</f>
        <v>احواض عدد 1000 مقاس 25 سم</v>
      </c>
      <c r="D85" s="123">
        <f>IFERROR(INDEX('كشف الحساب'!$E$4:$E$354,MATCH(80,'كشف الحساب'!$P$4:$P$354,0)),"")</f>
        <v>0</v>
      </c>
      <c r="E85" s="124">
        <f>IFERROR(INDEX('كشف الحساب'!$D$4:$D$354,MATCH(80,'كشف الحساب'!$P$4:$P$354,0)),"")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الحساب'!$A$4:$A$354,MATCH(81,'كشف الحساب'!$P$4:$P$354,0)),"")</f>
        <v>46207</v>
      </c>
      <c r="B86" s="122">
        <f>IFERROR(INDEX('كشف الحساب'!$B$4:$B$354,MATCH(81,'كشف الحساب'!$P$4:$P$354,0)),"")</f>
        <v>0</v>
      </c>
      <c r="C86" s="121" t="str">
        <f>IFERROR(INDEX('كشف الحساب'!$C$4:$C$354,MATCH(81,'كشف الحساب'!$P$4:$P$354,0)),"")</f>
        <v>احواض عدد 1000 مقاس 14 سم</v>
      </c>
      <c r="D86" s="123">
        <f>IFERROR(INDEX('كشف الحساب'!$E$4:$E$354,MATCH(81,'كشف الحساب'!$P$4:$P$354,0)),"")</f>
        <v>0</v>
      </c>
      <c r="E86" s="124">
        <f>IFERROR(INDEX('كشف الحساب'!$D$4:$D$354,MATCH(81,'كشف الحساب'!$P$4:$P$354,0)),"")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الحساب'!$A$4:$A$354,MATCH(82,'كشف الحساب'!$P$4:$P$354,0)),"")</f>
        <v>46206</v>
      </c>
      <c r="B87" s="122" t="str">
        <f>IFERROR(INDEX('كشف الحساب'!$B$4:$B$354,MATCH(82,'كشف الحساب'!$P$4:$P$354,0)),"")</f>
        <v>Inv-82</v>
      </c>
      <c r="C87" s="121" t="str">
        <f>IFERROR(INDEX('كشف الحساب'!$C$4:$C$354,MATCH(82,'كشف الحساب'!$P$4:$P$354,0)),"")</f>
        <v>دارسينا عدد 1 بقيمه 2.500</v>
      </c>
      <c r="D87" s="123">
        <f>IFERROR(INDEX('كشف الحساب'!$E$4:$E$354,MATCH(82,'كشف الحساب'!$P$4:$P$354,0)),"")</f>
        <v>2.5</v>
      </c>
      <c r="E87" s="124">
        <f>IFERROR(INDEX('كشف الحساب'!$D$4:$D$354,MATCH(82,'كشف الحساب'!$P$4:$P$354,0)),"")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الحساب'!$A$4:$A$354,MATCH(83,'كشف الحساب'!$P$4:$P$354,0)),"")</f>
        <v>46207</v>
      </c>
      <c r="B88" s="122" t="str">
        <f>IFERROR(INDEX('كشف الحساب'!$B$4:$B$354,MATCH(83,'كشف الحساب'!$P$4:$P$354,0)),"")</f>
        <v>Inv-83</v>
      </c>
      <c r="C88" s="121" t="str">
        <f>IFERROR(INDEX('كشف الحساب'!$C$4:$C$354,MATCH(83,'كشف الحساب'!$P$4:$P$354,0)),"")</f>
        <v>ودليه عدد13 الحبه 1</v>
      </c>
      <c r="D88" s="123">
        <f>IFERROR(INDEX('كشف الحساب'!$E$4:$E$354,MATCH(83,'كشف الحساب'!$P$4:$P$354,0)),"")</f>
        <v>13</v>
      </c>
      <c r="E88" s="124">
        <f>IFERROR(INDEX('كشف الحساب'!$D$4:$D$354,MATCH(83,'كشف الحساب'!$P$4:$P$354,0)),"")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الحساب'!$A$4:$A$354,MATCH(84,'كشف الحساب'!$P$4:$P$354,0)),"")</f>
        <v>46207</v>
      </c>
      <c r="B89" s="122" t="str">
        <f>IFERROR(INDEX('كشف الحساب'!$B$4:$B$354,MATCH(84,'كشف الحساب'!$P$4:$P$354,0)),"")</f>
        <v>Inv-84</v>
      </c>
      <c r="C89" s="121" t="str">
        <f>IFERROR(INDEX('كشف الحساب'!$C$4:$C$354,MATCH(84,'كشف الحساب'!$P$4:$P$354,0)),"")</f>
        <v>معلقات عدد 4 الحبه 2</v>
      </c>
      <c r="D89" s="123">
        <f>IFERROR(INDEX('كشف الحساب'!$E$4:$E$354,MATCH(84,'كشف الحساب'!$P$4:$P$354,0)),"")</f>
        <v>8</v>
      </c>
      <c r="E89" s="124">
        <f>IFERROR(INDEX('كشف الحساب'!$D$4:$D$354,MATCH(84,'كشف الحساب'!$P$4:$P$354,0)),"")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الحساب'!$A$4:$A$354,MATCH(85,'كشف الحساب'!$P$4:$P$354,0)),"")</f>
        <v>46211</v>
      </c>
      <c r="B90" s="122" t="str">
        <f>IFERROR(INDEX('كشف الحساب'!$B$4:$B$354,MATCH(85,'كشف الحساب'!$P$4:$P$354,0)),"")</f>
        <v>Inv-85</v>
      </c>
      <c r="C90" s="121" t="str">
        <f>IFERROR(INDEX('كشف الحساب'!$C$4:$C$354,MATCH(85,'كشف الحساب'!$P$4:$P$354,0)),"")</f>
        <v>عطريات عدد8 الحبه 1</v>
      </c>
      <c r="D90" s="123">
        <f>IFERROR(INDEX('كشف الحساب'!$E$4:$E$354,MATCH(85,'كشف الحساب'!$P$4:$P$354,0)),"")</f>
        <v>8</v>
      </c>
      <c r="E90" s="124">
        <f>IFERROR(INDEX('كشف الحساب'!$D$4:$D$354,MATCH(85,'كشف الحساب'!$P$4:$P$354,0)),"")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الحساب'!$A$4:$A$354,MATCH(86,'كشف الحساب'!$P$4:$P$354,0)),"")</f>
        <v>46211</v>
      </c>
      <c r="B91" s="122" t="str">
        <f>IFERROR(INDEX('كشف الحساب'!$B$4:$B$354,MATCH(86,'كشف الحساب'!$P$4:$P$354,0)),"")</f>
        <v>Inv-86</v>
      </c>
      <c r="C91" s="121" t="str">
        <f>IFERROR(INDEX('كشف الحساب'!$C$4:$C$354,MATCH(86,'كشف الحساب'!$P$4:$P$354,0)),"")</f>
        <v>دارسينا سوداء عدد 12 الحبه 2</v>
      </c>
      <c r="D91" s="123">
        <f>IFERROR(INDEX('كشف الحساب'!$E$4:$E$354,MATCH(86,'كشف الحساب'!$P$4:$P$354,0)),"")</f>
        <v>24</v>
      </c>
      <c r="E91" s="124">
        <f>IFERROR(INDEX('كشف الحساب'!$D$4:$D$354,MATCH(86,'كشف الحساب'!$P$4:$P$354,0)),"")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الحساب'!$A$4:$A$354,MATCH(87,'كشف الحساب'!$P$4:$P$354,0)),"")</f>
        <v>46211</v>
      </c>
      <c r="B92" s="122" t="str">
        <f>IFERROR(INDEX('كشف الحساب'!$B$4:$B$354,MATCH(87,'كشف الحساب'!$P$4:$P$354,0)),"")</f>
        <v>Inv-87</v>
      </c>
      <c r="C92" s="121" t="str">
        <f>IFERROR(INDEX('كشف الحساب'!$C$4:$C$354,MATCH(87,'كشف الحساب'!$P$4:$P$354,0)),"")</f>
        <v>عطريات عدد 8 الحبه 1</v>
      </c>
      <c r="D92" s="123">
        <f>IFERROR(INDEX('كشف الحساب'!$E$4:$E$354,MATCH(87,'كشف الحساب'!$P$4:$P$354,0)),"")</f>
        <v>8</v>
      </c>
      <c r="E92" s="124">
        <f>IFERROR(INDEX('كشف الحساب'!$D$4:$D$354,MATCH(87,'كشف الحساب'!$P$4:$P$354,0)),"")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الحساب'!$A$4:$A$354,MATCH(88,'كشف الحساب'!$P$4:$P$354,0)),"")</f>
        <v>46212</v>
      </c>
      <c r="B93" s="122" t="str">
        <f>IFERROR(INDEX('كشف الحساب'!$B$4:$B$354,MATCH(88,'كشف الحساب'!$P$4:$P$354,0)),"")</f>
        <v>Inv-88</v>
      </c>
      <c r="C93" s="121" t="str">
        <f>IFERROR(INDEX('كشف الحساب'!$C$4:$C$354,MATCH(88,'كشف الحساب'!$P$4:$P$354,0)),"")</f>
        <v>دارسنا عدد1 الحبه 5</v>
      </c>
      <c r="D93" s="123">
        <f>IFERROR(INDEX('كشف الحساب'!$E$4:$E$354,MATCH(88,'كشف الحساب'!$P$4:$P$354,0)),"")</f>
        <v>5</v>
      </c>
      <c r="E93" s="124">
        <f>IFERROR(INDEX('كشف الحساب'!$D$4:$D$354,MATCH(88,'كشف الحساب'!$P$4:$P$354,0)),"")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الحساب'!$A$4:$A$354,MATCH(89,'كشف الحساب'!$P$4:$P$354,0)),"")</f>
        <v>46212</v>
      </c>
      <c r="B94" s="122" t="str">
        <f>IFERROR(INDEX('كشف الحساب'!$B$4:$B$354,MATCH(89,'كشف الحساب'!$P$4:$P$354,0)),"")</f>
        <v>Inv-89</v>
      </c>
      <c r="C94" s="121" t="str">
        <f>IFERROR(INDEX('كشف الحساب'!$C$4:$C$354,MATCH(89,'كشف الحساب'!$P$4:$P$354,0)),"")</f>
        <v>فل عدد1 الحبه .750</v>
      </c>
      <c r="D94" s="123">
        <f>IFERROR(INDEX('كشف الحساب'!$E$4:$E$354,MATCH(89,'كشف الحساب'!$P$4:$P$354,0)),"")</f>
        <v>0.75</v>
      </c>
      <c r="E94" s="124">
        <f>IFERROR(INDEX('كشف الحساب'!$D$4:$D$354,MATCH(89,'كشف الحساب'!$P$4:$P$354,0)),"")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الحساب'!$A$4:$A$354,MATCH(90,'كشف الحساب'!$P$4:$P$354,0)),"")</f>
        <v>46212</v>
      </c>
      <c r="B95" s="122" t="str">
        <f>IFERROR(INDEX('كشف الحساب'!$B$4:$B$354,MATCH(90,'كشف الحساب'!$P$4:$P$354,0)),"")</f>
        <v>Inv-90</v>
      </c>
      <c r="C95" s="121" t="str">
        <f>IFERROR(INDEX('كشف الحساب'!$C$4:$C$354,MATCH(90,'كشف الحساب'!$P$4:$P$354,0)),"")</f>
        <v>دارسينا عدد 1 الحبه 1.500</v>
      </c>
      <c r="D95" s="123">
        <f>IFERROR(INDEX('كشف الحساب'!$E$4:$E$354,MATCH(90,'كشف الحساب'!$P$4:$P$354,0)),"")</f>
        <v>1.5</v>
      </c>
      <c r="E95" s="124">
        <f>IFERROR(INDEX('كشف الحساب'!$D$4:$D$354,MATCH(90,'كشف الحساب'!$P$4:$P$354,0)),"")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الحساب'!$A$4:$A$354,MATCH(91,'كشف الحساب'!$P$4:$P$354,0)),"")</f>
        <v>46212</v>
      </c>
      <c r="B96" s="122" t="str">
        <f>IFERROR(INDEX('كشف الحساب'!$B$4:$B$354,MATCH(91,'كشف الحساب'!$P$4:$P$354,0)),"")</f>
        <v>Inv-91</v>
      </c>
      <c r="C96" s="121" t="str">
        <f>IFERROR(INDEX('كشف الحساب'!$C$4:$C$354,MATCH(91,'كشف الحساب'!$P$4:$P$354,0)),"")</f>
        <v>افبوديا عدد الحبه 0.750</v>
      </c>
      <c r="D96" s="123">
        <f>IFERROR(INDEX('كشف الحساب'!$E$4:$E$354,MATCH(91,'كشف الحساب'!$P$4:$P$354,0)),"")</f>
        <v>0.75</v>
      </c>
      <c r="E96" s="124">
        <f>IFERROR(INDEX('كشف الحساب'!$D$4:$D$354,MATCH(91,'كشف الحساب'!$P$4:$P$354,0)),"")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الحساب'!$A$4:$A$354,MATCH(92,'كشف الحساب'!$P$4:$P$354,0)),"")</f>
        <v>46212</v>
      </c>
      <c r="B97" s="122" t="str">
        <f>IFERROR(INDEX('كشف الحساب'!$B$4:$B$354,MATCH(92,'كشف الحساب'!$P$4:$P$354,0)),"")</f>
        <v>Inv-92</v>
      </c>
      <c r="C97" s="121" t="str">
        <f>IFERROR(INDEX('كشف الحساب'!$C$4:$C$354,MATCH(92,'كشف الحساب'!$P$4:$P$354,0)),"")</f>
        <v>عطريات عدد 1 الفحبه 1</v>
      </c>
      <c r="D97" s="123">
        <f>IFERROR(INDEX('كشف الحساب'!$E$4:$E$354,MATCH(92,'كشف الحساب'!$P$4:$P$354,0)),"")</f>
        <v>1</v>
      </c>
      <c r="E97" s="124">
        <f>IFERROR(INDEX('كشف الحساب'!$D$4:$D$354,MATCH(92,'كشف الحساب'!$P$4:$P$354,0)),"")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الحساب'!$A$4:$A$354,MATCH(93,'كشف الحساب'!$P$4:$P$354,0)),"")</f>
        <v>46217</v>
      </c>
      <c r="B98" s="122" t="str">
        <f>IFERROR(INDEX('كشف الحساب'!$B$4:$B$354,MATCH(93,'كشف الحساب'!$P$4:$P$354,0)),"")</f>
        <v>Inv-93</v>
      </c>
      <c r="C98" s="121" t="str">
        <f>IFERROR(INDEX('كشف الحساب'!$C$4:$C$354,MATCH(93,'كشف الحساب'!$P$4:$P$354,0)),"")</f>
        <v>متنوع عدد 2 الحبه 2.500</v>
      </c>
      <c r="D98" s="123">
        <f>IFERROR(INDEX('كشف الحساب'!$E$4:$E$354,MATCH(93,'كشف الحساب'!$P$4:$P$354,0)),"")</f>
        <v>5</v>
      </c>
      <c r="E98" s="124">
        <f>IFERROR(INDEX('كشف الحساب'!$D$4:$D$354,MATCH(93,'كشف الحساب'!$P$4:$P$354,0)),"")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الحساب'!$A$4:$A$354,MATCH(94,'كشف الحساب'!$P$4:$P$354,0)),"")</f>
        <v>46217</v>
      </c>
      <c r="B99" s="122" t="str">
        <f>IFERROR(INDEX('كشف الحساب'!$B$4:$B$354,MATCH(94,'كشف الحساب'!$P$4:$P$354,0)),"")</f>
        <v>Inv-94</v>
      </c>
      <c r="C99" s="121" t="str">
        <f>IFERROR(INDEX('كشف الحساب'!$C$4:$C$354,MATCH(94,'كشف الحساب'!$P$4:$P$354,0)),"")</f>
        <v>متنوع عدد 12 الحبه 2</v>
      </c>
      <c r="D99" s="123">
        <f>IFERROR(INDEX('كشف الحساب'!$E$4:$E$354,MATCH(94,'كشف الحساب'!$P$4:$P$354,0)),"")</f>
        <v>24</v>
      </c>
      <c r="E99" s="124">
        <f>IFERROR(INDEX('كشف الحساب'!$D$4:$D$354,MATCH(94,'كشف الحساب'!$P$4:$P$354,0)),"")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الحساب'!$A$4:$A$354,MATCH(95,'كشف الحساب'!$P$4:$P$354,0)),"")</f>
        <v>46217</v>
      </c>
      <c r="B100" s="122">
        <f>IFERROR(INDEX('كشف الحساب'!$B$4:$B$354,MATCH(95,'كشف الحساب'!$P$4:$P$354,0)),"")</f>
        <v>0</v>
      </c>
      <c r="C100" s="121" t="str">
        <f>IFERROR(INDEX('كشف الحساب'!$C$4:$C$354,MATCH(95,'كشف الحساب'!$P$4:$P$354,0)),"")</f>
        <v>حبل تعليق</v>
      </c>
      <c r="D100" s="123">
        <f>IFERROR(INDEX('كشف الحساب'!$E$4:$E$354,MATCH(95,'كشف الحساب'!$P$4:$P$354,0)),"")</f>
        <v>0</v>
      </c>
      <c r="E100" s="124">
        <f>IFERROR(INDEX('كشف الحساب'!$D$4:$D$354,MATCH(95,'كشف الحساب'!$P$4:$P$354,0)),"")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الحساب'!$A$4:$A$354,MATCH(96,'كشف الحساب'!$P$4:$P$354,0)),"")</f>
        <v>46219</v>
      </c>
      <c r="B101" s="122" t="str">
        <f>IFERROR(INDEX('كشف الحساب'!$B$4:$B$354,MATCH(96,'كشف الحساب'!$P$4:$P$354,0)),"")</f>
        <v>Inv-95</v>
      </c>
      <c r="C101" s="121" t="str">
        <f>IFERROR(INDEX('كشف الحساب'!$C$4:$C$354,MATCH(96,'كشف الحساب'!$P$4:$P$354,0)),"")</f>
        <v>ربل عدد 1 الحبه 2</v>
      </c>
      <c r="D101" s="123">
        <f>IFERROR(INDEX('كشف الحساب'!$E$4:$E$354,MATCH(96,'كشف الحساب'!$P$4:$P$354,0)),"")</f>
        <v>2</v>
      </c>
      <c r="E101" s="124">
        <f>IFERROR(INDEX('كشف الحساب'!$D$4:$D$354,MATCH(96,'كشف الحساب'!$P$4:$P$354,0)),"")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الحساب'!$A$4:$A$354,MATCH(97,'كشف الحساب'!$P$4:$P$354,0)),"")</f>
        <v>46219</v>
      </c>
      <c r="B102" s="122" t="str">
        <f>IFERROR(INDEX('كشف الحساب'!$B$4:$B$354,MATCH(97,'كشف الحساب'!$P$4:$P$354,0)),"")</f>
        <v>Inv-96</v>
      </c>
      <c r="C102" s="121" t="str">
        <f>IFERROR(INDEX('كشف الحساب'!$C$4:$C$354,MATCH(97,'كشف الحساب'!$P$4:$P$354,0)),"")</f>
        <v xml:space="preserve">دارسينا عدد 1 الحبه 2 </v>
      </c>
      <c r="D102" s="123">
        <f>IFERROR(INDEX('كشف الحساب'!$E$4:$E$354,MATCH(97,'كشف الحساب'!$P$4:$P$354,0)),"")</f>
        <v>2</v>
      </c>
      <c r="E102" s="124">
        <f>IFERROR(INDEX('كشف الحساب'!$D$4:$D$354,MATCH(97,'كشف الحساب'!$P$4:$P$354,0)),"")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الحساب'!$A$4:$A$354,MATCH(98,'كشف الحساب'!$P$4:$P$354,0)),"")</f>
        <v>46221</v>
      </c>
      <c r="B103" s="122" t="str">
        <f>IFERROR(INDEX('كشف الحساب'!$B$4:$B$354,MATCH(98,'كشف الحساب'!$P$4:$P$354,0)),"")</f>
        <v>Inv-97</v>
      </c>
      <c r="C103" s="121" t="str">
        <f>IFERROR(INDEX('كشف الحساب'!$C$4:$C$354,MATCH(98,'كشف الحساب'!$P$4:$P$354,0)),"")</f>
        <v>افوبيا عدد 1 الحبه 1</v>
      </c>
      <c r="D103" s="123">
        <f>IFERROR(INDEX('كشف الحساب'!$E$4:$E$354,MATCH(98,'كشف الحساب'!$P$4:$P$354,0)),"")</f>
        <v>1</v>
      </c>
      <c r="E103" s="124">
        <f>IFERROR(INDEX('كشف الحساب'!$D$4:$D$354,MATCH(98,'كشف الحساب'!$P$4:$P$354,0)),"")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الحساب'!$A$4:$A$354,MATCH(99,'كشف الحساب'!$P$4:$P$354,0)),"")</f>
        <v>46221</v>
      </c>
      <c r="B104" s="122" t="str">
        <f>IFERROR(INDEX('كشف الحساب'!$B$4:$B$354,MATCH(99,'كشف الحساب'!$P$4:$P$354,0)),"")</f>
        <v>Inv-98</v>
      </c>
      <c r="C104" s="121" t="str">
        <f>IFERROR(INDEX('كشف الحساب'!$C$4:$C$354,MATCH(99,'كشف الحساب'!$P$4:$P$354,0)),"")</f>
        <v>دارسينا عدد 1 الحبه 2</v>
      </c>
      <c r="D104" s="123">
        <f>IFERROR(INDEX('كشف الحساب'!$E$4:$E$354,MATCH(99,'كشف الحساب'!$P$4:$P$354,0)),"")</f>
        <v>2</v>
      </c>
      <c r="E104" s="124">
        <f>IFERROR(INDEX('كشف الحساب'!$D$4:$D$354,MATCH(99,'كشف الحساب'!$P$4:$P$354,0)),"")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الحساب'!$A$4:$A$354,MATCH(100,'كشف الحساب'!$P$4:$P$354,0)),"")</f>
        <v>46224</v>
      </c>
      <c r="B105" s="122" t="str">
        <f>IFERROR(INDEX('كشف الحساب'!$B$4:$B$354,MATCH(100,'كشف الحساب'!$P$4:$P$354,0)),"")</f>
        <v>Inv-99</v>
      </c>
      <c r="C105" s="121" t="str">
        <f>IFERROR(INDEX('كشف الحساب'!$C$4:$C$354,MATCH(100,'كشف الحساب'!$P$4:$P$354,0)),"")</f>
        <v>افوبيا عدد 9 الحبه 1</v>
      </c>
      <c r="D105" s="123">
        <f>IFERROR(INDEX('كشف الحساب'!$E$4:$E$354,MATCH(100,'كشف الحساب'!$P$4:$P$354,0)),"")</f>
        <v>9</v>
      </c>
      <c r="E105" s="124">
        <f>IFERROR(INDEX('كشف الحساب'!$D$4:$D$354,MATCH(100,'كشف الحساب'!$P$4:$P$354,0)),"")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الحساب'!$A$4:$A$354,MATCH(101,'كشف الحساب'!$P$4:$P$354,0)),"")</f>
        <v>46224</v>
      </c>
      <c r="B106" s="122" t="str">
        <f>IFERROR(INDEX('كشف الحساب'!$B$4:$B$354,MATCH(101,'كشف الحساب'!$P$4:$P$354,0)),"")</f>
        <v>Inv-100</v>
      </c>
      <c r="C106" s="121" t="str">
        <f>IFERROR(INDEX('كشف الحساب'!$C$4:$C$354,MATCH(101,'كشف الحساب'!$P$4:$P$354,0)),"")</f>
        <v>ربل عدد 11 الحبه 2</v>
      </c>
      <c r="D106" s="123">
        <f>IFERROR(INDEX('كشف الحساب'!$E$4:$E$354,MATCH(101,'كشف الحساب'!$P$4:$P$354,0)),"")</f>
        <v>22</v>
      </c>
      <c r="E106" s="124">
        <f>IFERROR(INDEX('كشف الحساب'!$D$4:$D$354,MATCH(101,'كشف الحساب'!$P$4:$P$354,0)),"")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الحساب'!$A$4:$A$354,MATCH(102,'كشف الحساب'!$P$4:$P$354,0)),"")</f>
        <v>46225</v>
      </c>
      <c r="B107" s="122" t="str">
        <f>IFERROR(INDEX('كشف الحساب'!$B$4:$B$354,MATCH(102,'كشف الحساب'!$P$4:$P$354,0)),"")</f>
        <v>Inv-101</v>
      </c>
      <c r="C107" s="121" t="str">
        <f>IFERROR(INDEX('كشف الحساب'!$C$4:$C$354,MATCH(102,'كشف الحساب'!$P$4:$P$354,0)),"")</f>
        <v>افوبيا عدد2 الحبه 1</v>
      </c>
      <c r="D107" s="123">
        <f>IFERROR(INDEX('كشف الحساب'!$E$4:$E$354,MATCH(102,'كشف الحساب'!$P$4:$P$354,0)),"")</f>
        <v>2</v>
      </c>
      <c r="E107" s="124">
        <f>IFERROR(INDEX('كشف الحساب'!$D$4:$D$354,MATCH(102,'كشف الحساب'!$P$4:$P$354,0)),"")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الحساب'!$A$4:$A$354,MATCH(103,'كشف الحساب'!$P$4:$P$354,0)),"")</f>
        <v>46227</v>
      </c>
      <c r="B108" s="122" t="str">
        <f>IFERROR(INDEX('كشف الحساب'!$B$4:$B$354,MATCH(103,'كشف الحساب'!$P$4:$P$354,0)),"")</f>
        <v>Inv-102</v>
      </c>
      <c r="C108" s="121" t="str">
        <f>IFERROR(INDEX('كشف الحساب'!$C$4:$C$354,MATCH(103,'كشف الحساب'!$P$4:$P$354,0)),"")</f>
        <v>متنوع عدد2 الحبه 1</v>
      </c>
      <c r="D108" s="123">
        <f>IFERROR(INDEX('كشف الحساب'!$E$4:$E$354,MATCH(103,'كشف الحساب'!$P$4:$P$354,0)),"")</f>
        <v>2</v>
      </c>
      <c r="E108" s="124">
        <f>IFERROR(INDEX('كشف الحساب'!$D$4:$D$354,MATCH(103,'كشف الحساب'!$P$4:$P$354,0)),"")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الحساب'!$A$4:$A$354,MATCH(104,'كشف الحساب'!$P$4:$P$354,0)),"")</f>
        <v>46229</v>
      </c>
      <c r="B109" s="122">
        <f>IFERROR(INDEX('كشف الحساب'!$B$4:$B$354,MATCH(104,'كشف الحساب'!$P$4:$P$354,0)),"")</f>
        <v>0</v>
      </c>
      <c r="C109" s="121" t="str">
        <f>IFERROR(INDEX('كشف الحساب'!$C$4:$C$354,MATCH(104,'كشف الحساب'!$P$4:$P$354,0)),"")</f>
        <v>كوكوبيد</v>
      </c>
      <c r="D109" s="123">
        <f>IFERROR(INDEX('كشف الحساب'!$E$4:$E$354,MATCH(104,'كشف الحساب'!$P$4:$P$354,0)),"")</f>
        <v>0</v>
      </c>
      <c r="E109" s="124">
        <f>IFERROR(INDEX('كشف الحساب'!$D$4:$D$354,MATCH(104,'كشف الحساب'!$P$4:$P$354,0)),"")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الحساب'!$A$4:$A$354,MATCH(105,'كشف الحساب'!$P$4:$P$354,0)),"")</f>
        <v>46229</v>
      </c>
      <c r="B110" s="122">
        <f>IFERROR(INDEX('كشف الحساب'!$B$4:$B$354,MATCH(105,'كشف الحساب'!$P$4:$P$354,0)),"")</f>
        <v>0</v>
      </c>
      <c r="C110" s="121" t="str">
        <f>IFERROR(INDEX('كشف الحساب'!$C$4:$C$354,MATCH(105,'كشف الحساب'!$P$4:$P$354,0)),"")</f>
        <v>احواض عدد 1000 مقاس 14 سم</v>
      </c>
      <c r="D110" s="123">
        <f>IFERROR(INDEX('كشف الحساب'!$E$4:$E$354,MATCH(105,'كشف الحساب'!$P$4:$P$354,0)),"")</f>
        <v>0</v>
      </c>
      <c r="E110" s="124">
        <f>IFERROR(INDEX('كشف الحساب'!$D$4:$D$354,MATCH(105,'كشف الحساب'!$P$4:$P$354,0)),"")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الحساب'!$A$4:$A$354,MATCH(106,'كشف الحساب'!$P$4:$P$354,0)),"")</f>
        <v>46594</v>
      </c>
      <c r="B111" s="122" t="str">
        <f>IFERROR(INDEX('كشف الحساب'!$B$4:$B$354,MATCH(106,'كشف الحساب'!$P$4:$P$354,0)),"")</f>
        <v>Inv-103</v>
      </c>
      <c r="C111" s="121" t="str">
        <f>IFERROR(INDEX('كشف الحساب'!$C$4:$C$354,MATCH(106,'كشف الحساب'!$P$4:$P$354,0)),"")</f>
        <v>متفرقات</v>
      </c>
      <c r="D111" s="123">
        <f>IFERROR(INDEX('كشف الحساب'!$E$4:$E$354,MATCH(106,'كشف الحساب'!$P$4:$P$354,0)),"")</f>
        <v>7.5</v>
      </c>
      <c r="E111" s="124">
        <f>IFERROR(INDEX('كشف الحساب'!$D$4:$D$354,MATCH(106,'كشف الحساب'!$P$4:$P$354,0)),"")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الحساب'!$A$4:$A$354,MATCH(107,'كشف الحساب'!$P$4:$P$354,0)),"")</f>
        <v>46229</v>
      </c>
      <c r="B112" s="122">
        <f>IFERROR(INDEX('كشف الحساب'!$B$4:$B$354,MATCH(107,'كشف الحساب'!$P$4:$P$354,0)),"")</f>
        <v>0</v>
      </c>
      <c r="C112" s="121" t="str">
        <f>IFERROR(INDEX('كشف الحساب'!$C$4:$C$354,MATCH(107,'كشف الحساب'!$P$4:$P$354,0)),"")</f>
        <v>تسوية رصيد فعلي - المتوفر 107.305 (صافي الشهر 99.075 + فائض عام 16.750)</v>
      </c>
      <c r="D112" s="123">
        <f>IFERROR(INDEX('كشف الحساب'!$E$4:$E$354,MATCH(107,'كشف الحساب'!$P$4:$P$354,0)),"")</f>
        <v>0</v>
      </c>
      <c r="E112" s="124">
        <f>IFERROR(INDEX('كشف الحساب'!$D$4:$D$354,MATCH(107,'كشف الحساب'!$P$4:$P$354,0)),"")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الحساب'!$A$4:$A$354,MATCH(108,'كشف الحساب'!$P$4:$P$354,0)),"")</f>
        <v>46231</v>
      </c>
      <c r="B113" s="122" t="str">
        <f>IFERROR(INDEX('كشف الحساب'!$B$4:$B$354,MATCH(108,'كشف الحساب'!$P$4:$P$354,0)),"")</f>
        <v>Inv-104</v>
      </c>
      <c r="C113" s="121" t="str">
        <f>IFERROR(INDEX('كشف الحساب'!$C$4:$C$354,MATCH(108,'كشف الحساب'!$P$4:$P$354,0)),"")</f>
        <v>متنوع عدد 1 الحبه 2.500</v>
      </c>
      <c r="D113" s="123">
        <f>IFERROR(INDEX('كشف الحساب'!$E$4:$E$354,MATCH(108,'كشف الحساب'!$P$4:$P$354,0)),"")</f>
        <v>2.5</v>
      </c>
      <c r="E113" s="124">
        <f>IFERROR(INDEX('كشف الحساب'!$D$4:$D$354,MATCH(108,'كشف الحساب'!$P$4:$P$354,0)),"")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الحساب'!$A$4:$A$354,MATCH(109,'كشف الحساب'!$P$4:$P$354,0)),"")</f>
        <v>46231</v>
      </c>
      <c r="B114" s="122" t="str">
        <f>IFERROR(INDEX('كشف الحساب'!$B$4:$B$354,MATCH(109,'كشف الحساب'!$P$4:$P$354,0)),"")</f>
        <v>Inv-105</v>
      </c>
      <c r="C114" s="121" t="str">
        <f>IFERROR(INDEX('كشف الحساب'!$C$4:$C$354,MATCH(109,'كشف الحساب'!$P$4:$P$354,0)),"")</f>
        <v>دارسينا عدد 1 الحبه 3</v>
      </c>
      <c r="D114" s="123">
        <f>IFERROR(INDEX('كشف الحساب'!$E$4:$E$354,MATCH(109,'كشف الحساب'!$P$4:$P$354,0)),"")</f>
        <v>3</v>
      </c>
      <c r="E114" s="124">
        <f>IFERROR(INDEX('كشف الحساب'!$D$4:$D$354,MATCH(109,'كشف الحساب'!$P$4:$P$354,0)),"")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الحساب'!$A$4:$A$354,MATCH(110,'كشف الحساب'!$P$4:$P$354,0)),"")</f>
        <v>46232</v>
      </c>
      <c r="B115" s="122">
        <f>IFERROR(INDEX('كشف الحساب'!$B$4:$B$354,MATCH(110,'كشف الحساب'!$P$4:$P$354,0)),"")</f>
        <v>0</v>
      </c>
      <c r="C115" s="121" t="str">
        <f>IFERROR(INDEX('كشف الحساب'!$C$4:$C$354,MATCH(110,'كشف الحساب'!$P$4:$P$354,0)),"")</f>
        <v>عدد 3 عماله + 10 ايام العامل البديل 40 دينار</v>
      </c>
      <c r="D115" s="123">
        <f>IFERROR(INDEX('كشف الحساب'!$E$4:$E$354,MATCH(110,'كشف الحساب'!$P$4:$P$354,0)),"")</f>
        <v>0</v>
      </c>
      <c r="E115" s="124">
        <f>IFERROR(INDEX('كشف الحساب'!$D$4:$D$354,MATCH(110,'كشف الحساب'!$P$4:$P$354,0)),"")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الحساب'!$A$4:$A$354,MATCH(111,'كشف الحساب'!$P$4:$P$354,0)),"")</f>
        <v>46234</v>
      </c>
      <c r="B116" s="122">
        <f>IFERROR(INDEX('كشف الحساب'!$B$4:$B$354,MATCH(111,'كشف الحساب'!$P$4:$P$354,0)),"")</f>
        <v>0</v>
      </c>
      <c r="C116" s="121" t="str">
        <f>IFERROR(INDEX('كشف الحساب'!$C$4:$C$354,MATCH(111,'كشف الحساب'!$P$4:$P$354,0)),"")</f>
        <v>تعديل رصيد</v>
      </c>
      <c r="D116" s="123">
        <f>IFERROR(INDEX('كشف الحساب'!$E$4:$E$354,MATCH(111,'كشف الحساب'!$P$4:$P$354,0)),"")</f>
        <v>8.59</v>
      </c>
      <c r="E116" s="124">
        <f>IFERROR(INDEX('كشف الحساب'!$D$4:$D$354,MATCH(111,'كشف الحساب'!$P$4:$P$354,0)),"")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الحساب'!$A$4:$A$354,MATCH(112,'كشف الحساب'!$P$4:$P$354,0)),"")</f>
        <v>46235</v>
      </c>
      <c r="B117" s="122" t="str">
        <f>IFERROR(INDEX('كشف الحساب'!$B$4:$B$354,MATCH(112,'كشف الحساب'!$P$4:$P$354,0)),"")</f>
        <v>Inv-106</v>
      </c>
      <c r="C117" s="121" t="str">
        <f>IFERROR(INDEX('كشف الحساب'!$C$4:$C$354,MATCH(112,'كشف الحساب'!$P$4:$P$354,0)),"")</f>
        <v>ربل عدد 11 الحبه 2</v>
      </c>
      <c r="D117" s="123">
        <f>IFERROR(INDEX('كشف الحساب'!$E$4:$E$354,MATCH(112,'كشف الحساب'!$P$4:$P$354,0)),"")</f>
        <v>22</v>
      </c>
      <c r="E117" s="124">
        <f>IFERROR(INDEX('كشف الحساب'!$D$4:$D$354,MATCH(112,'كشف الحساب'!$P$4:$P$354,0)),"")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الحساب'!$A$4:$A$354,MATCH(113,'كشف الحساب'!$P$4:$P$354,0)),"")</f>
        <v>46235</v>
      </c>
      <c r="B118" s="122" t="str">
        <f>IFERROR(INDEX('كشف الحساب'!$B$4:$B$354,MATCH(113,'كشف الحساب'!$P$4:$P$354,0)),"")</f>
        <v>Inv-107</v>
      </c>
      <c r="C118" s="121" t="str">
        <f>IFERROR(INDEX('كشف الحساب'!$C$4:$C$354,MATCH(113,'كشف الحساب'!$P$4:$P$354,0)),"")</f>
        <v>متنوع عدد 1 بقيمه 2.500</v>
      </c>
      <c r="D118" s="123">
        <f>IFERROR(INDEX('كشف الحساب'!$E$4:$E$354,MATCH(113,'كشف الحساب'!$P$4:$P$354,0)),"")</f>
        <v>2.5</v>
      </c>
      <c r="E118" s="124">
        <f>IFERROR(INDEX('كشف الحساب'!$D$4:$D$354,MATCH(113,'كشف الحساب'!$P$4:$P$354,0)),"")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الحساب'!$A$4:$A$354,MATCH(114,'كشف الحساب'!$P$4:$P$354,0)),"")</f>
        <v>46235</v>
      </c>
      <c r="B119" s="122" t="str">
        <f>IFERROR(INDEX('كشف الحساب'!$B$4:$B$354,MATCH(114,'كشف الحساب'!$P$4:$P$354,0)),"")</f>
        <v>Inv-108</v>
      </c>
      <c r="C119" s="121" t="str">
        <f>IFERROR(INDEX('كشف الحساب'!$C$4:$C$354,MATCH(114,'كشف الحساب'!$P$4:$P$354,0)),"")</f>
        <v>فل عدد 1 بقيمه .750</v>
      </c>
      <c r="D119" s="123">
        <f>IFERROR(INDEX('كشف الحساب'!$E$4:$E$354,MATCH(114,'كشف الحساب'!$P$4:$P$354,0)),"")</f>
        <v>0.75</v>
      </c>
      <c r="E119" s="124">
        <f>IFERROR(INDEX('كشف الحساب'!$D$4:$D$354,MATCH(114,'كشف الحساب'!$P$4:$P$354,0)),"")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الحساب'!$A$4:$A$354,MATCH(115,'كشف الحساب'!$P$4:$P$354,0)),"")</f>
        <v>46235</v>
      </c>
      <c r="B120" s="122">
        <f>IFERROR(INDEX('كشف الحساب'!$B$4:$B$354,MATCH(115,'كشف الحساب'!$P$4:$P$354,0)),"")</f>
        <v>0</v>
      </c>
      <c r="C120" s="121" t="str">
        <f>IFERROR(INDEX('كشف الحساب'!$C$4:$C$354,MATCH(115,'كشف الحساب'!$P$4:$P$354,0)),"")</f>
        <v>بتموس عدد 2 الواحده 12</v>
      </c>
      <c r="D120" s="123">
        <f>IFERROR(INDEX('كشف الحساب'!$E$4:$E$354,MATCH(115,'كشف الحساب'!$P$4:$P$354,0)),"")</f>
        <v>0</v>
      </c>
      <c r="E120" s="124">
        <f>IFERROR(INDEX('كشف الحساب'!$D$4:$D$354,MATCH(115,'كشف الحساب'!$P$4:$P$354,0)),"")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الحساب'!$A$4:$A$354,MATCH(116,'كشف الحساب'!$P$4:$P$354,0)),"")</f>
        <v>46239</v>
      </c>
      <c r="B121" s="122" t="str">
        <f>IFERROR(INDEX('كشف الحساب'!$B$4:$B$354,MATCH(116,'كشف الحساب'!$P$4:$P$354,0)),"")</f>
        <v>Inv-109</v>
      </c>
      <c r="C121" s="121" t="str">
        <f>IFERROR(INDEX('كشف الحساب'!$C$4:$C$354,MATCH(116,'كشف الحساب'!$P$4:$P$354,0)),"")</f>
        <v>متنوع عدد 1 الحبه 1</v>
      </c>
      <c r="D121" s="123">
        <f>IFERROR(INDEX('كشف الحساب'!$E$4:$E$354,MATCH(116,'كشف الحساب'!$P$4:$P$354,0)),"")</f>
        <v>1</v>
      </c>
      <c r="E121" s="124">
        <f>IFERROR(INDEX('كشف الحساب'!$D$4:$D$354,MATCH(116,'كشف الحساب'!$P$4:$P$354,0)),"")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الحساب'!$A$4:$A$354,MATCH(117,'كشف الحساب'!$P$4:$P$354,0)),"")</f>
        <v>46240</v>
      </c>
      <c r="B122" s="122" t="str">
        <f>IFERROR(INDEX('كشف الحساب'!$B$4:$B$354,MATCH(117,'كشف الحساب'!$P$4:$P$354,0)),"")</f>
        <v>Inv-110</v>
      </c>
      <c r="C122" s="121" t="str">
        <f>IFERROR(INDEX('كشف الحساب'!$C$4:$C$354,MATCH(117,'كشف الحساب'!$P$4:$P$354,0)),"")</f>
        <v>متنوع عدد10 الحبه 1</v>
      </c>
      <c r="D122" s="123">
        <f>IFERROR(INDEX('كشف الحساب'!$E$4:$E$354,MATCH(117,'كشف الحساب'!$P$4:$P$354,0)),"")</f>
        <v>10</v>
      </c>
      <c r="E122" s="124">
        <f>IFERROR(INDEX('كشف الحساب'!$D$4:$D$354,MATCH(117,'كشف الحساب'!$P$4:$P$354,0)),"")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الحساب'!$A$4:$A$354,MATCH(118,'كشف الحساب'!$P$4:$P$354,0)),"")</f>
        <v>46240</v>
      </c>
      <c r="B123" s="122" t="str">
        <f>IFERROR(INDEX('كشف الحساب'!$B$4:$B$354,MATCH(118,'كشف الحساب'!$P$4:$P$354,0)),"")</f>
        <v>Inv-111</v>
      </c>
      <c r="C123" s="121" t="str">
        <f>IFERROR(INDEX('كشف الحساب'!$C$4:$C$354,MATCH(118,'كشف الحساب'!$P$4:$P$354,0)),"")</f>
        <v>متنوع 6 عدد 1</v>
      </c>
      <c r="D123" s="123">
        <f>IFERROR(INDEX('كشف الحساب'!$E$4:$E$354,MATCH(118,'كشف الحساب'!$P$4:$P$354,0)),"")</f>
        <v>6</v>
      </c>
      <c r="E123" s="124">
        <f>IFERROR(INDEX('كشف الحساب'!$D$4:$D$354,MATCH(118,'كشف الحساب'!$P$4:$P$354,0)),"")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الحساب'!$A$4:$A$354,MATCH(119,'كشف الحساب'!$P$4:$P$354,0)),"")</f>
        <v>46240</v>
      </c>
      <c r="B124" s="122" t="str">
        <f>IFERROR(INDEX('كشف الحساب'!$B$4:$B$354,MATCH(119,'كشف الحساب'!$P$4:$P$354,0)),"")</f>
        <v>Inv-112</v>
      </c>
      <c r="C124" s="121" t="str">
        <f>IFERROR(INDEX('كشف الحساب'!$C$4:$C$354,MATCH(119,'كشف الحساب'!$P$4:$P$354,0)),"")</f>
        <v>ربل عدد 15 الحبه2</v>
      </c>
      <c r="D124" s="123">
        <f>IFERROR(INDEX('كشف الحساب'!$E$4:$E$354,MATCH(119,'كشف الحساب'!$P$4:$P$354,0)),"")</f>
        <v>29</v>
      </c>
      <c r="E124" s="124">
        <f>IFERROR(INDEX('كشف الحساب'!$D$4:$D$354,MATCH(119,'كشف الحساب'!$P$4:$P$354,0)),"")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الحساب'!$A$4:$A$354,MATCH(120,'كشف الحساب'!$P$4:$P$354,0)),"")</f>
        <v>46240</v>
      </c>
      <c r="B125" s="122">
        <f>IFERROR(INDEX('كشف الحساب'!$B$4:$B$354,MATCH(120,'كشف الحساب'!$P$4:$P$354,0)),"")</f>
        <v>0</v>
      </c>
      <c r="C125" s="121" t="str">
        <f>IFERROR(INDEX('كشف الحساب'!$C$4:$C$354,MATCH(120,'كشف الحساب'!$P$4:$P$354,0)),"")</f>
        <v>كيميكل للمعالج</v>
      </c>
      <c r="D125" s="123">
        <f>IFERROR(INDEX('كشف الحساب'!$E$4:$E$354,MATCH(120,'كشف الحساب'!$P$4:$P$354,0)),"")</f>
        <v>0</v>
      </c>
      <c r="E125" s="124">
        <f>IFERROR(INDEX('كشف الحساب'!$D$4:$D$354,MATCH(120,'كشف الحساب'!$P$4:$P$354,0)),"")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الحساب'!$A$4:$A$354,MATCH(121,'كشف الحساب'!$P$4:$P$354,0)),"")</f>
        <v>46240</v>
      </c>
      <c r="B126" s="122">
        <f>IFERROR(INDEX('كشف الحساب'!$B$4:$B$354,MATCH(121,'كشف الحساب'!$P$4:$P$354,0)),"")</f>
        <v>0</v>
      </c>
      <c r="C126" s="121" t="str">
        <f>IFERROR(INDEX('كشف الحساب'!$C$4:$C$354,MATCH(121,'كشف الحساب'!$P$4:$P$354,0)),"")</f>
        <v>ترمستات الثلاجه الكبيره</v>
      </c>
      <c r="D126" s="123">
        <f>IFERROR(INDEX('كشف الحساب'!$E$4:$E$354,MATCH(121,'كشف الحساب'!$P$4:$P$354,0)),"")</f>
        <v>0</v>
      </c>
      <c r="E126" s="124">
        <f>IFERROR(INDEX('كشف الحساب'!$D$4:$D$354,MATCH(121,'كشف الحساب'!$P$4:$P$354,0)),"")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الحساب'!$A$4:$A$354,MATCH(122,'كشف الحساب'!$P$4:$P$354,0)),"")</f>
        <v>46244</v>
      </c>
      <c r="B127" s="122" t="str">
        <f>IFERROR(INDEX('كشف الحساب'!$B$4:$B$354,MATCH(122,'كشف الحساب'!$P$4:$P$354,0)),"")</f>
        <v>Inv-113</v>
      </c>
      <c r="C127" s="121" t="str">
        <f>IFERROR(INDEX('كشف الحساب'!$C$4:$C$354,MATCH(122,'كشف الحساب'!$P$4:$P$354,0)),"")</f>
        <v>ربل  عدد 40 الحبه 2.250</v>
      </c>
      <c r="D127" s="123">
        <f>IFERROR(INDEX('كشف الحساب'!$E$4:$E$354,MATCH(122,'كشف الحساب'!$P$4:$P$354,0)),"")</f>
        <v>90</v>
      </c>
      <c r="E127" s="124">
        <f>IFERROR(INDEX('كشف الحساب'!$D$4:$D$354,MATCH(122,'كشف الحساب'!$P$4:$P$354,0)),"")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الحساب'!$A$4:$A$354,MATCH(123,'كشف الحساب'!$P$4:$P$354,0)),"")</f>
        <v>46244</v>
      </c>
      <c r="B128" s="122" t="str">
        <f>IFERROR(INDEX('كشف الحساب'!$B$4:$B$354,MATCH(123,'كشف الحساب'!$P$4:$P$354,0)),"")</f>
        <v>Inv-114</v>
      </c>
      <c r="C128" s="121" t="str">
        <f>IFERROR(INDEX('كشف الحساب'!$C$4:$C$354,MATCH(123,'كشف الحساب'!$P$4:$P$354,0)),"")</f>
        <v>متنوع 8 الحبه 1</v>
      </c>
      <c r="D128" s="123">
        <f>IFERROR(INDEX('كشف الحساب'!$E$4:$E$354,MATCH(123,'كشف الحساب'!$P$4:$P$354,0)),"")</f>
        <v>8</v>
      </c>
      <c r="E128" s="124">
        <f>IFERROR(INDEX('كشف الحساب'!$D$4:$D$354,MATCH(123,'كشف الحساب'!$P$4:$P$354,0)),"")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الحساب'!$A$4:$A$354,MATCH(124,'كشف الحساب'!$P$4:$P$354,0)),"")</f>
        <v>46245</v>
      </c>
      <c r="B129" s="122">
        <f>IFERROR(INDEX('كشف الحساب'!$B$4:$B$354,MATCH(124,'كشف الحساب'!$P$4:$P$354,0)),"")</f>
        <v>0</v>
      </c>
      <c r="C129" s="121" t="str">
        <f>IFERROR(INDEX('كشف الحساب'!$C$4:$C$354,MATCH(124,'كشف الحساب'!$P$4:$P$354,0)),"")</f>
        <v>احواض معلقه + كوكوبيت</v>
      </c>
      <c r="D129" s="123">
        <f>IFERROR(INDEX('كشف الحساب'!$E$4:$E$354,MATCH(124,'كشف الحساب'!$P$4:$P$354,0)),"")</f>
        <v>0</v>
      </c>
      <c r="E129" s="124">
        <f>IFERROR(INDEX('كشف الحساب'!$D$4:$D$354,MATCH(124,'كشف الحساب'!$P$4:$P$354,0)),"")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الحساب'!$A$4:$A$354,MATCH(125,'كشف الحساب'!$P$4:$P$354,0)),"")</f>
        <v>46245</v>
      </c>
      <c r="B130" s="122">
        <f>IFERROR(INDEX('كشف الحساب'!$B$4:$B$354,MATCH(125,'كشف الحساب'!$P$4:$P$354,0)),"")</f>
        <v>0</v>
      </c>
      <c r="C130" s="121" t="str">
        <f>IFERROR(INDEX('كشف الحساب'!$C$4:$C$354,MATCH(125,'كشف الحساب'!$P$4:$P$354,0)),"")</f>
        <v>15-15-15 خرماشه</v>
      </c>
      <c r="D130" s="123">
        <f>IFERROR(INDEX('كشف الحساب'!$E$4:$E$354,MATCH(125,'كشف الحساب'!$P$4:$P$354,0)),"")</f>
        <v>0</v>
      </c>
      <c r="E130" s="124">
        <f>IFERROR(INDEX('كشف الحساب'!$D$4:$D$354,MATCH(125,'كشف الحساب'!$P$4:$P$354,0)),"")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الحساب'!$A$4:$A$354,MATCH(126,'كشف الحساب'!$P$4:$P$354,0)),"")</f>
        <v>46247</v>
      </c>
      <c r="B131" s="122">
        <f>IFERROR(INDEX('كشف الحساب'!$B$4:$B$354,MATCH(126,'كشف الحساب'!$P$4:$P$354,0)),"")</f>
        <v>0</v>
      </c>
      <c r="C131" s="121" t="str">
        <f>IFERROR(INDEX('كشف الحساب'!$C$4:$C$354,MATCH(126,'كشف الحساب'!$P$4:$P$354,0)),"")</f>
        <v>هرمون تدير</v>
      </c>
      <c r="D131" s="123">
        <f>IFERROR(INDEX('كشف الحساب'!$E$4:$E$354,MATCH(126,'كشف الحساب'!$P$4:$P$354,0)),"")</f>
        <v>0</v>
      </c>
      <c r="E131" s="124">
        <f>IFERROR(INDEX('كشف الحساب'!$D$4:$D$354,MATCH(126,'كشف الحساب'!$P$4:$P$354,0)),"")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الحساب'!$A$4:$A$354,MATCH(127,'كشف الحساب'!$P$4:$P$354,0)),"")</f>
        <v>46247</v>
      </c>
      <c r="B132" s="122">
        <f>IFERROR(INDEX('كشف الحساب'!$B$4:$B$354,MATCH(127,'كشف الحساب'!$P$4:$P$354,0)),"")</f>
        <v>0</v>
      </c>
      <c r="C132" s="121" t="str">
        <f>IFERROR(INDEX('كشف الحساب'!$C$4:$C$354,MATCH(127,'كشف الحساب'!$P$4:$P$354,0)),"")</f>
        <v>احواض مقاس 14 عدد 1000</v>
      </c>
      <c r="D132" s="123">
        <f>IFERROR(INDEX('كشف الحساب'!$E$4:$E$354,MATCH(127,'كشف الحساب'!$P$4:$P$354,0)),"")</f>
        <v>0</v>
      </c>
      <c r="E132" s="124">
        <f>IFERROR(INDEX('كشف الحساب'!$D$4:$D$354,MATCH(127,'كشف الحساب'!$P$4:$P$354,0)),"")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الحساب'!$A$4:$A$354,MATCH(128,'كشف الحساب'!$P$4:$P$354,0)),"")</f>
        <v>46247</v>
      </c>
      <c r="B133" s="122">
        <f>IFERROR(INDEX('كشف الحساب'!$B$4:$B$354,MATCH(128,'كشف الحساب'!$P$4:$P$354,0)),"")</f>
        <v>0</v>
      </c>
      <c r="C133" s="121" t="str">
        <f>IFERROR(INDEX('كشف الحساب'!$C$4:$C$354,MATCH(128,'كشف الحساب'!$P$4:$P$354,0)),"")</f>
        <v>وصلات</v>
      </c>
      <c r="D133" s="123">
        <f>IFERROR(INDEX('كشف الحساب'!$E$4:$E$354,MATCH(128,'كشف الحساب'!$P$4:$P$354,0)),"")</f>
        <v>0</v>
      </c>
      <c r="E133" s="124">
        <f>IFERROR(INDEX('كشف الحساب'!$D$4:$D$354,MATCH(128,'كشف الحساب'!$P$4:$P$354,0)),"")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الحساب'!$A$4:$A$354,MATCH(129,'كشف الحساب'!$P$4:$P$354,0)),"")</f>
        <v>46249</v>
      </c>
      <c r="B134" s="122">
        <f>IFERROR(INDEX('كشف الحساب'!$B$4:$B$354,MATCH(129,'كشف الحساب'!$P$4:$P$354,0)),"")</f>
        <v>0</v>
      </c>
      <c r="C134" s="121" t="str">
        <f>IFERROR(INDEX('كشف الحساب'!$C$4:$C$354,MATCH(129,'كشف الحساب'!$P$4:$P$354,0)),"")</f>
        <v>وصلات وحنفيه</v>
      </c>
      <c r="D134" s="123">
        <f>IFERROR(INDEX('كشف الحساب'!$E$4:$E$354,MATCH(129,'كشف الحساب'!$P$4:$P$354,0)),"")</f>
        <v>0</v>
      </c>
      <c r="E134" s="124">
        <f>IFERROR(INDEX('كشف الحساب'!$D$4:$D$354,MATCH(129,'كشف الحساب'!$P$4:$P$354,0)),"")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الحساب'!$A$4:$A$354,MATCH(130,'كشف الحساب'!$P$4:$P$354,0)),"")</f>
        <v>46252</v>
      </c>
      <c r="B135" s="122" t="str">
        <f>IFERROR(INDEX('كشف الحساب'!$B$4:$B$354,MATCH(130,'كشف الحساب'!$P$4:$P$354,0)),"")</f>
        <v>Inv-115</v>
      </c>
      <c r="C135" s="121" t="str">
        <f>IFERROR(INDEX('كشف الحساب'!$C$4:$C$354,MATCH(130,'كشف الحساب'!$P$4:$P$354,0)),"")</f>
        <v>فل عدد 14 الحبه .750</v>
      </c>
      <c r="D135" s="123">
        <f>IFERROR(INDEX('كشف الحساب'!$E$4:$E$354,MATCH(130,'كشف الحساب'!$P$4:$P$354,0)),"")</f>
        <v>10.5</v>
      </c>
      <c r="E135" s="124">
        <f>IFERROR(INDEX('كشف الحساب'!$D$4:$D$354,MATCH(130,'كشف الحساب'!$P$4:$P$354,0)),"")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الحساب'!$A$4:$A$354,MATCH(131,'كشف الحساب'!$P$4:$P$354,0)),"")</f>
        <v>46252</v>
      </c>
      <c r="B136" s="122" t="str">
        <f>IFERROR(INDEX('كشف الحساب'!$B$4:$B$354,MATCH(131,'كشف الحساب'!$P$4:$P$354,0)),"")</f>
        <v>Inv-116</v>
      </c>
      <c r="C136" s="121" t="str">
        <f>IFERROR(INDEX('كشف الحساب'!$C$4:$C$354,MATCH(131,'كشف الحساب'!$P$4:$P$354,0)),"")</f>
        <v>متنوع عدد 1 الحبه 2.500</v>
      </c>
      <c r="D136" s="123">
        <f>IFERROR(INDEX('كشف الحساب'!$E$4:$E$354,MATCH(131,'كشف الحساب'!$P$4:$P$354,0)),"")</f>
        <v>2.5</v>
      </c>
      <c r="E136" s="124">
        <f>IFERROR(INDEX('كشف الحساب'!$D$4:$D$354,MATCH(131,'كشف الحساب'!$P$4:$P$354,0)),"")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الحساب'!$A$4:$A$354,MATCH(132,'كشف الحساب'!$P$4:$P$354,0)),"")</f>
        <v>46258</v>
      </c>
      <c r="B137" s="122" t="str">
        <f>IFERROR(INDEX('كشف الحساب'!$B$4:$B$354,MATCH(132,'كشف الحساب'!$P$4:$P$354,0)),"")</f>
        <v>Inv-117</v>
      </c>
      <c r="C137" s="121" t="str">
        <f>IFERROR(INDEX('كشف الحساب'!$C$4:$C$354,MATCH(132,'كشف الحساب'!$P$4:$P$354,0)),"")</f>
        <v>ربل عدد 10 الحبه 2.250</v>
      </c>
      <c r="D137" s="123">
        <f>IFERROR(INDEX('كشف الحساب'!$E$4:$E$354,MATCH(132,'كشف الحساب'!$P$4:$P$354,0)),"")</f>
        <v>22.5</v>
      </c>
      <c r="E137" s="124">
        <f>IFERROR(INDEX('كشف الحساب'!$D$4:$D$354,MATCH(132,'كشف الحساب'!$P$4:$P$354,0)),"")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الحساب'!$A$4:$A$354,MATCH(133,'كشف الحساب'!$P$4:$P$354,0)),"")</f>
        <v>46258</v>
      </c>
      <c r="B138" s="122" t="str">
        <f>IFERROR(INDEX('كشف الحساب'!$B$4:$B$354,MATCH(133,'كشف الحساب'!$P$4:$P$354,0)),"")</f>
        <v>Inv-118</v>
      </c>
      <c r="C138" s="121" t="str">
        <f>IFERROR(INDEX('كشف الحساب'!$C$4:$C$354,MATCH(133,'كشف الحساب'!$P$4:$P$354,0)),"")</f>
        <v>متنوع عدد 4 الحبه 1</v>
      </c>
      <c r="D138" s="123">
        <f>IFERROR(INDEX('كشف الحساب'!$E$4:$E$354,MATCH(133,'كشف الحساب'!$P$4:$P$354,0)),"")</f>
        <v>4</v>
      </c>
      <c r="E138" s="124">
        <f>IFERROR(INDEX('كشف الحساب'!$D$4:$D$354,MATCH(133,'كشف الحساب'!$P$4:$P$354,0)),"")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الحساب'!$A$4:$A$354,MATCH(134,'كشف الحساب'!$P$4:$P$354,0)),"")</f>
        <v>46258</v>
      </c>
      <c r="B139" s="122" t="str">
        <f>IFERROR(INDEX('كشف الحساب'!$B$4:$B$354,MATCH(134,'كشف الحساب'!$P$4:$P$354,0)),"")</f>
        <v>Inv-119</v>
      </c>
      <c r="C139" s="121" t="str">
        <f>IFERROR(INDEX('كشف الحساب'!$C$4:$C$354,MATCH(134,'كشف الحساب'!$P$4:$P$354,0)),"")</f>
        <v>دارسينا عدد 2 الحبه 3</v>
      </c>
      <c r="D139" s="123">
        <f>IFERROR(INDEX('كشف الحساب'!$E$4:$E$354,MATCH(134,'كشف الحساب'!$P$4:$P$354,0)),"")</f>
        <v>6</v>
      </c>
      <c r="E139" s="124">
        <f>IFERROR(INDEX('كشف الحساب'!$D$4:$D$354,MATCH(134,'كشف الحساب'!$P$4:$P$354,0)),"")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الحساب'!$A$4:$A$354,MATCH(135,'كشف الحساب'!$P$4:$P$354,0)),"")</f>
        <v>46258</v>
      </c>
      <c r="B140" s="122" t="str">
        <f>IFERROR(INDEX('كشف الحساب'!$B$4:$B$354,MATCH(135,'كشف الحساب'!$P$4:$P$354,0)),"")</f>
        <v>Inv-120</v>
      </c>
      <c r="C140" s="121" t="str">
        <f>IFERROR(INDEX('كشف الحساب'!$C$4:$C$354,MATCH(135,'كشف الحساب'!$P$4:$P$354,0)),"")</f>
        <v>فل عدد 2 الحبه .750</v>
      </c>
      <c r="D140" s="123">
        <f>IFERROR(INDEX('كشف الحساب'!$E$4:$E$354,MATCH(135,'كشف الحساب'!$P$4:$P$354,0)),"")</f>
        <v>1.5</v>
      </c>
      <c r="E140" s="124">
        <f>IFERROR(INDEX('كشف الحساب'!$D$4:$D$354,MATCH(135,'كشف الحساب'!$P$4:$P$354,0)),"")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الحساب'!$A$4:$A$354,MATCH(136,'كشف الحساب'!$P$4:$P$354,0)),"")</f>
        <v>46258</v>
      </c>
      <c r="B141" s="122">
        <f>IFERROR(INDEX('كشف الحساب'!$B$4:$B$354,MATCH(136,'كشف الحساب'!$P$4:$P$354,0)),"")</f>
        <v>0</v>
      </c>
      <c r="C141" s="121" t="str">
        <f>IFERROR(INDEX('كشف الحساب'!$C$4:$C$354,MATCH(136,'كشف الحساب'!$P$4:$P$354,0)),"")</f>
        <v>اسمده</v>
      </c>
      <c r="D141" s="123">
        <f>IFERROR(INDEX('كشف الحساب'!$E$4:$E$354,MATCH(136,'كشف الحساب'!$P$4:$P$354,0)),"")</f>
        <v>0</v>
      </c>
      <c r="E141" s="124">
        <f>IFERROR(INDEX('كشف الحساب'!$D$4:$D$354,MATCH(136,'كشف الحساب'!$P$4:$P$354,0)),"")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الحساب'!$A$4:$A$354,MATCH(137,'كشف الحساب'!$P$4:$P$354,0)),"")</f>
        <v>46260</v>
      </c>
      <c r="B142" s="122" t="str">
        <f>IFERROR(INDEX('كشف الحساب'!$B$4:$B$354,MATCH(137,'كشف الحساب'!$P$4:$P$354,0)),"")</f>
        <v>Inv-121</v>
      </c>
      <c r="C142" s="121" t="str">
        <f>IFERROR(INDEX('كشف الحساب'!$C$4:$C$354,MATCH(137,'كشف الحساب'!$P$4:$P$354,0)),"")</f>
        <v>شركه التهاني</v>
      </c>
      <c r="D142" s="123">
        <f>IFERROR(INDEX('كشف الحساب'!$E$4:$E$354,MATCH(137,'كشف الحساب'!$P$4:$P$354,0)),"")</f>
        <v>260</v>
      </c>
      <c r="E142" s="124">
        <f>IFERROR(INDEX('كشف الحساب'!$D$4:$D$354,MATCH(137,'كشف الحساب'!$P$4:$P$354,0)),"")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الحساب'!$A$4:$A$354,MATCH(138,'كشف الحساب'!$P$4:$P$354,0)),"")</f>
        <v>46260</v>
      </c>
      <c r="B143" s="122">
        <f>IFERROR(INDEX('كشف الحساب'!$B$4:$B$354,MATCH(138,'كشف الحساب'!$P$4:$P$354,0)),"")</f>
        <v>0</v>
      </c>
      <c r="C143" s="121" t="str">
        <f>IFERROR(INDEX('كشف الحساب'!$C$4:$C$354,MATCH(138,'كشف الحساب'!$P$4:$P$354,0)),"")</f>
        <v>, حوض معلق عدد500 (الوحده.170(,بتموس عدد 10 الحبه 15</v>
      </c>
      <c r="D143" s="123">
        <f>IFERROR(INDEX('كشف الحساب'!$E$4:$E$354,MATCH(138,'كشف الحساب'!$P$4:$P$354,0)),"")</f>
        <v>0</v>
      </c>
      <c r="E143" s="124">
        <f>IFERROR(INDEX('كشف الحساب'!$D$4:$D$354,MATCH(138,'كشف الحساب'!$P$4:$P$354,0)),"")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الحساب'!$A$4:$A$354,MATCH(139,'كشف الحساب'!$P$4:$P$354,0)),"")</f>
        <v>46251</v>
      </c>
      <c r="B144" s="122">
        <f>IFERROR(INDEX('كشف الحساب'!$B$4:$B$354,MATCH(139,'كشف الحساب'!$P$4:$P$354,0)),"")</f>
        <v>0</v>
      </c>
      <c r="C144" s="121" t="str">
        <f>IFERROR(INDEX('كشف الحساب'!$C$4:$C$354,MATCH(139,'كشف الحساب'!$P$4:$P$354,0)),"")</f>
        <v>تاير توكتوك</v>
      </c>
      <c r="D144" s="123">
        <f>IFERROR(INDEX('كشف الحساب'!$E$4:$E$354,MATCH(139,'كشف الحساب'!$P$4:$P$354,0)),"")</f>
        <v>0</v>
      </c>
      <c r="E144" s="124">
        <f>IFERROR(INDEX('كشف الحساب'!$D$4:$D$354,MATCH(139,'كشف الحساب'!$P$4:$P$354,0)),"")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الحساب'!$A$4:$A$354,MATCH(140,'كشف الحساب'!$P$4:$P$354,0)),"")</f>
        <v>46229</v>
      </c>
      <c r="B145" s="122" t="str">
        <f>IFERROR(INDEX('كشف الحساب'!$B$4:$B$354,MATCH(140,'كشف الحساب'!$P$4:$P$354,0)),"")</f>
        <v>Inv-122</v>
      </c>
      <c r="C145" s="121" t="str">
        <f>IFERROR(INDEX('كشف الحساب'!$C$4:$C$354,MATCH(140,'كشف الحساب'!$P$4:$P$354,0)),"")</f>
        <v>متنوع عدد10 الحبه 1</v>
      </c>
      <c r="D145" s="123">
        <f>IFERROR(INDEX('كشف الحساب'!$E$4:$E$354,MATCH(140,'كشف الحساب'!$P$4:$P$354,0)),"")</f>
        <v>10</v>
      </c>
      <c r="E145" s="124">
        <f>IFERROR(INDEX('كشف الحساب'!$D$4:$D$354,MATCH(140,'كشف الحساب'!$P$4:$P$354,0)),"")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الحساب'!$A$4:$A$354,MATCH(141,'كشف الحساب'!$P$4:$P$354,0)),"")</f>
        <v>46229</v>
      </c>
      <c r="B146" s="122" t="str">
        <f>IFERROR(INDEX('كشف الحساب'!$B$4:$B$354,MATCH(141,'كشف الحساب'!$P$4:$P$354,0)),"")</f>
        <v>Inv-123</v>
      </c>
      <c r="C146" s="121" t="str">
        <f>IFERROR(INDEX('كشف الحساب'!$C$4:$C$354,MATCH(141,'كشف الحساب'!$P$4:$P$354,0)),"")</f>
        <v>ربل عدد 4 الحبه 2.250</v>
      </c>
      <c r="D146" s="123">
        <f>IFERROR(INDEX('كشف الحساب'!$E$4:$E$354,MATCH(141,'كشف الحساب'!$P$4:$P$354,0)),"")</f>
        <v>9</v>
      </c>
      <c r="E146" s="124">
        <f>IFERROR(INDEX('كشف الحساب'!$D$4:$D$354,MATCH(141,'كشف الحساب'!$P$4:$P$354,0)),"")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الحساب'!$A$4:$A$354,MATCH(142,'كشف الحساب'!$P$4:$P$354,0)),"")</f>
        <v>46229</v>
      </c>
      <c r="B147" s="122" t="str">
        <f>IFERROR(INDEX('كشف الحساب'!$B$4:$B$354,MATCH(142,'كشف الحساب'!$P$4:$P$354,0)),"")</f>
        <v>Inv-124</v>
      </c>
      <c r="C147" s="121" t="str">
        <f>IFERROR(INDEX('كشف الحساب'!$C$4:$C$354,MATCH(142,'كشف الحساب'!$P$4:$P$354,0)),"")</f>
        <v>متنوع عدد 10 الحبه 1</v>
      </c>
      <c r="D147" s="123">
        <f>IFERROR(INDEX('كشف الحساب'!$E$4:$E$354,MATCH(142,'كشف الحساب'!$P$4:$P$354,0)),"")</f>
        <v>10</v>
      </c>
      <c r="E147" s="124">
        <f>IFERROR(INDEX('كشف الحساب'!$D$4:$D$354,MATCH(142,'كشف الحساب'!$P$4:$P$354,0)),"")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الحساب'!$A$4:$A$354,MATCH(143,'كشف الحساب'!$P$4:$P$354,0)),"")</f>
        <v>46251</v>
      </c>
      <c r="B148" s="122">
        <f>IFERROR(INDEX('كشف الحساب'!$B$4:$B$354,MATCH(143,'كشف الحساب'!$P$4:$P$354,0)),"")</f>
        <v>0</v>
      </c>
      <c r="C148" s="121" t="str">
        <f>IFERROR(INDEX('كشف الحساب'!$C$4:$C$354,MATCH(143,'كشف الحساب'!$P$4:$P$354,0)),"")</f>
        <v>هوز اصفر 3/4 طول 50 متر</v>
      </c>
      <c r="D148" s="123">
        <f>IFERROR(INDEX('كشف الحساب'!$E$4:$E$354,MATCH(143,'كشف الحساب'!$P$4:$P$354,0)),"")</f>
        <v>0</v>
      </c>
      <c r="E148" s="124">
        <f>IFERROR(INDEX('كشف الحساب'!$D$4:$D$354,MATCH(143,'كشف الحساب'!$P$4:$P$354,0)),"")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الحساب'!$A$4:$A$354,MATCH(144,'كشف الحساب'!$P$4:$P$354,0)),"")</f>
        <v>46254</v>
      </c>
      <c r="B149" s="122" t="str">
        <f>IFERROR(INDEX('كشف الحساب'!$B$4:$B$354,MATCH(144,'كشف الحساب'!$P$4:$P$354,0)),"")</f>
        <v>Inv-125</v>
      </c>
      <c r="C149" s="121" t="str">
        <f>IFERROR(INDEX('كشف الحساب'!$C$4:$C$354,MATCH(144,'كشف الحساب'!$P$4:$P$354,0)),"")</f>
        <v>متنوع - تم الدفع 26/8</v>
      </c>
      <c r="D149" s="123">
        <f>IFERROR(INDEX('كشف الحساب'!$E$4:$E$354,MATCH(144,'كشف الحساب'!$P$4:$P$354,0)),"")</f>
        <v>59</v>
      </c>
      <c r="E149" s="124">
        <f>IFERROR(INDEX('كشف الحساب'!$D$4:$D$354,MATCH(144,'كشف الحساب'!$P$4:$P$354,0)),"")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الحساب'!$A$4:$A$354,MATCH(145,'كشف الحساب'!$P$4:$P$354,0)),"")</f>
        <v>46263</v>
      </c>
      <c r="B150" s="122" t="str">
        <f>IFERROR(INDEX('كشف الحساب'!$B$4:$B$354,MATCH(145,'كشف الحساب'!$P$4:$P$354,0)),"")</f>
        <v>Inv-126</v>
      </c>
      <c r="C150" s="121" t="str">
        <f>IFERROR(INDEX('كشف الحساب'!$C$4:$C$354,MATCH(145,'كشف الحساب'!$P$4:$P$354,0)),"")</f>
        <v>فاتوره لزهور التهاني</v>
      </c>
      <c r="D150" s="123">
        <f>IFERROR(INDEX('كشف الحساب'!$E$4:$E$354,MATCH(145,'كشف الحساب'!$P$4:$P$354,0)),"")</f>
        <v>400</v>
      </c>
      <c r="E150" s="124">
        <f>IFERROR(INDEX('كشف الحساب'!$D$4:$D$354,MATCH(145,'كشف الحساب'!$P$4:$P$354,0)),"")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الحساب'!$A$4:$A$354,MATCH(146,'كشف الحساب'!$P$4:$P$354,0)),"")</f>
        <v>46263</v>
      </c>
      <c r="B151" s="122">
        <f>IFERROR(INDEX('كشف الحساب'!$B$4:$B$354,MATCH(146,'كشف الحساب'!$P$4:$P$354,0)),"")</f>
        <v>0</v>
      </c>
      <c r="C151" s="121" t="str">
        <f>IFERROR(INDEX('كشف الحساب'!$C$4:$C$354,MATCH(146,'كشف الحساب'!$P$4:$P$354,0)),"")</f>
        <v>صبار عدد 15 الحبه 1</v>
      </c>
      <c r="D151" s="123">
        <f>IFERROR(INDEX('كشف الحساب'!$E$4:$E$354,MATCH(146,'كشف الحساب'!$P$4:$P$354,0)),"")</f>
        <v>0</v>
      </c>
      <c r="E151" s="124">
        <f>IFERROR(INDEX('كشف الحساب'!$D$4:$D$354,MATCH(146,'كشف الحساب'!$P$4:$P$354,0)),"")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الحساب'!$A$4:$A$354,MATCH(147,'كشف الحساب'!$P$4:$P$354,0)),"")</f>
        <v>46263</v>
      </c>
      <c r="B152" s="122">
        <f>IFERROR(INDEX('كشف الحساب'!$B$4:$B$354,MATCH(147,'كشف الحساب'!$P$4:$P$354,0)),"")</f>
        <v>0</v>
      </c>
      <c r="C152" s="121" t="str">
        <f>IFERROR(INDEX('كشف الحساب'!$C$4:$C$354,MATCH(147,'كشف الحساب'!$P$4:$P$354,0)),"")</f>
        <v>زيتون عدد 2 الحبه 12</v>
      </c>
      <c r="D152" s="123">
        <f>IFERROR(INDEX('كشف الحساب'!$E$4:$E$354,MATCH(147,'كشف الحساب'!$P$4:$P$354,0)),"")</f>
        <v>0</v>
      </c>
      <c r="E152" s="124">
        <f>IFERROR(INDEX('كشف الحساب'!$D$4:$D$354,MATCH(147,'كشف الحساب'!$P$4:$P$354,0)),"")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الحساب'!$A$4:$A$354,MATCH(148,'كشف الحساب'!$P$4:$P$354,0)),"")</f>
        <v>46264</v>
      </c>
      <c r="B153" s="122" t="str">
        <f>IFERROR(INDEX('كشف الحساب'!$B$4:$B$354,MATCH(148,'كشف الحساب'!$P$4:$P$354,0)),"")</f>
        <v>Inv-127</v>
      </c>
      <c r="C153" s="121" t="str">
        <f>IFERROR(INDEX('كشف الحساب'!$C$4:$C$354,MATCH(148,'كشف الحساب'!$P$4:$P$354,0)),"")</f>
        <v>اناناس عدد 4 الواحده 4</v>
      </c>
      <c r="D153" s="123">
        <f>IFERROR(INDEX('كشف الحساب'!$E$4:$E$354,MATCH(148,'كشف الحساب'!$P$4:$P$354,0)),"")</f>
        <v>16</v>
      </c>
      <c r="E153" s="124">
        <f>IFERROR(INDEX('كشف الحساب'!$D$4:$D$354,MATCH(148,'كشف الحساب'!$P$4:$P$354,0)),"")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الحساب'!$A$4:$A$354,MATCH(149,'كشف الحساب'!$P$4:$P$354,0)),"")</f>
        <v>46264</v>
      </c>
      <c r="B154" s="122" t="str">
        <f>IFERROR(INDEX('كشف الحساب'!$B$4:$B$354,MATCH(149,'كشف الحساب'!$P$4:$P$354,0)),"")</f>
        <v>Inv-128</v>
      </c>
      <c r="C154" s="121" t="str">
        <f>IFERROR(INDEX('كشف الحساب'!$C$4:$C$354,MATCH(149,'كشف الحساب'!$P$4:$P$354,0)),"")</f>
        <v>ربل عدد 6 الحبه 2.500</v>
      </c>
      <c r="D154" s="123">
        <f>IFERROR(INDEX('كشف الحساب'!$E$4:$E$354,MATCH(149,'كشف الحساب'!$P$4:$P$354,0)),"")</f>
        <v>15</v>
      </c>
      <c r="E154" s="124">
        <f>IFERROR(INDEX('كشف الحساب'!$D$4:$D$354,MATCH(149,'كشف الحساب'!$P$4:$P$354,0)),"")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الحساب'!$A$4:$A$354,MATCH(150,'كشف الحساب'!$P$4:$P$354,0)),"")</f>
        <v>46264</v>
      </c>
      <c r="B155" s="122" t="str">
        <f>IFERROR(INDEX('كشف الحساب'!$B$4:$B$354,MATCH(150,'كشف الحساب'!$P$4:$P$354,0)),"")</f>
        <v>Inv-129</v>
      </c>
      <c r="C155" s="121" t="str">
        <f>IFERROR(INDEX('كشف الحساب'!$C$4:$C$354,MATCH(150,'كشف الحساب'!$P$4:$P$354,0)),"")</f>
        <v>متنوع عدد 17 الحبه 1</v>
      </c>
      <c r="D155" s="123">
        <f>IFERROR(INDEX('كشف الحساب'!$E$4:$E$354,MATCH(150,'كشف الحساب'!$P$4:$P$354,0)),"")</f>
        <v>17</v>
      </c>
      <c r="E155" s="124">
        <f>IFERROR(INDEX('كشف الحساب'!$D$4:$D$354,MATCH(150,'كشف الحساب'!$P$4:$P$354,0)),"")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الحساب'!$A$4:$A$354,MATCH(151,'كشف الحساب'!$P$4:$P$354,0)),"")</f>
        <v>46264</v>
      </c>
      <c r="B156" s="122" t="str">
        <f>IFERROR(INDEX('كشف الحساب'!$B$4:$B$354,MATCH(151,'كشف الحساب'!$P$4:$P$354,0)),"")</f>
        <v>Inv-130</v>
      </c>
      <c r="C156" s="121" t="str">
        <f>IFERROR(INDEX('كشف الحساب'!$C$4:$C$354,MATCH(151,'كشف الحساب'!$P$4:$P$354,0)),"")</f>
        <v>صبار عدد 13 الحبه 0.750</v>
      </c>
      <c r="D156" s="123">
        <f>IFERROR(INDEX('كشف الحساب'!$E$4:$E$354,MATCH(151,'كشف الحساب'!$P$4:$P$354,0)),"")</f>
        <v>9.75</v>
      </c>
      <c r="E156" s="124">
        <f>IFERROR(INDEX('كشف الحساب'!$D$4:$D$354,MATCH(151,'كشف الحساب'!$P$4:$P$354,0)),"")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الحساب'!$A$4:$A$354,MATCH(152,'كشف الحساب'!$P$4:$P$354,0)),"")</f>
        <v>46264</v>
      </c>
      <c r="B157" s="122" t="str">
        <f>IFERROR(INDEX('كشف الحساب'!$B$4:$B$354,MATCH(152,'كشف الحساب'!$P$4:$P$354,0)),"")</f>
        <v>Inv-131</v>
      </c>
      <c r="C157" s="121" t="str">
        <f>IFERROR(INDEX('كشف الحساب'!$C$4:$C$354,MATCH(152,'كشف الحساب'!$P$4:$P$354,0)),"")</f>
        <v>تين عدد5 الحبه 1.500</v>
      </c>
      <c r="D157" s="123">
        <f>IFERROR(INDEX('كشف الحساب'!$E$4:$E$354,MATCH(152,'كشف الحساب'!$P$4:$P$354,0)),"")</f>
        <v>7.5</v>
      </c>
      <c r="E157" s="124">
        <f>IFERROR(INDEX('كشف الحساب'!$D$4:$D$354,MATCH(152,'كشف الحساب'!$P$4:$P$354,0)),"")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الحساب'!$A$4:$A$354,MATCH(153,'كشف الحساب'!$P$4:$P$354,0)),"")</f>
        <v>46264</v>
      </c>
      <c r="B158" s="122">
        <f>IFERROR(INDEX('كشف الحساب'!$B$4:$B$354,MATCH(153,'كشف الحساب'!$P$4:$P$354,0)),"")</f>
        <v>0</v>
      </c>
      <c r="C158" s="121" t="str">
        <f>IFERROR(INDEX('كشف الحساب'!$C$4:$C$354,MATCH(153,'كشف الحساب'!$P$4:$P$354,0)),"")</f>
        <v>أقامه نزمول 3 سنوات</v>
      </c>
      <c r="D158" s="123">
        <f>IFERROR(INDEX('كشف الحساب'!$E$4:$E$354,MATCH(153,'كشف الحساب'!$P$4:$P$354,0)),"")</f>
        <v>0</v>
      </c>
      <c r="E158" s="124">
        <f>IFERROR(INDEX('كشف الحساب'!$D$4:$D$354,MATCH(153,'كشف الحساب'!$P$4:$P$354,0)),"")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الحساب'!$A$4:$A$354,MATCH(154,'كشف الحساب'!$P$4:$P$354,0)),"")</f>
        <v>46265</v>
      </c>
      <c r="B159" s="122">
        <f>IFERROR(INDEX('كشف الحساب'!$B$4:$B$354,MATCH(154,'كشف الحساب'!$P$4:$P$354,0)),"")</f>
        <v>0</v>
      </c>
      <c r="C159" s="121" t="str">
        <f>IFERROR(INDEX('كشف الحساب'!$C$4:$C$354,MATCH(154,'كشف الحساب'!$P$4:$P$354,0)),"")</f>
        <v>رواتب + كهرباء وماء</v>
      </c>
      <c r="D159" s="123">
        <f>IFERROR(INDEX('كشف الحساب'!$E$4:$E$354,MATCH(154,'كشف الحساب'!$P$4:$P$354,0)),"")</f>
        <v>0</v>
      </c>
      <c r="E159" s="124">
        <f>IFERROR(INDEX('كشف الحساب'!$D$4:$D$354,MATCH(154,'كشف الحساب'!$P$4:$P$354,0)),"")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الحساب'!$A$4:$A$354,MATCH(155,'كشف الحساب'!$P$4:$P$354,0)),"")</f>
        <v>46265</v>
      </c>
      <c r="B160" s="122">
        <f>IFERROR(INDEX('كشف الحساب'!$B$4:$B$354,MATCH(155,'كشف الحساب'!$P$4:$P$354,0)),"")</f>
        <v>0</v>
      </c>
      <c r="C160" s="121" t="str">
        <f>IFERROR(INDEX('كشف الحساب'!$C$4:$C$354,MATCH(155,'كشف الحساب'!$P$4:$P$354,0)),"")</f>
        <v>نصف قيمه فلتر المالج</v>
      </c>
      <c r="D160" s="123">
        <f>IFERROR(INDEX('كشف الحساب'!$E$4:$E$354,MATCH(155,'كشف الحساب'!$P$4:$P$354,0)),"")</f>
        <v>0</v>
      </c>
      <c r="E160" s="124">
        <f>IFERROR(INDEX('كشف الحساب'!$D$4:$D$354,MATCH(155,'كشف الحساب'!$P$4:$P$354,0)),"")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الحساب'!$A$4:$A$354,MATCH(156,'كشف الحساب'!$P$4:$P$354,0)),"")</f>
        <v>46265</v>
      </c>
      <c r="B161" s="122" t="str">
        <f>IFERROR(INDEX('كشف الحساب'!$B$4:$B$354,MATCH(156,'كشف الحساب'!$P$4:$P$354,0)),"")</f>
        <v>Inv-132</v>
      </c>
      <c r="C161" s="121" t="str">
        <f>IFERROR(INDEX('كشف الحساب'!$C$4:$C$354,MATCH(156,'كشف الحساب'!$P$4:$P$354,0)),"")</f>
        <v>ودليه عدد 2 الحبه 1</v>
      </c>
      <c r="D161" s="123">
        <f>IFERROR(INDEX('كشف الحساب'!$E$4:$E$354,MATCH(156,'كشف الحساب'!$P$4:$P$354,0)),"")</f>
        <v>2</v>
      </c>
      <c r="E161" s="124">
        <f>IFERROR(INDEX('كشف الحساب'!$D$4:$D$354,MATCH(156,'كشف الحساب'!$P$4:$P$354,0)),"")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الحساب'!$A$4:$A$354,MATCH(157,'كشف الحساب'!$P$4:$P$354,0)),"")</f>
        <v>46268</v>
      </c>
      <c r="B162" s="122" t="str">
        <f>IFERROR(INDEX('كشف الحساب'!$B$4:$B$354,MATCH(157,'كشف الحساب'!$P$4:$P$354,0)),"")</f>
        <v>Inv-133</v>
      </c>
      <c r="C162" s="121" t="str">
        <f>IFERROR(INDEX('كشف الحساب'!$C$4:$C$354,MATCH(157,'كشف الحساب'!$P$4:$P$354,0)),"")</f>
        <v>زهور التهاني</v>
      </c>
      <c r="D162" s="123">
        <f>IFERROR(INDEX('كشف الحساب'!$E$4:$E$354,MATCH(157,'كشف الحساب'!$P$4:$P$354,0)),"")</f>
        <v>270</v>
      </c>
      <c r="E162" s="124">
        <f>IFERROR(INDEX('كشف الحساب'!$D$4:$D$354,MATCH(157,'كشف الحساب'!$P$4:$P$354,0)),"")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الحساب'!$A$4:$A$354,MATCH(158,'كشف الحساب'!$P$4:$P$354,0)),"")</f>
        <v>46269</v>
      </c>
      <c r="B163" s="122">
        <f>IFERROR(INDEX('كشف الحساب'!$B$4:$B$354,MATCH(158,'كشف الحساب'!$P$4:$P$354,0)),"")</f>
        <v>0</v>
      </c>
      <c r="C163" s="121" t="str">
        <f>IFERROR(INDEX('كشف الحساب'!$C$4:$C$354,MATCH(158,'كشف الحساب'!$P$4:$P$354,0)),"")</f>
        <v>يوريا  عدد1 (12.250) + مقص عدد1(1.250)</v>
      </c>
      <c r="D163" s="123">
        <f>IFERROR(INDEX('كشف الحساب'!$E$4:$E$354,MATCH(158,'كشف الحساب'!$P$4:$P$354,0)),"")</f>
        <v>0</v>
      </c>
      <c r="E163" s="124">
        <f>IFERROR(INDEX('كشف الحساب'!$D$4:$D$354,MATCH(158,'كشف الحساب'!$P$4:$P$354,0)),"")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الحساب'!$A$4:$A$354,MATCH(159,'كشف الحساب'!$P$4:$P$354,0)),"")</f>
        <v>46271</v>
      </c>
      <c r="B164" s="122" t="str">
        <f>IFERROR(INDEX('كشف الحساب'!$B$4:$B$354,MATCH(159,'كشف الحساب'!$P$4:$P$354,0)),"")</f>
        <v>Inv-134</v>
      </c>
      <c r="C164" s="121" t="str">
        <f>IFERROR(INDEX('كشف الحساب'!$C$4:$C$354,MATCH(159,'كشف الحساب'!$P$4:$P$354,0)),"")</f>
        <v>ليمون جراس عدد 4 الحبه 3</v>
      </c>
      <c r="D164" s="123">
        <f>IFERROR(INDEX('كشف الحساب'!$E$4:$E$354,MATCH(159,'كشف الحساب'!$P$4:$P$354,0)),"")</f>
        <v>12</v>
      </c>
      <c r="E164" s="124">
        <f>IFERROR(INDEX('كشف الحساب'!$D$4:$D$354,MATCH(159,'كشف الحساب'!$P$4:$P$354,0)),"")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الحساب'!$A$4:$A$354,MATCH(160,'كشف الحساب'!$P$4:$P$354,0)),"")</f>
        <v>46271</v>
      </c>
      <c r="B165" s="122" t="str">
        <f>IFERROR(INDEX('كشف الحساب'!$B$4:$B$354,MATCH(160,'كشف الحساب'!$P$4:$P$354,0)),"")</f>
        <v>Inv-135</v>
      </c>
      <c r="C165" s="121" t="str">
        <f>IFERROR(INDEX('كشف الحساب'!$C$4:$C$354,MATCH(160,'كشف الحساب'!$P$4:$P$354,0)),"")</f>
        <v>ربل عدد 2 الحبه 1.500</v>
      </c>
      <c r="D165" s="123">
        <f>IFERROR(INDEX('كشف الحساب'!$E$4:$E$354,MATCH(160,'كشف الحساب'!$P$4:$P$354,0)),"")</f>
        <v>3</v>
      </c>
      <c r="E165" s="124">
        <f>IFERROR(INDEX('كشف الحساب'!$D$4:$D$354,MATCH(160,'كشف الحساب'!$P$4:$P$354,0)),"")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الحساب'!$A$4:$A$354,MATCH(161,'كشف الحساب'!$P$4:$P$354,0)),"")</f>
        <v>46271</v>
      </c>
      <c r="B166" s="122" t="str">
        <f>IFERROR(INDEX('كشف الحساب'!$B$4:$B$354,MATCH(161,'كشف الحساب'!$P$4:$P$354,0)),"")</f>
        <v>Inv-136</v>
      </c>
      <c r="C166" s="121" t="str">
        <f>IFERROR(INDEX('كشف الحساب'!$C$4:$C$354,MATCH(161,'كشف الحساب'!$P$4:$P$354,0)),"")</f>
        <v>متنوع عدد 7 الحبه 1</v>
      </c>
      <c r="D166" s="123">
        <f>IFERROR(INDEX('كشف الحساب'!$E$4:$E$354,MATCH(161,'كشف الحساب'!$P$4:$P$354,0)),"")</f>
        <v>7</v>
      </c>
      <c r="E166" s="124">
        <f>IFERROR(INDEX('كشف الحساب'!$D$4:$D$354,MATCH(161,'كشف الحساب'!$P$4:$P$354,0)),"")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الحساب'!$A$4:$A$354,MATCH(162,'كشف الحساب'!$P$4:$P$354,0)),"")</f>
        <v>46271</v>
      </c>
      <c r="B167" s="122">
        <f>IFERROR(INDEX('كشف الحساب'!$B$4:$B$354,MATCH(162,'كشف الحساب'!$P$4:$P$354,0)),"")</f>
        <v>0</v>
      </c>
      <c r="C167" s="121" t="str">
        <f>IFERROR(INDEX('كشف الحساب'!$C$4:$C$354,MATCH(162,'كشف الحساب'!$P$4:$P$354,0)),"")</f>
        <v>احواض  عدد 1000 الحجم 25 سم</v>
      </c>
      <c r="D167" s="123">
        <f>IFERROR(INDEX('كشف الحساب'!$E$4:$E$354,MATCH(162,'كشف الحساب'!$P$4:$P$354,0)),"")</f>
        <v>0</v>
      </c>
      <c r="E167" s="124">
        <f>IFERROR(INDEX('كشف الحساب'!$D$4:$D$354,MATCH(162,'كشف الحساب'!$P$4:$P$354,0)),"")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الحساب'!$A$4:$A$354,MATCH(163,'كشف الحساب'!$P$4:$P$354,0)),"")</f>
        <v>46272</v>
      </c>
      <c r="B168" s="122">
        <f>IFERROR(INDEX('كشف الحساب'!$B$4:$B$354,MATCH(163,'كشف الحساب'!$P$4:$P$354,0)),"")</f>
        <v>0</v>
      </c>
      <c r="C168" s="121" t="str">
        <f>IFERROR(INDEX('كشف الحساب'!$C$4:$C$354,MATCH(163,'كشف الحساب'!$P$4:$P$354,0)),"")</f>
        <v>وصلات</v>
      </c>
      <c r="D168" s="123">
        <f>IFERROR(INDEX('كشف الحساب'!$E$4:$E$354,MATCH(163,'كشف الحساب'!$P$4:$P$354,0)),"")</f>
        <v>0</v>
      </c>
      <c r="E168" s="124">
        <f>IFERROR(INDEX('كشف الحساب'!$D$4:$D$354,MATCH(163,'كشف الحساب'!$P$4:$P$354,0)),"")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الحساب'!$A$4:$A$354,MATCH(164,'كشف الحساب'!$P$4:$P$354,0)),"")</f>
        <v>46275</v>
      </c>
      <c r="B169" s="122" t="str">
        <f>IFERROR(INDEX('كشف الحساب'!$B$4:$B$354,MATCH(164,'كشف الحساب'!$P$4:$P$354,0)),"")</f>
        <v>Inv-137</v>
      </c>
      <c r="C169" s="121" t="str">
        <f>IFERROR(INDEX('كشف الحساب'!$C$4:$C$354,MATCH(164,'كشف الحساب'!$P$4:$P$354,0)),"")</f>
        <v>صبار عدد 5 الحبه 1</v>
      </c>
      <c r="D169" s="123">
        <f>IFERROR(INDEX('كشف الحساب'!$E$4:$E$354,MATCH(164,'كشف الحساب'!$P$4:$P$354,0)),"")</f>
        <v>5</v>
      </c>
      <c r="E169" s="124">
        <f>IFERROR(INDEX('كشف الحساب'!$D$4:$D$354,MATCH(164,'كشف الحساب'!$P$4:$P$354,0)),"")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الحساب'!$A$4:$A$354,MATCH(165,'كشف الحساب'!$P$4:$P$354,0)),"")</f>
        <v>46276</v>
      </c>
      <c r="B170" s="122" t="str">
        <f>IFERROR(INDEX('كشف الحساب'!$B$4:$B$354,MATCH(165,'كشف الحساب'!$P$4:$P$354,0)),"")</f>
        <v>Inv-138</v>
      </c>
      <c r="C170" s="121" t="str">
        <f>IFERROR(INDEX('كشف الحساب'!$C$4:$C$354,MATCH(165,'كشف الحساب'!$P$4:$P$354,0)),"")</f>
        <v>متنوع عدد 10 الحبه 1.500</v>
      </c>
      <c r="D170" s="123">
        <f>IFERROR(INDEX('كشف الحساب'!$E$4:$E$354,MATCH(165,'كشف الحساب'!$P$4:$P$354,0)),"")</f>
        <v>15</v>
      </c>
      <c r="E170" s="124">
        <f>IFERROR(INDEX('كشف الحساب'!$D$4:$D$354,MATCH(165,'كشف الحساب'!$P$4:$P$354,0)),"")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الحساب'!$A$4:$A$354,MATCH(166,'كشف الحساب'!$P$4:$P$354,0)),"")</f>
        <v>46276</v>
      </c>
      <c r="B171" s="122" t="str">
        <f>IFERROR(INDEX('كشف الحساب'!$B$4:$B$354,MATCH(166,'كشف الحساب'!$P$4:$P$354,0)),"")</f>
        <v>Inv-139</v>
      </c>
      <c r="C171" s="121" t="str">
        <f>IFERROR(INDEX('كشف الحساب'!$C$4:$C$354,MATCH(166,'كشف الحساب'!$P$4:$P$354,0)),"")</f>
        <v>متنوع عدد 20 الحبه 1</v>
      </c>
      <c r="D171" s="123">
        <f>IFERROR(INDEX('كشف الحساب'!$E$4:$E$354,MATCH(166,'كشف الحساب'!$P$4:$P$354,0)),"")</f>
        <v>20</v>
      </c>
      <c r="E171" s="124">
        <f>IFERROR(INDEX('كشف الحساب'!$D$4:$D$354,MATCH(166,'كشف الحساب'!$P$4:$P$354,0)),"")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الحساب'!$A$4:$A$354,MATCH(167,'كشف الحساب'!$P$4:$P$354,0)),"")</f>
        <v>46276</v>
      </c>
      <c r="B172" s="122" t="str">
        <f>IFERROR(INDEX('كشف الحساب'!$B$4:$B$354,MATCH(167,'كشف الحساب'!$P$4:$P$354,0)),"")</f>
        <v>Inv-140</v>
      </c>
      <c r="C172" s="121" t="str">
        <f>IFERROR(INDEX('كشف الحساب'!$C$4:$C$354,MATCH(167,'كشف الحساب'!$P$4:$P$354,0)),"")</f>
        <v>صبار عدد 35 الحبه 1</v>
      </c>
      <c r="D172" s="123">
        <f>IFERROR(INDEX('كشف الحساب'!$E$4:$E$354,MATCH(167,'كشف الحساب'!$P$4:$P$354,0)),"")</f>
        <v>35</v>
      </c>
      <c r="E172" s="124">
        <f>IFERROR(INDEX('كشف الحساب'!$D$4:$D$354,MATCH(167,'كشف الحساب'!$P$4:$P$354,0)),"")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الحساب'!$A$4:$A$354,MATCH(168,'كشف الحساب'!$P$4:$P$354,0)),"")</f>
        <v>46276</v>
      </c>
      <c r="B173" s="122" t="str">
        <f>IFERROR(INDEX('كشف الحساب'!$B$4:$B$354,MATCH(168,'كشف الحساب'!$P$4:$P$354,0)),"")</f>
        <v>Inv-141</v>
      </c>
      <c r="C173" s="121" t="str">
        <f>IFERROR(INDEX('كشف الحساب'!$C$4:$C$354,MATCH(168,'كشف الحساب'!$P$4:$P$354,0)),"")</f>
        <v>متنوع عدد 5 الحبه 1</v>
      </c>
      <c r="D173" s="123">
        <f>IFERROR(INDEX('كشف الحساب'!$E$4:$E$354,MATCH(168,'كشف الحساب'!$P$4:$P$354,0)),"")</f>
        <v>5</v>
      </c>
      <c r="E173" s="124">
        <f>IFERROR(INDEX('كشف الحساب'!$D$4:$D$354,MATCH(168,'كشف الحساب'!$P$4:$P$354,0)),"")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الحساب'!$A$4:$A$354,MATCH(169,'كشف الحساب'!$P$4:$P$354,0)),"")</f>
        <v>46276</v>
      </c>
      <c r="B174" s="122" t="str">
        <f>IFERROR(INDEX('كشف الحساب'!$B$4:$B$354,MATCH(169,'كشف الحساب'!$P$4:$P$354,0)),"")</f>
        <v>Inv-142</v>
      </c>
      <c r="C174" s="121" t="str">
        <f>IFERROR(INDEX('كشف الحساب'!$C$4:$C$354,MATCH(169,'كشف الحساب'!$P$4:$P$354,0)),"")</f>
        <v>عطره العدد 10 الحبه .750</v>
      </c>
      <c r="D174" s="123">
        <f>IFERROR(INDEX('كشف الحساب'!$E$4:$E$354,MATCH(169,'كشف الحساب'!$P$4:$P$354,0)),"")</f>
        <v>10</v>
      </c>
      <c r="E174" s="124">
        <f>IFERROR(INDEX('كشف الحساب'!$D$4:$D$354,MATCH(169,'كشف الحساب'!$P$4:$P$354,0)),"")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الحساب'!$A$4:$A$354,MATCH(170,'كشف الحساب'!$P$4:$P$354,0)),"")</f>
        <v>46276</v>
      </c>
      <c r="B175" s="122" t="str">
        <f>IFERROR(INDEX('كشف الحساب'!$B$4:$B$354,MATCH(170,'كشف الحساب'!$P$4:$P$354,0)),"")</f>
        <v>Inv-143</v>
      </c>
      <c r="C175" s="121" t="str">
        <f>IFERROR(INDEX('كشف الحساب'!$C$4:$C$354,MATCH(170,'كشف الحساب'!$P$4:$P$354,0)),"")</f>
        <v>دارسينا متنوع عدد 2  الحبه 3</v>
      </c>
      <c r="D175" s="123">
        <f>IFERROR(INDEX('كشف الحساب'!$E$4:$E$354,MATCH(170,'كشف الحساب'!$P$4:$P$354,0)),"")</f>
        <v>6</v>
      </c>
      <c r="E175" s="124">
        <f>IFERROR(INDEX('كشف الحساب'!$D$4:$D$354,MATCH(170,'كشف الحساب'!$P$4:$P$354,0)),"")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الحساب'!$A$4:$A$354,MATCH(171,'كشف الحساب'!$P$4:$P$354,0)),"")</f>
        <v>46276</v>
      </c>
      <c r="B176" s="122" t="str">
        <f>IFERROR(INDEX('كشف الحساب'!$B$4:$B$354,MATCH(171,'كشف الحساب'!$P$4:$P$354,0)),"")</f>
        <v>Inv-144</v>
      </c>
      <c r="C176" s="121" t="str">
        <f>IFERROR(INDEX('كشف الحساب'!$C$4:$C$354,MATCH(171,'كشف الحساب'!$P$4:$P$354,0)),"")</f>
        <v>معلقات عدد 2 الحبه 1</v>
      </c>
      <c r="D176" s="123">
        <f>IFERROR(INDEX('كشف الحساب'!$E$4:$E$354,MATCH(171,'كشف الحساب'!$P$4:$P$354,0)),"")</f>
        <v>2</v>
      </c>
      <c r="E176" s="124">
        <f>IFERROR(INDEX('كشف الحساب'!$D$4:$D$354,MATCH(171,'كشف الحساب'!$P$4:$P$354,0)),"")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الحساب'!$A$4:$A$354,MATCH(172,'كشف الحساب'!$P$4:$P$354,0)),"")</f>
        <v>46276</v>
      </c>
      <c r="B177" s="122" t="str">
        <f>IFERROR(INDEX('كشف الحساب'!$B$4:$B$354,MATCH(172,'كشف الحساب'!$P$4:$P$354,0)),"")</f>
        <v>Inv-145</v>
      </c>
      <c r="C177" s="121" t="str">
        <f>IFERROR(INDEX('كشف الحساب'!$C$4:$C$354,MATCH(172,'كشف الحساب'!$P$4:$P$354,0)),"")</f>
        <v>دارسينا اسود عدد 2 الحبه 2.500</v>
      </c>
      <c r="D177" s="123">
        <f>IFERROR(INDEX('كشف الحساب'!$E$4:$E$354,MATCH(172,'كشف الحساب'!$P$4:$P$354,0)),"")</f>
        <v>5</v>
      </c>
      <c r="E177" s="124">
        <f>IFERROR(INDEX('كشف الحساب'!$D$4:$D$354,MATCH(172,'كشف الحساب'!$P$4:$P$354,0)),"")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الحساب'!$A$4:$A$354,MATCH(173,'كشف الحساب'!$P$4:$P$354,0)),"")</f>
        <v>46276</v>
      </c>
      <c r="B178" s="122" t="str">
        <f>IFERROR(INDEX('كشف الحساب'!$B$4:$B$354,MATCH(173,'كشف الحساب'!$P$4:$P$354,0)),"")</f>
        <v>Inv-146</v>
      </c>
      <c r="C178" s="121" t="str">
        <f>IFERROR(INDEX('كشف الحساب'!$C$4:$C$354,MATCH(173,'كشف الحساب'!$P$4:$P$354,0)),"")</f>
        <v>متنوع عدد 2 الحبه 1</v>
      </c>
      <c r="D178" s="123">
        <f>IFERROR(INDEX('كشف الحساب'!$E$4:$E$354,MATCH(173,'كشف الحساب'!$P$4:$P$354,0)),"")</f>
        <v>2</v>
      </c>
      <c r="E178" s="124">
        <f>IFERROR(INDEX('كشف الحساب'!$D$4:$D$354,MATCH(173,'كشف الحساب'!$P$4:$P$354,0)),"")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الحساب'!$A$4:$A$354,MATCH(174,'كشف الحساب'!$P$4:$P$354,0)),"")</f>
        <v>46276</v>
      </c>
      <c r="B179" s="122" t="str">
        <f>IFERROR(INDEX('كشف الحساب'!$B$4:$B$354,MATCH(174,'كشف الحساب'!$P$4:$P$354,0)),"")</f>
        <v>Inv-147</v>
      </c>
      <c r="C179" s="121" t="str">
        <f>IFERROR(INDEX('كشف الحساب'!$C$4:$C$354,MATCH(174,'كشف الحساب'!$P$4:$P$354,0)),"")</f>
        <v>متنوع عدد 2 الحبه 1.500</v>
      </c>
      <c r="D179" s="123">
        <f>IFERROR(INDEX('كشف الحساب'!$E$4:$E$354,MATCH(174,'كشف الحساب'!$P$4:$P$354,0)),"")</f>
        <v>3</v>
      </c>
      <c r="E179" s="124">
        <f>IFERROR(INDEX('كشف الحساب'!$D$4:$D$354,MATCH(174,'كشف الحساب'!$P$4:$P$354,0)),"")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الحساب'!$A$4:$A$354,MATCH(175,'كشف الحساب'!$P$4:$P$354,0)),"")</f>
        <v>46276</v>
      </c>
      <c r="B180" s="122" t="str">
        <f>IFERROR(INDEX('كشف الحساب'!$B$4:$B$354,MATCH(175,'كشف الحساب'!$P$4:$P$354,0)),"")</f>
        <v>Inv-148</v>
      </c>
      <c r="C180" s="121" t="str">
        <f>IFERROR(INDEX('كشف الحساب'!$C$4:$C$354,MATCH(175,'كشف الحساب'!$P$4:$P$354,0)),"")</f>
        <v>متنوع عدد 2 الحبه 1</v>
      </c>
      <c r="D180" s="123">
        <f>IFERROR(INDEX('كشف الحساب'!$E$4:$E$354,MATCH(175,'كشف الحساب'!$P$4:$P$354,0)),"")</f>
        <v>2</v>
      </c>
      <c r="E180" s="124">
        <f>IFERROR(INDEX('كشف الحساب'!$D$4:$D$354,MATCH(175,'كشف الحساب'!$P$4:$P$354,0)),"")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الحساب'!$A$4:$A$354,MATCH(176,'كشف الحساب'!$P$4:$P$354,0)),"")</f>
        <v>46277</v>
      </c>
      <c r="B181" s="122">
        <f>IFERROR(INDEX('كشف الحساب'!$B$4:$B$354,MATCH(176,'كشف الحساب'!$P$4:$P$354,0)),"")</f>
        <v>0</v>
      </c>
      <c r="C181" s="121" t="str">
        <f>IFERROR(INDEX('كشف الحساب'!$C$4:$C$354,MATCH(176,'كشف الحساب'!$P$4:$P$354,0)),"")</f>
        <v>عصايا  500 حجم 120سم 500 90 سم 2 ابريق ماء 8 لتر</v>
      </c>
      <c r="D181" s="123">
        <f>IFERROR(INDEX('كشف الحساب'!$E$4:$E$354,MATCH(176,'كشف الحساب'!$P$4:$P$354,0)),"")</f>
        <v>0</v>
      </c>
      <c r="E181" s="124">
        <f>IFERROR(INDEX('كشف الحساب'!$D$4:$D$354,MATCH(176,'كشف الحساب'!$P$4:$P$354,0)),"")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الحساب'!$A$4:$A$354,MATCH(177,'كشف الحساب'!$P$4:$P$354,0)),"")</f>
        <v>46278</v>
      </c>
      <c r="B182" s="122" t="str">
        <f>IFERROR(INDEX('كشف الحساب'!$B$4:$B$354,MATCH(177,'كشف الحساب'!$P$4:$P$354,0)),"")</f>
        <v>Inv-149</v>
      </c>
      <c r="C182" s="121" t="str">
        <f>IFERROR(INDEX('كشف الحساب'!$C$4:$C$354,MATCH(177,'كشف الحساب'!$P$4:$P$354,0)),"")</f>
        <v>زهور التهاني</v>
      </c>
      <c r="D182" s="123">
        <f>IFERROR(INDEX('كشف الحساب'!$E$4:$E$354,MATCH(177,'كشف الحساب'!$P$4:$P$354,0)),"")</f>
        <v>310</v>
      </c>
      <c r="E182" s="124">
        <f>IFERROR(INDEX('كشف الحساب'!$D$4:$D$354,MATCH(177,'كشف الحساب'!$P$4:$P$354,0)),"")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الحساب'!$A$4:$A$354,MATCH(178,'كشف الحساب'!$P$4:$P$354,0)),"")</f>
        <v>46278</v>
      </c>
      <c r="B183" s="122">
        <f>IFERROR(INDEX('كشف الحساب'!$B$4:$B$354,MATCH(178,'كشف الحساب'!$P$4:$P$354,0)),"")</f>
        <v>0</v>
      </c>
      <c r="C183" s="121" t="str">
        <f>IFERROR(INDEX('كشف الحساب'!$C$4:$C$354,MATCH(178,'كشف الحساب'!$P$4:$P$354,0)),"")</f>
        <v>فيتامين حديد</v>
      </c>
      <c r="D183" s="123">
        <f>IFERROR(INDEX('كشف الحساب'!$E$4:$E$354,MATCH(178,'كشف الحساب'!$P$4:$P$354,0)),"")</f>
        <v>0</v>
      </c>
      <c r="E183" s="124">
        <f>IFERROR(INDEX('كشف الحساب'!$D$4:$D$354,MATCH(178,'كشف الحساب'!$P$4:$P$354,0)),"")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الحساب'!$A$4:$A$354,MATCH(179,'كشف الحساب'!$P$4:$P$354,0)),"")</f>
        <v>46282</v>
      </c>
      <c r="B184" s="122">
        <f>IFERROR(INDEX('كشف الحساب'!$B$4:$B$354,MATCH(179,'كشف الحساب'!$P$4:$P$354,0)),"")</f>
        <v>0</v>
      </c>
      <c r="C184" s="121" t="str">
        <f>IFERROR(INDEX('كشف الحساب'!$C$4:$C$354,MATCH(179,'كشف الحساب'!$P$4:$P$354,0)),"")</f>
        <v>زيتون عدد 5 الوحده 1.250</v>
      </c>
      <c r="D184" s="123">
        <f>IFERROR(INDEX('كشف الحساب'!$E$4:$E$354,MATCH(179,'كشف الحساب'!$P$4:$P$354,0)),"")</f>
        <v>0</v>
      </c>
      <c r="E184" s="124">
        <f>IFERROR(INDEX('كشف الحساب'!$D$4:$D$354,MATCH(179,'كشف الحساب'!$P$4:$P$354,0)),"")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الحساب'!$A$4:$A$354,MATCH(180,'كشف الحساب'!$P$4:$P$354,0)),"")</f>
        <v>46282</v>
      </c>
      <c r="B185" s="122">
        <f>IFERROR(INDEX('كشف الحساب'!$B$4:$B$354,MATCH(180,'كشف الحساب'!$P$4:$P$354,0)),"")</f>
        <v>0</v>
      </c>
      <c r="C185" s="121" t="str">
        <f>IFERROR(INDEX('كشف الحساب'!$C$4:$C$354,MATCH(180,'كشف الحساب'!$P$4:$P$354,0)),"")</f>
        <v>احواض عدد 1000 الحجم 25 سم</v>
      </c>
      <c r="D185" s="123">
        <f>IFERROR(INDEX('كشف الحساب'!$E$4:$E$354,MATCH(180,'كشف الحساب'!$P$4:$P$354,0)),"")</f>
        <v>0</v>
      </c>
      <c r="E185" s="124">
        <f>IFERROR(INDEX('كشف الحساب'!$D$4:$D$354,MATCH(180,'كشف الحساب'!$P$4:$P$354,0)),"")</f>
        <v>80</v>
      </c>
      <c r="F185" s="125">
        <f t="shared" si="5"/>
        <v>523.04500000000007</v>
      </c>
    </row>
    <row r="186" spans="1:6" ht="18" customHeight="1" x14ac:dyDescent="0.25">
      <c r="A186" s="142">
        <f>IFERROR(INDEX('كشف الحساب'!$A$4:$A$354,MATCH(181,'كشف الحساب'!$P$4:$P$354,0)),"")</f>
        <v>46282</v>
      </c>
      <c r="B186" s="122" t="str">
        <f>IFERROR(INDEX('كشف الحساب'!$B$4:$B$354,MATCH(181,'كشف الحساب'!$P$4:$P$354,0)),"")</f>
        <v>Inv-150</v>
      </c>
      <c r="C186" s="121" t="str">
        <f>IFERROR(INDEX('كشف الحساب'!$C$4:$C$354,MATCH(181,'كشف الحساب'!$P$4:$P$354,0)),"")</f>
        <v>صبار عدد 6 الحبه .500</v>
      </c>
      <c r="D186" s="123">
        <f>IFERROR(INDEX('كشف الحساب'!$E$4:$E$354,MATCH(181,'كشف الحساب'!$P$4:$P$354,0)),"")</f>
        <v>3</v>
      </c>
      <c r="E186" s="124">
        <f>IFERROR(INDEX('كشف الحساب'!$D$4:$D$354,MATCH(181,'كشف الحساب'!$P$4:$P$354,0)),"")</f>
        <v>0</v>
      </c>
      <c r="F186" s="125">
        <f t="shared" si="5"/>
        <v>526.04500000000007</v>
      </c>
    </row>
    <row r="187" spans="1:6" ht="18" customHeight="1" x14ac:dyDescent="0.25">
      <c r="A187" s="142">
        <f>IFERROR(INDEX('كشف الحساب'!$A$4:$A$354,MATCH(182,'كشف الحساب'!$P$4:$P$354,0)),"")</f>
        <v>46282</v>
      </c>
      <c r="B187" s="122" t="str">
        <f>IFERROR(INDEX('كشف الحساب'!$B$4:$B$354,MATCH(182,'كشف الحساب'!$P$4:$P$354,0)),"")</f>
        <v>Inv-151</v>
      </c>
      <c r="C187" s="121" t="str">
        <f>IFERROR(INDEX('كشف الحساب'!$C$4:$C$354,MATCH(182,'كشف الحساب'!$P$4:$P$354,0)),"")</f>
        <v>متنوع عدد 10 الحبه 1</v>
      </c>
      <c r="D187" s="123">
        <f>IFERROR(INDEX('كشف الحساب'!$E$4:$E$354,MATCH(182,'كشف الحساب'!$P$4:$P$354,0)),"")</f>
        <v>10</v>
      </c>
      <c r="E187" s="124">
        <f>IFERROR(INDEX('كشف الحساب'!$D$4:$D$354,MATCH(182,'كشف الحساب'!$P$4:$P$354,0)),"")</f>
        <v>0</v>
      </c>
      <c r="F187" s="125">
        <f t="shared" si="5"/>
        <v>536.04500000000007</v>
      </c>
    </row>
    <row r="188" spans="1:6" ht="18" customHeight="1" x14ac:dyDescent="0.25">
      <c r="A188" s="142">
        <f>IFERROR(INDEX('كشف الحساب'!$A$4:$A$354,MATCH(183,'كشف الحساب'!$P$4:$P$354,0)),"")</f>
        <v>46282</v>
      </c>
      <c r="B188" s="122" t="str">
        <f>IFERROR(INDEX('كشف الحساب'!$B$4:$B$354,MATCH(183,'كشف الحساب'!$P$4:$P$354,0)),"")</f>
        <v>Inv-152</v>
      </c>
      <c r="C188" s="121" t="str">
        <f>IFERROR(INDEX('كشف الحساب'!$C$4:$C$354,MATCH(183,'كشف الحساب'!$P$4:$P$354,0)),"")</f>
        <v>ودليه عدد 1- الحبه 1</v>
      </c>
      <c r="D188" s="123">
        <f>IFERROR(INDEX('كشف الحساب'!$E$4:$E$354,MATCH(183,'كشف الحساب'!$P$4:$P$354,0)),"")</f>
        <v>10</v>
      </c>
      <c r="E188" s="124">
        <f>IFERROR(INDEX('كشف الحساب'!$D$4:$D$354,MATCH(183,'كشف الحساب'!$P$4:$P$354,0)),"")</f>
        <v>0</v>
      </c>
      <c r="F188" s="125">
        <f t="shared" si="5"/>
        <v>546.04500000000007</v>
      </c>
    </row>
    <row r="189" spans="1:6" ht="18" customHeight="1" x14ac:dyDescent="0.25">
      <c r="A189" s="142">
        <f>IFERROR(INDEX('كشف الحساب'!$A$4:$A$354,MATCH(184,'كشف الحساب'!$P$4:$P$354,0)),"")</f>
        <v>46282</v>
      </c>
      <c r="B189" s="122" t="str">
        <f>IFERROR(INDEX('كشف الحساب'!$B$4:$B$354,MATCH(184,'كشف الحساب'!$P$4:$P$354,0)),"")</f>
        <v>Inv-153</v>
      </c>
      <c r="C189" s="121" t="str">
        <f>IFERROR(INDEX('كشف الحساب'!$C$4:$C$354,MATCH(184,'كشف الحساب'!$P$4:$P$354,0)),"")</f>
        <v>دارسينا كبيره عدد 1</v>
      </c>
      <c r="D189" s="123">
        <f>IFERROR(INDEX('كشف الحساب'!$E$4:$E$354,MATCH(184,'كشف الحساب'!$P$4:$P$354,0)),"")</f>
        <v>10</v>
      </c>
      <c r="E189" s="124">
        <f>IFERROR(INDEX('كشف الحساب'!$D$4:$D$354,MATCH(184,'كشف الحساب'!$P$4:$P$354,0)),"")</f>
        <v>0</v>
      </c>
      <c r="F189" s="125">
        <f t="shared" si="5"/>
        <v>556.04500000000007</v>
      </c>
    </row>
    <row r="190" spans="1:6" ht="18" customHeight="1" x14ac:dyDescent="0.25">
      <c r="A190" s="142">
        <f>IFERROR(INDEX('كشف الحساب'!$A$4:$A$354,MATCH(185,'كشف الحساب'!$P$4:$P$354,0)),"")</f>
        <v>46282</v>
      </c>
      <c r="B190" s="122" t="str">
        <f>IFERROR(INDEX('كشف الحساب'!$B$4:$B$354,MATCH(185,'كشف الحساب'!$P$4:$P$354,0)),"")</f>
        <v>Inv-154</v>
      </c>
      <c r="C190" s="121" t="str">
        <f>IFERROR(INDEX('كشف الحساب'!$C$4:$C$354,MATCH(185,'كشف الحساب'!$P$4:$P$354,0)),"")</f>
        <v>متنوع عدد 6 الحبه 1,500</v>
      </c>
      <c r="D190" s="123">
        <f>IFERROR(INDEX('كشف الحساب'!$E$4:$E$354,MATCH(185,'كشف الحساب'!$P$4:$P$354,0)),"")</f>
        <v>9</v>
      </c>
      <c r="E190" s="124">
        <f>IFERROR(INDEX('كشف الحساب'!$D$4:$D$354,MATCH(185,'كشف الحساب'!$P$4:$P$354,0)),"")</f>
        <v>0</v>
      </c>
      <c r="F190" s="125">
        <f t="shared" si="5"/>
        <v>565.04500000000007</v>
      </c>
    </row>
    <row r="191" spans="1:6" ht="18" customHeight="1" x14ac:dyDescent="0.25">
      <c r="A191" s="142">
        <f>IFERROR(INDEX('كشف الحساب'!$A$4:$A$354,MATCH(186,'كشف الحساب'!$P$4:$P$354,0)),"")</f>
        <v>46282</v>
      </c>
      <c r="B191" s="122" t="str">
        <f>IFERROR(INDEX('كشف الحساب'!$B$4:$B$354,MATCH(186,'كشف الحساب'!$P$4:$P$354,0)),"")</f>
        <v>Inv-155</v>
      </c>
      <c r="C191" s="121" t="str">
        <f>IFERROR(INDEX('كشف الحساب'!$C$4:$C$354,MATCH(186,'كشف الحساب'!$P$4:$P$354,0)),"")</f>
        <v>متنوع عدد 6 الحبه 1,500</v>
      </c>
      <c r="D191" s="123">
        <f>IFERROR(INDEX('كشف الحساب'!$E$4:$E$354,MATCH(186,'كشف الحساب'!$P$4:$P$354,0)),"")</f>
        <v>6</v>
      </c>
      <c r="E191" s="124">
        <f>IFERROR(INDEX('كشف الحساب'!$D$4:$D$354,MATCH(186,'كشف الحساب'!$P$4:$P$354,0)),"")</f>
        <v>0</v>
      </c>
      <c r="F191" s="125">
        <f t="shared" si="5"/>
        <v>571.04500000000007</v>
      </c>
    </row>
    <row r="192" spans="1:6" ht="18" customHeight="1" x14ac:dyDescent="0.25">
      <c r="A192" s="142">
        <f>IFERROR(INDEX('كشف الحساب'!$A$4:$A$354,MATCH(187,'كشف الحساب'!$P$4:$P$354,0)),"")</f>
        <v>46282</v>
      </c>
      <c r="B192" s="122" t="str">
        <f>IFERROR(INDEX('كشف الحساب'!$B$4:$B$354,MATCH(187,'كشف الحساب'!$P$4:$P$354,0)),"")</f>
        <v>Inv-156</v>
      </c>
      <c r="C192" s="121" t="str">
        <f>IFERROR(INDEX('كشف الحساب'!$C$4:$C$354,MATCH(187,'كشف الحساب'!$P$4:$P$354,0)),"")</f>
        <v>صبار تايجر عدد 30 الحبه 1</v>
      </c>
      <c r="D192" s="123">
        <f>IFERROR(INDEX('كشف الحساب'!$E$4:$E$354,MATCH(187,'كشف الحساب'!$P$4:$P$354,0)),"")</f>
        <v>30</v>
      </c>
      <c r="E192" s="124">
        <f>IFERROR(INDEX('كشف الحساب'!$D$4:$D$354,MATCH(187,'كشف الحساب'!$P$4:$P$354,0)),"")</f>
        <v>0</v>
      </c>
      <c r="F192" s="125">
        <f t="shared" si="5"/>
        <v>601.04500000000007</v>
      </c>
    </row>
    <row r="193" spans="1:6" ht="18" customHeight="1" x14ac:dyDescent="0.25">
      <c r="A193" s="142">
        <f>IFERROR(INDEX('كشف الحساب'!$A$4:$A$354,MATCH(188,'كشف الحساب'!$P$4:$P$354,0)),"")</f>
        <v>46282</v>
      </c>
      <c r="B193" s="122" t="str">
        <f>IFERROR(INDEX('كشف الحساب'!$B$4:$B$354,MATCH(188,'كشف الحساب'!$P$4:$P$354,0)),"")</f>
        <v>Inv-157</v>
      </c>
      <c r="C193" s="121" t="str">
        <f>IFERROR(INDEX('كشف الحساب'!$C$4:$C$354,MATCH(188,'كشف الحساب'!$P$4:$P$354,0)),"")</f>
        <v>صبار تايجر صغير عدد 10 الحبه .750</v>
      </c>
      <c r="D193" s="123">
        <f>IFERROR(INDEX('كشف الحساب'!$E$4:$E$354,MATCH(188,'كشف الحساب'!$P$4:$P$354,0)),"")</f>
        <v>7.5</v>
      </c>
      <c r="E193" s="124">
        <f>IFERROR(INDEX('كشف الحساب'!$D$4:$D$354,MATCH(188,'كشف الحساب'!$P$4:$P$354,0)),"")</f>
        <v>0</v>
      </c>
      <c r="F193" s="125">
        <f t="shared" si="5"/>
        <v>608.54500000000007</v>
      </c>
    </row>
    <row r="194" spans="1:6" ht="18" customHeight="1" x14ac:dyDescent="0.25">
      <c r="A194" s="142">
        <f>IFERROR(INDEX('كشف الحساب'!$A$4:$A$354,MATCH(189,'كشف الحساب'!$P$4:$P$354,0)),"")</f>
        <v>46282</v>
      </c>
      <c r="B194" s="122" t="str">
        <f>IFERROR(INDEX('كشف الحساب'!$B$4:$B$354,MATCH(189,'كشف الحساب'!$P$4:$P$354,0)),"")</f>
        <v>Inv-158</v>
      </c>
      <c r="C194" s="121" t="str">
        <f>IFERROR(INDEX('كشف الحساب'!$C$4:$C$354,MATCH(189,'كشف الحساب'!$P$4:$P$354,0)),"")</f>
        <v>نعناع عدد 5 الحبه .500</v>
      </c>
      <c r="D194" s="123">
        <f>IFERROR(INDEX('كشف الحساب'!$E$4:$E$354,MATCH(189,'كشف الحساب'!$P$4:$P$354,0)),"")</f>
        <v>2.5</v>
      </c>
      <c r="E194" s="124">
        <f>IFERROR(INDEX('كشف الحساب'!$D$4:$D$354,MATCH(189,'كشف الحساب'!$P$4:$P$354,0)),"")</f>
        <v>0</v>
      </c>
      <c r="F194" s="125">
        <f t="shared" si="5"/>
        <v>611.04500000000007</v>
      </c>
    </row>
    <row r="195" spans="1:6" ht="18" customHeight="1" x14ac:dyDescent="0.25">
      <c r="A195" s="142">
        <f>IFERROR(INDEX('كشف الحساب'!$A$4:$A$354,MATCH(190,'كشف الحساب'!$P$4:$P$354,0)),"")</f>
        <v>46282</v>
      </c>
      <c r="B195" s="122" t="str">
        <f>IFERROR(INDEX('كشف الحساب'!$B$4:$B$354,MATCH(190,'كشف الحساب'!$P$4:$P$354,0)),"")</f>
        <v>Inv-159</v>
      </c>
      <c r="C195" s="121" t="str">
        <f>IFERROR(INDEX('كشف الحساب'!$C$4:$C$354,MATCH(190,'كشف الحساب'!$P$4:$P$354,0)),"")</f>
        <v>زعتر عدد 10 الحبه ,750</v>
      </c>
      <c r="D195" s="123">
        <f>IFERROR(INDEX('كشف الحساب'!$E$4:$E$354,MATCH(190,'كشف الحساب'!$P$4:$P$354,0)),"")</f>
        <v>7.5</v>
      </c>
      <c r="E195" s="124">
        <f>IFERROR(INDEX('كشف الحساب'!$D$4:$D$354,MATCH(190,'كشف الحساب'!$P$4:$P$354,0)),"")</f>
        <v>0</v>
      </c>
      <c r="F195" s="125">
        <f t="shared" si="5"/>
        <v>618.54500000000007</v>
      </c>
    </row>
    <row r="196" spans="1:6" ht="18" customHeight="1" x14ac:dyDescent="0.25">
      <c r="A196" s="142">
        <f>IFERROR(INDEX('كشف الحساب'!$A$4:$A$354,MATCH(191,'كشف الحساب'!$P$4:$P$354,0)),"")</f>
        <v>46284</v>
      </c>
      <c r="B196" s="122">
        <f>IFERROR(INDEX('كشف الحساب'!$B$4:$B$354,MATCH(191,'كشف الحساب'!$P$4:$P$354,0)),"")</f>
        <v>0</v>
      </c>
      <c r="C196" s="121" t="str">
        <f>IFERROR(INDEX('كشف الحساب'!$C$4:$C$354,MATCH(191,'كشف الحساب'!$P$4:$P$354,0)),"")</f>
        <v>طربال اسود</v>
      </c>
      <c r="D196" s="123">
        <f>IFERROR(INDEX('كشف الحساب'!$E$4:$E$354,MATCH(191,'كشف الحساب'!$P$4:$P$354,0)),"")</f>
        <v>0</v>
      </c>
      <c r="E196" s="124">
        <f>IFERROR(INDEX('كشف الحساب'!$D$4:$D$354,MATCH(191,'كشف الحساب'!$P$4:$P$354,0)),"")</f>
        <v>25</v>
      </c>
      <c r="F196" s="125">
        <f t="shared" si="5"/>
        <v>593.54500000000007</v>
      </c>
    </row>
    <row r="197" spans="1:6" ht="18" customHeight="1" x14ac:dyDescent="0.25">
      <c r="A197" s="142">
        <f>IFERROR(INDEX('كشف الحساب'!$A$4:$A$354,MATCH(192,'كشف الحساب'!$P$4:$P$354,0)),"")</f>
        <v>46284</v>
      </c>
      <c r="B197" s="122" t="str">
        <f>IFERROR(INDEX('كشف الحساب'!$B$4:$B$354,MATCH(192,'كشف الحساب'!$P$4:$P$354,0)),"")</f>
        <v>Inv-160</v>
      </c>
      <c r="C197" s="121" t="str">
        <f>IFERROR(INDEX('كشف الحساب'!$C$4:$C$354,MATCH(192,'كشف الحساب'!$P$4:$P$354,0)),"")</f>
        <v>التهاني</v>
      </c>
      <c r="D197" s="123">
        <f>IFERROR(INDEX('كشف الحساب'!$E$4:$E$354,MATCH(192,'كشف الحساب'!$P$4:$P$354,0)),"")</f>
        <v>243</v>
      </c>
      <c r="E197" s="124">
        <f>IFERROR(INDEX('كشف الحساب'!$D$4:$D$354,MATCH(192,'كشف الحساب'!$P$4:$P$354,0)),"")</f>
        <v>0</v>
      </c>
      <c r="F197" s="125">
        <f t="shared" si="5"/>
        <v>836.54500000000007</v>
      </c>
    </row>
    <row r="198" spans="1:6" ht="18" customHeight="1" x14ac:dyDescent="0.25">
      <c r="A198" s="142">
        <f>IFERROR(INDEX('كشف الحساب'!$A$4:$A$354,MATCH(193,'كشف الحساب'!$P$4:$P$354,0)),"")</f>
        <v>46284</v>
      </c>
      <c r="B198" s="122">
        <f>IFERROR(INDEX('كشف الحساب'!$B$4:$B$354,MATCH(193,'كشف الحساب'!$P$4:$P$354,0)),"")</f>
        <v>0</v>
      </c>
      <c r="C198" s="121" t="str">
        <f>IFERROR(INDEX('كشف الحساب'!$C$4:$C$354,MATCH(193,'كشف الحساب'!$P$4:$P$354,0)),"")</f>
        <v>صبار اوليفيرا عدد 25 الحبه 0.750</v>
      </c>
      <c r="D198" s="123">
        <f>IFERROR(INDEX('كشف الحساب'!$E$4:$E$354,MATCH(193,'كشف الحساب'!$P$4:$P$354,0)),"")</f>
        <v>0</v>
      </c>
      <c r="E198" s="124">
        <f>IFERROR(INDEX('كشف الحساب'!$D$4:$D$354,MATCH(193,'كشف الحساب'!$P$4:$P$354,0)),"")</f>
        <v>18.75</v>
      </c>
      <c r="F198" s="125">
        <f t="shared" si="5"/>
        <v>817.79500000000007</v>
      </c>
    </row>
    <row r="199" spans="1:6" ht="18" customHeight="1" x14ac:dyDescent="0.25">
      <c r="A199" s="142">
        <f>IFERROR(INDEX('كشف الحساب'!$A$4:$A$354,MATCH(194,'كشف الحساب'!$P$4:$P$354,0)),"")</f>
        <v>46286</v>
      </c>
      <c r="B199" s="122">
        <f>IFERROR(INDEX('كشف الحساب'!$B$4:$B$354,MATCH(194,'كشف الحساب'!$P$4:$P$354,0)),"")</f>
        <v>0</v>
      </c>
      <c r="C199" s="121" t="str">
        <f>IFERROR(INDEX('كشف الحساب'!$C$4:$C$354,MATCH(194,'كشف الحساب'!$P$4:$P$354,0)),"")</f>
        <v>احواض عدد 1000 مقاس 14 سم</v>
      </c>
      <c r="D199" s="123">
        <f>IFERROR(INDEX('كشف الحساب'!$E$4:$E$354,MATCH(194,'كشف الحساب'!$P$4:$P$354,0)),"")</f>
        <v>0</v>
      </c>
      <c r="E199" s="124">
        <f>IFERROR(INDEX('كشف الحساب'!$D$4:$D$354,MATCH(194,'كشف الحساب'!$P$4:$P$354,0)),"")</f>
        <v>20</v>
      </c>
      <c r="F199" s="125">
        <f t="shared" ref="F199:F205" si="6">IF($A199="","",IF($F198="",0,$F198)+IF($D199="",0,$D199)-IF($E199="",0,$E199))</f>
        <v>797.79500000000007</v>
      </c>
    </row>
    <row r="200" spans="1:6" ht="18" customHeight="1" x14ac:dyDescent="0.25">
      <c r="A200" s="142">
        <f>IFERROR(INDEX('كشف الحساب'!$A$4:$A$354,MATCH(195,'كشف الحساب'!$P$4:$P$354,0)),"")</f>
        <v>46286</v>
      </c>
      <c r="B200" s="122" t="str">
        <f>IFERROR(INDEX('كشف الحساب'!$B$4:$B$354,MATCH(195,'كشف الحساب'!$P$4:$P$354,0)),"")</f>
        <v>Inv-161</v>
      </c>
      <c r="C200" s="121" t="str">
        <f>IFERROR(INDEX('كشف الحساب'!$C$4:$C$354,MATCH(195,'كشف الحساب'!$P$4:$P$354,0)),"")</f>
        <v>متنوع</v>
      </c>
      <c r="D200" s="123">
        <f>IFERROR(INDEX('كشف الحساب'!$E$4:$E$354,MATCH(195,'كشف الحساب'!$P$4:$P$354,0)),"")</f>
        <v>1.5</v>
      </c>
      <c r="E200" s="124">
        <f>IFERROR(INDEX('كشف الحساب'!$D$4:$D$354,MATCH(195,'كشف الحساب'!$P$4:$P$354,0)),"")</f>
        <v>0</v>
      </c>
      <c r="F200" s="125">
        <f t="shared" si="6"/>
        <v>799.29500000000007</v>
      </c>
    </row>
    <row r="201" spans="1:6" ht="18" customHeight="1" x14ac:dyDescent="0.25">
      <c r="A201" s="142">
        <f>IFERROR(INDEX('كشف الحساب'!$A$4:$A$354,MATCH(196,'كشف الحساب'!$P$4:$P$354,0)),"")</f>
        <v>46286</v>
      </c>
      <c r="B201" s="122" t="str">
        <f>IFERROR(INDEX('كشف الحساب'!$B$4:$B$354,MATCH(196,'كشف الحساب'!$P$4:$P$354,0)),"")</f>
        <v>Inv-162</v>
      </c>
      <c r="C201" s="121" t="str">
        <f>IFERROR(INDEX('كشف الحساب'!$C$4:$C$354,MATCH(196,'كشف الحساب'!$P$4:$P$354,0)),"")</f>
        <v>متنوع</v>
      </c>
      <c r="D201" s="123">
        <f>IFERROR(INDEX('كشف الحساب'!$E$4:$E$354,MATCH(196,'كشف الحساب'!$P$4:$P$354,0)),"")</f>
        <v>1</v>
      </c>
      <c r="E201" s="124">
        <f>IFERROR(INDEX('كشف الحساب'!$D$4:$D$354,MATCH(196,'كشف الحساب'!$P$4:$P$354,0)),"")</f>
        <v>0</v>
      </c>
      <c r="F201" s="125">
        <f t="shared" si="6"/>
        <v>800.29500000000007</v>
      </c>
    </row>
    <row r="202" spans="1:6" ht="18" customHeight="1" x14ac:dyDescent="0.25">
      <c r="A202" s="142">
        <f>IFERROR(INDEX('كشف الحساب'!$A$4:$A$354,MATCH(197,'كشف الحساب'!$P$4:$P$354,0)),"")</f>
        <v>46286</v>
      </c>
      <c r="B202" s="122" t="str">
        <f>IFERROR(INDEX('كشف الحساب'!$B$4:$B$354,MATCH(197,'كشف الحساب'!$P$4:$P$354,0)),"")</f>
        <v>Inv-163</v>
      </c>
      <c r="C202" s="121" t="str">
        <f>IFERROR(INDEX('كشف الحساب'!$C$4:$C$354,MATCH(197,'كشف الحساب'!$P$4:$P$354,0)),"")</f>
        <v>دارسينا اخضر عدد1 القيمه 2.500</v>
      </c>
      <c r="D202" s="123">
        <f>IFERROR(INDEX('كشف الحساب'!$E$4:$E$354,MATCH(197,'كشف الحساب'!$P$4:$P$354,0)),"")</f>
        <v>2.5</v>
      </c>
      <c r="E202" s="124">
        <f>IFERROR(INDEX('كشف الحساب'!$D$4:$D$354,MATCH(197,'كشف الحساب'!$P$4:$P$354,0)),"")</f>
        <v>0</v>
      </c>
      <c r="F202" s="125">
        <f t="shared" si="6"/>
        <v>802.79500000000007</v>
      </c>
    </row>
    <row r="203" spans="1:6" ht="18" customHeight="1" x14ac:dyDescent="0.25">
      <c r="A203" s="142">
        <f>IFERROR(INDEX('كشف الحساب'!$A$4:$A$354,MATCH(198,'كشف الحساب'!$P$4:$P$354,0)),"")</f>
        <v>46286</v>
      </c>
      <c r="B203" s="122" t="str">
        <f>IFERROR(INDEX('كشف الحساب'!$B$4:$B$354,MATCH(198,'كشف الحساب'!$P$4:$P$354,0)),"")</f>
        <v>Inv-164</v>
      </c>
      <c r="C203" s="121" t="str">
        <f>IFERROR(INDEX('كشف الحساب'!$C$4:$C$354,MATCH(198,'كشف الحساب'!$P$4:$P$354,0)),"")</f>
        <v>دارسينا اسودعدد 29 الحبه 2.500</v>
      </c>
      <c r="D203" s="123">
        <f>IFERROR(INDEX('كشف الحساب'!$E$4:$E$354,MATCH(198,'كشف الحساب'!$P$4:$P$354,0)),"")</f>
        <v>72.5</v>
      </c>
      <c r="E203" s="124">
        <f>IFERROR(INDEX('كشف الحساب'!$D$4:$D$354,MATCH(198,'كشف الحساب'!$P$4:$P$354,0)),"")</f>
        <v>0</v>
      </c>
      <c r="F203" s="125">
        <f t="shared" si="6"/>
        <v>875.29500000000007</v>
      </c>
    </row>
    <row r="204" spans="1:6" ht="18" customHeight="1" x14ac:dyDescent="0.25">
      <c r="A204" s="142">
        <f>IFERROR(INDEX('كشف الحساب'!$A$4:$A$354,MATCH(199,'كشف الحساب'!$P$4:$P$354,0)),"")</f>
        <v>46286</v>
      </c>
      <c r="B204" s="122" t="str">
        <f>IFERROR(INDEX('كشف الحساب'!$B$4:$B$354,MATCH(199,'كشف الحساب'!$P$4:$P$354,0)),"")</f>
        <v>Inv-165</v>
      </c>
      <c r="C204" s="121" t="str">
        <f>IFERROR(INDEX('كشف الحساب'!$C$4:$C$354,MATCH(199,'كشف الحساب'!$P$4:$P$354,0)),"")</f>
        <v>متنوع</v>
      </c>
      <c r="D204" s="123">
        <f>IFERROR(INDEX('كشف الحساب'!$E$4:$E$354,MATCH(199,'كشف الحساب'!$P$4:$P$354,0)),"")</f>
        <v>1.5</v>
      </c>
      <c r="E204" s="124">
        <f>IFERROR(INDEX('كشف الحساب'!$D$4:$D$354,MATCH(199,'كشف الحساب'!$P$4:$P$354,0)),"")</f>
        <v>0</v>
      </c>
      <c r="F204" s="125">
        <f t="shared" si="6"/>
        <v>876.79500000000007</v>
      </c>
    </row>
    <row r="205" spans="1:6" ht="18" customHeight="1" x14ac:dyDescent="0.25">
      <c r="A205" s="142">
        <f>IFERROR(INDEX('كشف الحساب'!$A$4:$A$354,MATCH(200,'كشف الحساب'!$P$4:$P$354,0)),"")</f>
        <v>46287</v>
      </c>
      <c r="B205" s="122" t="str">
        <f>IFERROR(INDEX('كشف الحساب'!$B$4:$B$354,MATCH(200,'كشف الحساب'!$P$4:$P$354,0)),"")</f>
        <v>Inv-166</v>
      </c>
      <c r="C205" s="121" t="str">
        <f>IFERROR(INDEX('كشف الحساب'!$C$4:$C$354,MATCH(200,'كشف الحساب'!$P$4:$P$354,0)),"")</f>
        <v>صبار عدد 60 الحبه .750</v>
      </c>
      <c r="D205" s="123">
        <f>IFERROR(INDEX('كشف الحساب'!$E$4:$E$354,MATCH(200,'كشف الحساب'!$P$4:$P$354,0)),"")</f>
        <v>45</v>
      </c>
      <c r="E205" s="124">
        <f>IFERROR(INDEX('كشف الحساب'!$D$4:$D$354,MATCH(200,'كشف الحساب'!$P$4:$P$354,0)),"")</f>
        <v>0</v>
      </c>
      <c r="F205" s="125">
        <f t="shared" si="6"/>
        <v>921.79500000000007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2006.395</v>
      </c>
      <c r="F206" s="130">
        <f>IFERROR(LOOKUP(2,1/($F$6:$F$205&lt;&gt;""),$F$6:$F$205),0)</f>
        <v>921.79500000000007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الحساب'!$A$4:$A$354,MATCH(1,'كشف الحساب'!$Q$4:$Q$354,0)),"")</f>
        <v>46131</v>
      </c>
      <c r="B210" s="133">
        <f>IFERROR(INDEX('كشف الحساب'!$B$4:$B$354,MATCH(1,'كشف الحساب'!$Q$4:$Q$354,0)),"")</f>
        <v>0</v>
      </c>
      <c r="C210" s="132" t="str">
        <f>IFERROR(INDEX('كشف الحساب'!$C$4:$C$354,MATCH(1,'كشف الحساب'!$Q$4:$Q$354,0)),"")</f>
        <v>تبديل كمبرسيور ثلاجة العمال</v>
      </c>
      <c r="D210" s="134">
        <f>IFERROR(INDEX('كشف الحساب'!$D$4:$D$354,MATCH(1,'كشف الحساب'!$Q$4:$Q$354,0)),"")</f>
        <v>45</v>
      </c>
      <c r="E210" s="135" t="str">
        <f>IFERROR(INDEX('كشف الحساب'!$G$4:$G$354,MATCH(1,'كشف الحساب'!$Q$4:$Q$354,0)),"")</f>
        <v>أبو اسحاق</v>
      </c>
      <c r="F210" s="132"/>
    </row>
    <row r="211" spans="1:6" ht="18" customHeight="1" x14ac:dyDescent="0.25">
      <c r="A211" s="143">
        <f>IFERROR(INDEX('كشف الحساب'!$A$4:$A$354,MATCH(2,'كشف الحساب'!$Q$4:$Q$354,0)),"")</f>
        <v>46134</v>
      </c>
      <c r="B211" s="133" t="str">
        <f>IFERROR(INDEX('كشف الحساب'!$B$4:$B$354,MATCH(2,'كشف الحساب'!$Q$4:$Q$354,0)),"")</f>
        <v>11300</v>
      </c>
      <c r="C211" s="132" t="str">
        <f>IFERROR(INDEX('كشف الحساب'!$C$4:$C$354,MATCH(2,'كشف الحساب'!$Q$4:$Q$354,0)),"")</f>
        <v>فلاتر كيميكال لمحطة التحلية</v>
      </c>
      <c r="D211" s="134">
        <f>IFERROR(INDEX('كشف الحساب'!$D$4:$D$354,MATCH(2,'كشف الحساب'!$Q$4:$Q$354,0)),"")</f>
        <v>55</v>
      </c>
      <c r="E211" s="135" t="str">
        <f>IFERROR(INDEX('كشف الحساب'!$G$4:$G$354,MATCH(2,'كشف الحساب'!$Q$4:$Q$354,0)),"")</f>
        <v>أبو اسحاق</v>
      </c>
      <c r="F211" s="132"/>
    </row>
    <row r="212" spans="1:6" ht="18" customHeight="1" x14ac:dyDescent="0.25">
      <c r="A212" s="143">
        <f>IFERROR(INDEX('كشف الحساب'!$A$4:$A$354,MATCH(3,'كشف الحساب'!$Q$4:$Q$354,0)),"")</f>
        <v>46134</v>
      </c>
      <c r="B212" s="133">
        <f>IFERROR(INDEX('كشف الحساب'!$B$4:$B$354,MATCH(3,'كشف الحساب'!$Q$4:$Q$354,0)),"")</f>
        <v>0</v>
      </c>
      <c r="C212" s="132" t="str">
        <f>IFERROR(INDEX('كشف الحساب'!$C$4:$C$354,MATCH(3,'كشف الحساب'!$Q$4:$Q$354,0)),"")</f>
        <v>ديزل لمكينة الكهرباء</v>
      </c>
      <c r="D212" s="134">
        <f>IFERROR(INDEX('كشف الحساب'!$D$4:$D$354,MATCH(3,'كشف الحساب'!$Q$4:$Q$354,0)),"")</f>
        <v>20</v>
      </c>
      <c r="E212" s="135" t="str">
        <f>IFERROR(INDEX('كشف الحساب'!$G$4:$G$354,MATCH(3,'كشف الحساب'!$Q$4:$Q$354,0)),"")</f>
        <v>أبو اسحاق</v>
      </c>
      <c r="F212" s="132"/>
    </row>
    <row r="213" spans="1:6" ht="18" customHeight="1" x14ac:dyDescent="0.25">
      <c r="A213" s="143">
        <f>IFERROR(INDEX('كشف الحساب'!$A$4:$A$354,MATCH(4,'كشف الحساب'!$Q$4:$Q$354,0)),"")</f>
        <v>46134</v>
      </c>
      <c r="B213" s="133" t="str">
        <f>IFERROR(INDEX('كشف الحساب'!$B$4:$B$354,MATCH(4,'كشف الحساب'!$Q$4:$Q$354,0)),"")</f>
        <v>242</v>
      </c>
      <c r="C213" s="132" t="str">
        <f>IFERROR(INDEX('كشف الحساب'!$C$4:$C$354,MATCH(4,'كشف الحساب'!$Q$4:$Q$354,0)),"")</f>
        <v>احواض حجم25سم عدد 2000</v>
      </c>
      <c r="D213" s="134">
        <f>IFERROR(INDEX('كشف الحساب'!$D$4:$D$354,MATCH(4,'كشف الحساب'!$Q$4:$Q$354,0)),"")</f>
        <v>160</v>
      </c>
      <c r="E213" s="135" t="str">
        <f>IFERROR(INDEX('كشف الحساب'!$G$4:$G$354,MATCH(4,'كشف الحساب'!$Q$4:$Q$354,0)),"")</f>
        <v>أبو آدم</v>
      </c>
      <c r="F213" s="132"/>
    </row>
    <row r="214" spans="1:6" ht="18" customHeight="1" x14ac:dyDescent="0.25">
      <c r="A214" s="143">
        <f>IFERROR(INDEX('كشف الحساب'!$A$4:$A$354,MATCH(5,'كشف الحساب'!$Q$4:$Q$354,0)),"")</f>
        <v>46151</v>
      </c>
      <c r="B214" s="133">
        <f>IFERROR(INDEX('كشف الحساب'!$B$4:$B$354,MATCH(5,'كشف الحساب'!$Q$4:$Q$354,0)),"")</f>
        <v>18213</v>
      </c>
      <c r="C214" s="132" t="str">
        <f>IFERROR(INDEX('كشف الحساب'!$C$4:$C$354,MATCH(5,'كشف الحساب'!$Q$4:$Q$354,0)),"")</f>
        <v>شراء دريل</v>
      </c>
      <c r="D214" s="134">
        <f>IFERROR(INDEX('كشف الحساب'!$D$4:$D$354,MATCH(5,'كشف الحساب'!$Q$4:$Q$354,0)),"")</f>
        <v>9</v>
      </c>
      <c r="E214" s="135" t="str">
        <f>IFERROR(INDEX('كشف الحساب'!$G$4:$G$354,MATCH(5,'كشف الحساب'!$Q$4:$Q$354,0)),"")</f>
        <v>أبو اسحاق</v>
      </c>
      <c r="F214" s="132"/>
    </row>
    <row r="215" spans="1:6" ht="18" customHeight="1" x14ac:dyDescent="0.25">
      <c r="A215" s="143">
        <f>IFERROR(INDEX('كشف الحساب'!$A$4:$A$354,MATCH(6,'كشف الحساب'!$Q$4:$Q$354,0)),"")</f>
        <v>46167</v>
      </c>
      <c r="B215" s="133">
        <f>IFERROR(INDEX('كشف الحساب'!$B$4:$B$354,MATCH(6,'كشف الحساب'!$Q$4:$Q$354,0)),"")</f>
        <v>0</v>
      </c>
      <c r="C215" s="132" t="str">
        <f>IFERROR(INDEX('كشف الحساب'!$C$4:$C$354,MATCH(6,'كشف الحساب'!$Q$4:$Q$354,0)),"")</f>
        <v>يزل ماكينه كهرباء</v>
      </c>
      <c r="D215" s="134">
        <f>IFERROR(INDEX('كشف الحساب'!$D$4:$D$354,MATCH(6,'كشف الحساب'!$Q$4:$Q$354,0)),"")</f>
        <v>26</v>
      </c>
      <c r="E215" s="135" t="str">
        <f>IFERROR(INDEX('كشف الحساب'!$G$4:$G$354,MATCH(6,'كشف الحساب'!$Q$4:$Q$354,0)),"")</f>
        <v>أبو اسحاق</v>
      </c>
      <c r="F215" s="132"/>
    </row>
    <row r="216" spans="1:6" ht="18" customHeight="1" x14ac:dyDescent="0.25">
      <c r="A216" s="143">
        <f>IFERROR(INDEX('كشف الحساب'!$A$4:$A$354,MATCH(7,'كشف الحساب'!$Q$4:$Q$354,0)),"")</f>
        <v>46167</v>
      </c>
      <c r="B216" s="133">
        <f>IFERROR(INDEX('كشف الحساب'!$B$4:$B$354,MATCH(7,'كشف الحساب'!$Q$4:$Q$354,0)),"")</f>
        <v>0</v>
      </c>
      <c r="C216" s="132" t="str">
        <f>IFERROR(INDEX('كشف الحساب'!$C$4:$C$354,MATCH(7,'كشف الحساب'!$Q$4:$Q$354,0)),"")</f>
        <v>راتب عماله مايو 2025</v>
      </c>
      <c r="D216" s="134">
        <f>IFERROR(INDEX('كشف الحساب'!$D$4:$D$354,MATCH(7,'كشف الحساب'!$Q$4:$Q$354,0)),"")</f>
        <v>250</v>
      </c>
      <c r="E216" s="135" t="str">
        <f>IFERROR(INDEX('كشف الحساب'!$G$4:$G$354,MATCH(7,'كشف الحساب'!$Q$4:$Q$354,0)),"")</f>
        <v>أبو آدم</v>
      </c>
      <c r="F216" s="132"/>
    </row>
    <row r="217" spans="1:6" ht="18" customHeight="1" x14ac:dyDescent="0.25">
      <c r="A217" s="143">
        <f>IFERROR(INDEX('كشف الحساب'!$A$4:$A$354,MATCH(8,'كشف الحساب'!$Q$4:$Q$354,0)),"")</f>
        <v>46167</v>
      </c>
      <c r="B217" s="133">
        <f>IFERROR(INDEX('كشف الحساب'!$B$4:$B$354,MATCH(8,'كشف الحساب'!$Q$4:$Q$354,0)),"")</f>
        <v>0</v>
      </c>
      <c r="C217" s="132" t="str">
        <f>IFERROR(INDEX('كشف الحساب'!$C$4:$C$354,MATCH(8,'كشف الحساب'!$Q$4:$Q$354,0)),"")</f>
        <v>راتب عماله مايو 2025</v>
      </c>
      <c r="D217" s="134">
        <f>IFERROR(INDEX('كشف الحساب'!$D$4:$D$354,MATCH(8,'كشف الحساب'!$Q$4:$Q$354,0)),"")</f>
        <v>250</v>
      </c>
      <c r="E217" s="135" t="str">
        <f>IFERROR(INDEX('كشف الحساب'!$G$4:$G$354,MATCH(8,'كشف الحساب'!$Q$4:$Q$354,0)),"")</f>
        <v>أبو اسحاق</v>
      </c>
      <c r="F217" s="132"/>
    </row>
    <row r="218" spans="1:6" ht="18" customHeight="1" x14ac:dyDescent="0.25">
      <c r="A218" s="143">
        <f>IFERROR(INDEX('كشف الحساب'!$A$4:$A$354,MATCH(9,'كشف الحساب'!$Q$4:$Q$354,0)),"")</f>
        <v>46187</v>
      </c>
      <c r="B218" s="133">
        <f>IFERROR(INDEX('كشف الحساب'!$B$4:$B$354,MATCH(9,'كشف الحساب'!$Q$4:$Q$354,0)),"")</f>
        <v>0</v>
      </c>
      <c r="C218" s="132" t="str">
        <f>IFERROR(INDEX('كشف الحساب'!$C$4:$C$354,MATCH(9,'كشف الحساب'!$Q$4:$Q$354,0)),"")</f>
        <v>عصايا عدد 2000 احواض معاقات عدد 250</v>
      </c>
      <c r="D218" s="134">
        <f>IFERROR(INDEX('كشف الحساب'!$D$4:$D$354,MATCH(9,'كشف الحساب'!$Q$4:$Q$354,0)),"")</f>
        <v>107.5</v>
      </c>
      <c r="E218" s="135" t="str">
        <f>IFERROR(INDEX('كشف الحساب'!$G$4:$G$354,MATCH(9,'كشف الحساب'!$Q$4:$Q$354,0)),"")</f>
        <v>أبو اسحاق</v>
      </c>
      <c r="F218" s="132"/>
    </row>
    <row r="219" spans="1:6" ht="18" customHeight="1" x14ac:dyDescent="0.25">
      <c r="A219" s="143">
        <f>IFERROR(INDEX('كشف الحساب'!$A$4:$A$354,MATCH(10,'كشف الحساب'!$Q$4:$Q$354,0)),"")</f>
        <v>46203</v>
      </c>
      <c r="B219" s="133">
        <f>IFERROR(INDEX('كشف الحساب'!$B$4:$B$354,MATCH(10,'كشف الحساب'!$Q$4:$Q$354,0)),"")</f>
        <v>0</v>
      </c>
      <c r="C219" s="132" t="str">
        <f>IFERROR(INDEX('كشف الحساب'!$C$4:$C$354,MATCH(10,'كشف الحساب'!$Q$4:$Q$354,0)),"")</f>
        <v>تكمله رواتب يونيو 2026 ابوادم</v>
      </c>
      <c r="D219" s="134">
        <f>IFERROR(INDEX('كشف الحساب'!$D$4:$D$354,MATCH(10,'كشف الحساب'!$Q$4:$Q$354,0)),"")</f>
        <v>50</v>
      </c>
      <c r="E219" s="135" t="str">
        <f>IFERROR(INDEX('كشف الحساب'!$G$4:$G$354,MATCH(10,'كشف الحساب'!$Q$4:$Q$354,0)),"")</f>
        <v>أبو آدم</v>
      </c>
      <c r="F219" s="132"/>
    </row>
    <row r="220" spans="1:6" ht="18" customHeight="1" x14ac:dyDescent="0.25">
      <c r="A220" s="143">
        <f>IFERROR(INDEX('كشف الحساب'!$A$4:$A$354,MATCH(11,'كشف الحساب'!$Q$4:$Q$354,0)),"")</f>
        <v>46203</v>
      </c>
      <c r="B220" s="133">
        <f>IFERROR(INDEX('كشف الحساب'!$B$4:$B$354,MATCH(11,'كشف الحساب'!$Q$4:$Q$354,0)),"")</f>
        <v>0</v>
      </c>
      <c r="C220" s="132" t="str">
        <f>IFERROR(INDEX('كشف الحساب'!$C$4:$C$354,MATCH(11,'كشف الحساب'!$Q$4:$Q$354,0)),"")</f>
        <v>تكمله رواتب يونيو 2026 ابواسحاق</v>
      </c>
      <c r="D220" s="134">
        <f>IFERROR(INDEX('كشف الحساب'!$D$4:$D$354,MATCH(11,'كشف الحساب'!$Q$4:$Q$354,0)),"")</f>
        <v>50</v>
      </c>
      <c r="E220" s="135" t="str">
        <f>IFERROR(INDEX('كشف الحساب'!$G$4:$G$354,MATCH(11,'كشف الحساب'!$Q$4:$Q$354,0)),"")</f>
        <v>أبو اسحاق</v>
      </c>
      <c r="F220" s="132"/>
    </row>
    <row r="221" spans="1:6" ht="18" customHeight="1" x14ac:dyDescent="0.25">
      <c r="A221" s="143">
        <f>IFERROR(INDEX('كشف الحساب'!$A$4:$A$354,MATCH(12,'كشف الحساب'!$Q$4:$Q$354,0)),"")</f>
        <v>46232</v>
      </c>
      <c r="B221" s="133">
        <f>IFERROR(INDEX('كشف الحساب'!$B$4:$B$354,MATCH(12,'كشف الحساب'!$Q$4:$Q$354,0)),"")</f>
        <v>0</v>
      </c>
      <c r="C221" s="132" t="str">
        <f>IFERROR(INDEX('كشف الحساب'!$C$4:$C$354,MATCH(12,'كشف الحساب'!$Q$4:$Q$354,0)),"")</f>
        <v>عدد 3 عماله + 10 ايام العامل البديل 40 دينار +50 كهرباء (تم دفه 99 من المحفظه)</v>
      </c>
      <c r="D221" s="134">
        <f>IFERROR(INDEX('كشف الحساب'!$D$4:$D$354,MATCH(12,'كشف الحساب'!$Q$4:$Q$354,0)),"")</f>
        <v>205.5</v>
      </c>
      <c r="E221" s="135" t="str">
        <f>IFERROR(INDEX('كشف الحساب'!$G$4:$G$354,MATCH(12,'كشف الحساب'!$Q$4:$Q$354,0)),"")</f>
        <v>أبو آدم</v>
      </c>
      <c r="F221" s="132"/>
    </row>
    <row r="222" spans="1:6" ht="18" customHeight="1" x14ac:dyDescent="0.25">
      <c r="A222" s="143">
        <f>IFERROR(INDEX('كشف الحساب'!$A$4:$A$354,MATCH(13,'كشف الحساب'!$Q$4:$Q$354,0)),"")</f>
        <v>46232</v>
      </c>
      <c r="B222" s="133">
        <f>IFERROR(INDEX('كشف الحساب'!$B$4:$B$354,MATCH(13,'كشف الحساب'!$Q$4:$Q$354,0)),"")</f>
        <v>0</v>
      </c>
      <c r="C222" s="132" t="str">
        <f>IFERROR(INDEX('كشف الحساب'!$C$4:$C$354,MATCH(13,'كشف الحساب'!$Q$4:$Q$354,0)),"")</f>
        <v>عدد 3 عماله + 10 ايام العامل البديل 40 دينار +50 كهرباء (تم دفه 99 من المحفظه)</v>
      </c>
      <c r="D222" s="134">
        <f>IFERROR(INDEX('كشف الحساب'!$D$4:$D$354,MATCH(13,'كشف الحساب'!$Q$4:$Q$354,0)),"")</f>
        <v>205.5</v>
      </c>
      <c r="E222" s="135" t="str">
        <f>IFERROR(INDEX('كشف الحساب'!$G$4:$G$354,MATCH(13,'كشف الحساب'!$Q$4:$Q$354,0)),"")</f>
        <v>أبو اسحاق</v>
      </c>
      <c r="F222" s="132"/>
    </row>
    <row r="223" spans="1:6" ht="18" customHeight="1" x14ac:dyDescent="0.25">
      <c r="A223" s="143">
        <f>IFERROR(INDEX('كشف الحساب'!$A$4:$A$354,MATCH(14,'كشف الحساب'!$Q$4:$Q$354,0)),"")</f>
        <v>46235</v>
      </c>
      <c r="B223" s="133">
        <f>IFERROR(INDEX('كشف الحساب'!$B$4:$B$354,MATCH(14,'كشف الحساب'!$Q$4:$Q$354,0)),"")</f>
        <v>0</v>
      </c>
      <c r="C223" s="132" t="str">
        <f>IFERROR(INDEX('كشف الحساب'!$C$4:$C$354,MATCH(14,'كشف الحساب'!$Q$4:$Q$354,0)),"")</f>
        <v>احواض عدد 3500 مقاس 25 سم</v>
      </c>
      <c r="D223" s="134">
        <f>IFERROR(INDEX('كشف الحساب'!$D$4:$D$354,MATCH(14,'كشف الحساب'!$Q$4:$Q$354,0)),"")</f>
        <v>280</v>
      </c>
      <c r="E223" s="135" t="str">
        <f>IFERROR(INDEX('كشف الحساب'!$G$4:$G$354,MATCH(14,'كشف الحساب'!$Q$4:$Q$354,0)),"")</f>
        <v>أبو آدم</v>
      </c>
      <c r="F223" s="132"/>
    </row>
    <row r="224" spans="1:6" ht="18" customHeight="1" x14ac:dyDescent="0.25">
      <c r="A224" s="143">
        <f>IFERROR(INDEX('كشف الحساب'!$A$4:$A$354,MATCH(15,'كشف الحساب'!$Q$4:$Q$354,0)),"")</f>
        <v>46238</v>
      </c>
      <c r="B224" s="133">
        <f>IFERROR(INDEX('كشف الحساب'!$B$4:$B$354,MATCH(15,'كشف الحساب'!$Q$4:$Q$354,0)),"")</f>
        <v>0</v>
      </c>
      <c r="C224" s="132" t="str">
        <f>IFERROR(INDEX('كشف الحساب'!$C$4:$C$354,MATCH(15,'كشف الحساب'!$Q$4:$Q$354,0)),"")</f>
        <v>حديد كحميه 2</v>
      </c>
      <c r="D224" s="134">
        <f>IFERROR(INDEX('كشف الحساب'!$D$4:$D$354,MATCH(15,'كشف الحساب'!$Q$4:$Q$354,0)),"")</f>
        <v>68</v>
      </c>
      <c r="E224" s="135" t="str">
        <f>IFERROR(INDEX('كشف الحساب'!$G$4:$G$354,MATCH(15,'كشف الحساب'!$Q$4:$Q$354,0)),"")</f>
        <v>أبو اسحاق</v>
      </c>
      <c r="F224" s="132"/>
    </row>
    <row r="225" spans="1:6" ht="18" customHeight="1" x14ac:dyDescent="0.25">
      <c r="A225" s="143" t="str">
        <f>IFERROR(INDEX('كشف الحساب'!$A$4:$A$354,MATCH(16,'كشف الحساب'!$Q$4:$Q$354,0)),"")</f>
        <v/>
      </c>
      <c r="B225" s="133" t="str">
        <f>IFERROR(INDEX('كشف الحساب'!$B$4:$B$354,MATCH(16,'كشف الحساب'!$Q$4:$Q$354,0)),"")</f>
        <v/>
      </c>
      <c r="C225" s="132" t="str">
        <f>IFERROR(INDEX('كشف الحساب'!$C$4:$C$354,MATCH(16,'كشف الحساب'!$Q$4:$Q$354,0)),"")</f>
        <v/>
      </c>
      <c r="D225" s="134" t="str">
        <f>IFERROR(INDEX('كشف الحساب'!$D$4:$D$354,MATCH(16,'كشف الحساب'!$Q$4:$Q$354,0)),"")</f>
        <v/>
      </c>
      <c r="E225" s="135" t="str">
        <f>IFERROR(INDEX('كشف الحساب'!$G$4:$G$354,MATCH(16,'كشف الحساب'!$Q$4:$Q$354,0)),"")</f>
        <v/>
      </c>
      <c r="F225" s="132"/>
    </row>
    <row r="226" spans="1:6" ht="18" customHeight="1" x14ac:dyDescent="0.25">
      <c r="A226" s="143" t="str">
        <f>IFERROR(INDEX('كشف الحساب'!$A$4:$A$354,MATCH(17,'كشف الحساب'!$Q$4:$Q$354,0)),"")</f>
        <v/>
      </c>
      <c r="B226" s="133" t="str">
        <f>IFERROR(INDEX('كشف الحساب'!$B$4:$B$354,MATCH(17,'كشف الحساب'!$Q$4:$Q$354,0)),"")</f>
        <v/>
      </c>
      <c r="C226" s="132" t="str">
        <f>IFERROR(INDEX('كشف الحساب'!$C$4:$C$354,MATCH(17,'كشف الحساب'!$Q$4:$Q$354,0)),"")</f>
        <v/>
      </c>
      <c r="D226" s="134" t="str">
        <f>IFERROR(INDEX('كشف الحساب'!$D$4:$D$354,MATCH(17,'كشف الحساب'!$Q$4:$Q$354,0)),"")</f>
        <v/>
      </c>
      <c r="E226" s="135" t="str">
        <f>IFERROR(INDEX('كشف الحساب'!$G$4:$G$354,MATCH(17,'كشف الحساب'!$Q$4:$Q$354,0)),"")</f>
        <v/>
      </c>
      <c r="F226" s="132"/>
    </row>
    <row r="227" spans="1:6" ht="18" customHeight="1" x14ac:dyDescent="0.25">
      <c r="A227" s="143" t="str">
        <f>IFERROR(INDEX('كشف الحساب'!$A$4:$A$354,MATCH(18,'كشف الحساب'!$Q$4:$Q$354,0)),"")</f>
        <v/>
      </c>
      <c r="B227" s="133" t="str">
        <f>IFERROR(INDEX('كشف الحساب'!$B$4:$B$354,MATCH(18,'كشف الحساب'!$Q$4:$Q$354,0)),"")</f>
        <v/>
      </c>
      <c r="C227" s="132" t="str">
        <f>IFERROR(INDEX('كشف الحساب'!$C$4:$C$354,MATCH(18,'كشف الحساب'!$Q$4:$Q$354,0)),"")</f>
        <v/>
      </c>
      <c r="D227" s="134" t="str">
        <f>IFERROR(INDEX('كشف الحساب'!$D$4:$D$354,MATCH(18,'كشف الحساب'!$Q$4:$Q$354,0)),"")</f>
        <v/>
      </c>
      <c r="E227" s="135" t="str">
        <f>IFERROR(INDEX('كشف الحساب'!$G$4:$G$354,MATCH(18,'كشف الحساب'!$Q$4:$Q$354,0)),"")</f>
        <v/>
      </c>
      <c r="F227" s="132"/>
    </row>
    <row r="228" spans="1:6" ht="18" customHeight="1" x14ac:dyDescent="0.25">
      <c r="A228" s="143" t="str">
        <f>IFERROR(INDEX('كشف الحساب'!$A$4:$A$354,MATCH(19,'كشف الحساب'!$Q$4:$Q$354,0)),"")</f>
        <v/>
      </c>
      <c r="B228" s="133" t="str">
        <f>IFERROR(INDEX('كشف الحساب'!$B$4:$B$354,MATCH(19,'كشف الحساب'!$Q$4:$Q$354,0)),"")</f>
        <v/>
      </c>
      <c r="C228" s="132" t="str">
        <f>IFERROR(INDEX('كشف الحساب'!$C$4:$C$354,MATCH(19,'كشف الحساب'!$Q$4:$Q$354,0)),"")</f>
        <v/>
      </c>
      <c r="D228" s="134" t="str">
        <f>IFERROR(INDEX('كشف الحساب'!$D$4:$D$354,MATCH(19,'كشف الحساب'!$Q$4:$Q$354,0)),"")</f>
        <v/>
      </c>
      <c r="E228" s="135" t="str">
        <f>IFERROR(INDEX('كشف الحساب'!$G$4:$G$354,MATCH(19,'كشف الحساب'!$Q$4:$Q$354,0)),"")</f>
        <v/>
      </c>
      <c r="F228" s="132"/>
    </row>
    <row r="229" spans="1:6" ht="18" customHeight="1" x14ac:dyDescent="0.25">
      <c r="A229" s="143" t="str">
        <f>IFERROR(INDEX('كشف الحساب'!$A$4:$A$354,MATCH(20,'كشف الحساب'!$Q$4:$Q$354,0)),"")</f>
        <v/>
      </c>
      <c r="B229" s="133" t="str">
        <f>IFERROR(INDEX('كشف الحساب'!$B$4:$B$354,MATCH(20,'كشف الحساب'!$Q$4:$Q$354,0)),"")</f>
        <v/>
      </c>
      <c r="C229" s="132" t="str">
        <f>IFERROR(INDEX('كشف الحساب'!$C$4:$C$354,MATCH(20,'كشف الحساب'!$Q$4:$Q$354,0)),"")</f>
        <v/>
      </c>
      <c r="D229" s="134" t="str">
        <f>IFERROR(INDEX('كشف الحساب'!$D$4:$D$354,MATCH(20,'كشف الحساب'!$Q$4:$Q$354,0)),"")</f>
        <v/>
      </c>
      <c r="E229" s="135" t="str">
        <f>IFERROR(INDEX('كشف الحساب'!$G$4:$G$354,MATCH(20,'كشف الحساب'!$Q$4:$Q$354,0)),"")</f>
        <v/>
      </c>
      <c r="F229" s="132"/>
    </row>
    <row r="230" spans="1:6" ht="18" customHeight="1" x14ac:dyDescent="0.25">
      <c r="A230" s="143" t="str">
        <f>IFERROR(INDEX('كشف الحساب'!$A$4:$A$354,MATCH(21,'كشف الحساب'!$Q$4:$Q$354,0)),"")</f>
        <v/>
      </c>
      <c r="B230" s="133" t="str">
        <f>IFERROR(INDEX('كشف الحساب'!$B$4:$B$354,MATCH(21,'كشف الحساب'!$Q$4:$Q$354,0)),"")</f>
        <v/>
      </c>
      <c r="C230" s="132" t="str">
        <f>IFERROR(INDEX('كشف الحساب'!$C$4:$C$354,MATCH(21,'كشف الحساب'!$Q$4:$Q$354,0)),"")</f>
        <v/>
      </c>
      <c r="D230" s="134" t="str">
        <f>IFERROR(INDEX('كشف الحساب'!$D$4:$D$354,MATCH(21,'كشف الحساب'!$Q$4:$Q$354,0)),"")</f>
        <v/>
      </c>
      <c r="E230" s="135" t="str">
        <f>IFERROR(INDEX('كشف الحساب'!$G$4:$G$354,MATCH(21,'كشف الحساب'!$Q$4:$Q$354,0)),"")</f>
        <v/>
      </c>
      <c r="F230" s="132"/>
    </row>
    <row r="231" spans="1:6" ht="18" customHeight="1" x14ac:dyDescent="0.25">
      <c r="A231" s="143" t="str">
        <f>IFERROR(INDEX('كشف الحساب'!$A$4:$A$354,MATCH(22,'كشف الحساب'!$Q$4:$Q$354,0)),"")</f>
        <v/>
      </c>
      <c r="B231" s="133" t="str">
        <f>IFERROR(INDEX('كشف الحساب'!$B$4:$B$354,MATCH(22,'كشف الحساب'!$Q$4:$Q$354,0)),"")</f>
        <v/>
      </c>
      <c r="C231" s="132" t="str">
        <f>IFERROR(INDEX('كشف الحساب'!$C$4:$C$354,MATCH(22,'كشف الحساب'!$Q$4:$Q$354,0)),"")</f>
        <v/>
      </c>
      <c r="D231" s="134" t="str">
        <f>IFERROR(INDEX('كشف الحساب'!$D$4:$D$354,MATCH(22,'كشف الحساب'!$Q$4:$Q$354,0)),"")</f>
        <v/>
      </c>
      <c r="E231" s="135" t="str">
        <f>IFERROR(INDEX('كشف الحساب'!$G$4:$G$354,MATCH(22,'كشف الحساب'!$Q$4:$Q$354,0)),"")</f>
        <v/>
      </c>
      <c r="F231" s="132"/>
    </row>
    <row r="232" spans="1:6" ht="18" customHeight="1" x14ac:dyDescent="0.25">
      <c r="A232" s="143" t="str">
        <f>IFERROR(INDEX('كشف الحساب'!$A$4:$A$354,MATCH(23,'كشف الحساب'!$Q$4:$Q$354,0)),"")</f>
        <v/>
      </c>
      <c r="B232" s="133" t="str">
        <f>IFERROR(INDEX('كشف الحساب'!$B$4:$B$354,MATCH(23,'كشف الحساب'!$Q$4:$Q$354,0)),"")</f>
        <v/>
      </c>
      <c r="C232" s="132" t="str">
        <f>IFERROR(INDEX('كشف الحساب'!$C$4:$C$354,MATCH(23,'كشف الحساب'!$Q$4:$Q$354,0)),"")</f>
        <v/>
      </c>
      <c r="D232" s="134" t="str">
        <f>IFERROR(INDEX('كشف الحساب'!$D$4:$D$354,MATCH(23,'كشف الحساب'!$Q$4:$Q$354,0)),"")</f>
        <v/>
      </c>
      <c r="E232" s="135" t="str">
        <f>IFERROR(INDEX('كشف الحساب'!$G$4:$G$354,MATCH(23,'كشف الحساب'!$Q$4:$Q$354,0)),"")</f>
        <v/>
      </c>
      <c r="F232" s="132"/>
    </row>
    <row r="233" spans="1:6" ht="18" customHeight="1" x14ac:dyDescent="0.25">
      <c r="A233" s="143" t="str">
        <f>IFERROR(INDEX('كشف الحساب'!$A$4:$A$354,MATCH(24,'كشف الحساب'!$Q$4:$Q$354,0)),"")</f>
        <v/>
      </c>
      <c r="B233" s="133" t="str">
        <f>IFERROR(INDEX('كشف الحساب'!$B$4:$B$354,MATCH(24,'كشف الحساب'!$Q$4:$Q$354,0)),"")</f>
        <v/>
      </c>
      <c r="C233" s="132" t="str">
        <f>IFERROR(INDEX('كشف الحساب'!$C$4:$C$354,MATCH(24,'كشف الحساب'!$Q$4:$Q$354,0)),"")</f>
        <v/>
      </c>
      <c r="D233" s="134" t="str">
        <f>IFERROR(INDEX('كشف الحساب'!$D$4:$D$354,MATCH(24,'كشف الحساب'!$Q$4:$Q$354,0)),"")</f>
        <v/>
      </c>
      <c r="E233" s="135" t="str">
        <f>IFERROR(INDEX('كشف الحساب'!$G$4:$G$354,MATCH(24,'كشف الحساب'!$Q$4:$Q$354,0)),"")</f>
        <v/>
      </c>
      <c r="F233" s="132"/>
    </row>
    <row r="234" spans="1:6" ht="18" customHeight="1" x14ac:dyDescent="0.25">
      <c r="A234" s="143" t="str">
        <f>IFERROR(INDEX('كشف الحساب'!$A$4:$A$354,MATCH(25,'كشف الحساب'!$Q$4:$Q$354,0)),"")</f>
        <v/>
      </c>
      <c r="B234" s="133" t="str">
        <f>IFERROR(INDEX('كشف الحساب'!$B$4:$B$354,MATCH(25,'كشف الحساب'!$Q$4:$Q$354,0)),"")</f>
        <v/>
      </c>
      <c r="C234" s="132" t="str">
        <f>IFERROR(INDEX('كشف الحساب'!$C$4:$C$354,MATCH(25,'كشف الحساب'!$Q$4:$Q$354,0)),"")</f>
        <v/>
      </c>
      <c r="D234" s="134" t="str">
        <f>IFERROR(INDEX('كشف الحساب'!$D$4:$D$354,MATCH(25,'كشف الحساب'!$Q$4:$Q$354,0)),"")</f>
        <v/>
      </c>
      <c r="E234" s="135" t="str">
        <f>IFERROR(INDEX('كشف الحساب'!$G$4:$G$354,MATCH(25,'كشف الحساب'!$Q$4:$Q$354,0)),"")</f>
        <v/>
      </c>
      <c r="F234" s="132"/>
    </row>
    <row r="235" spans="1:6" ht="18" customHeight="1" x14ac:dyDescent="0.25">
      <c r="A235" s="143" t="str">
        <f>IFERROR(INDEX('كشف الحساب'!$A$4:$A$354,MATCH(26,'كشف الحساب'!$Q$4:$Q$354,0)),"")</f>
        <v/>
      </c>
      <c r="B235" s="133" t="str">
        <f>IFERROR(INDEX('كشف الحساب'!$B$4:$B$354,MATCH(26,'كشف الحساب'!$Q$4:$Q$354,0)),"")</f>
        <v/>
      </c>
      <c r="C235" s="132" t="str">
        <f>IFERROR(INDEX('كشف الحساب'!$C$4:$C$354,MATCH(26,'كشف الحساب'!$Q$4:$Q$354,0)),"")</f>
        <v/>
      </c>
      <c r="D235" s="134" t="str">
        <f>IFERROR(INDEX('كشف الحساب'!$D$4:$D$354,MATCH(26,'كشف الحساب'!$Q$4:$Q$354,0)),"")</f>
        <v/>
      </c>
      <c r="E235" s="135" t="str">
        <f>IFERROR(INDEX('كشف الحساب'!$G$4:$G$354,MATCH(26,'كشف الحساب'!$Q$4:$Q$354,0)),"")</f>
        <v/>
      </c>
      <c r="F235" s="132"/>
    </row>
    <row r="236" spans="1:6" ht="18" customHeight="1" x14ac:dyDescent="0.25">
      <c r="A236" s="143" t="str">
        <f>IFERROR(INDEX('كشف الحساب'!$A$4:$A$354,MATCH(27,'كشف الحساب'!$Q$4:$Q$354,0)),"")</f>
        <v/>
      </c>
      <c r="B236" s="133" t="str">
        <f>IFERROR(INDEX('كشف الحساب'!$B$4:$B$354,MATCH(27,'كشف الحساب'!$Q$4:$Q$354,0)),"")</f>
        <v/>
      </c>
      <c r="C236" s="132" t="str">
        <f>IFERROR(INDEX('كشف الحساب'!$C$4:$C$354,MATCH(27,'كشف الحساب'!$Q$4:$Q$354,0)),"")</f>
        <v/>
      </c>
      <c r="D236" s="134" t="str">
        <f>IFERROR(INDEX('كشف الحساب'!$D$4:$D$354,MATCH(27,'كشف الحساب'!$Q$4:$Q$354,0)),"")</f>
        <v/>
      </c>
      <c r="E236" s="135" t="str">
        <f>IFERROR(INDEX('كشف الحساب'!$G$4:$G$354,MATCH(27,'كشف الحساب'!$Q$4:$Q$354,0)),"")</f>
        <v/>
      </c>
      <c r="F236" s="132"/>
    </row>
    <row r="237" spans="1:6" ht="18" customHeight="1" x14ac:dyDescent="0.25">
      <c r="A237" s="143" t="str">
        <f>IFERROR(INDEX('كشف الحساب'!$A$4:$A$354,MATCH(28,'كشف الحساب'!$Q$4:$Q$354,0)),"")</f>
        <v/>
      </c>
      <c r="B237" s="133" t="str">
        <f>IFERROR(INDEX('كشف الحساب'!$B$4:$B$354,MATCH(28,'كشف الحساب'!$Q$4:$Q$354,0)),"")</f>
        <v/>
      </c>
      <c r="C237" s="132" t="str">
        <f>IFERROR(INDEX('كشف الحساب'!$C$4:$C$354,MATCH(28,'كشف الحساب'!$Q$4:$Q$354,0)),"")</f>
        <v/>
      </c>
      <c r="D237" s="134" t="str">
        <f>IFERROR(INDEX('كشف الحساب'!$D$4:$D$354,MATCH(28,'كشف الحساب'!$Q$4:$Q$354,0)),"")</f>
        <v/>
      </c>
      <c r="E237" s="135" t="str">
        <f>IFERROR(INDEX('كشف الحساب'!$G$4:$G$354,MATCH(28,'كشف الحساب'!$Q$4:$Q$354,0)),"")</f>
        <v/>
      </c>
      <c r="F237" s="132"/>
    </row>
    <row r="238" spans="1:6" ht="18" customHeight="1" x14ac:dyDescent="0.25">
      <c r="A238" s="143" t="str">
        <f>IFERROR(INDEX('كشف الحساب'!$A$4:$A$354,MATCH(29,'كشف الحساب'!$Q$4:$Q$354,0)),"")</f>
        <v/>
      </c>
      <c r="B238" s="133" t="str">
        <f>IFERROR(INDEX('كشف الحساب'!$B$4:$B$354,MATCH(29,'كشف الحساب'!$Q$4:$Q$354,0)),"")</f>
        <v/>
      </c>
      <c r="C238" s="132" t="str">
        <f>IFERROR(INDEX('كشف الحساب'!$C$4:$C$354,MATCH(29,'كشف الحساب'!$Q$4:$Q$354,0)),"")</f>
        <v/>
      </c>
      <c r="D238" s="134" t="str">
        <f>IFERROR(INDEX('كشف الحساب'!$D$4:$D$354,MATCH(29,'كشف الحساب'!$Q$4:$Q$354,0)),"")</f>
        <v/>
      </c>
      <c r="E238" s="135" t="str">
        <f>IFERROR(INDEX('كشف الحساب'!$G$4:$G$354,MATCH(29,'كشف الحساب'!$Q$4:$Q$354,0)),"")</f>
        <v/>
      </c>
      <c r="F238" s="132"/>
    </row>
    <row r="239" spans="1:6" ht="18" customHeight="1" x14ac:dyDescent="0.25">
      <c r="A239" s="143" t="str">
        <f>IFERROR(INDEX('كشف الحساب'!$A$4:$A$354,MATCH(30,'كشف الحساب'!$Q$4:$Q$354,0)),"")</f>
        <v/>
      </c>
      <c r="B239" s="133" t="str">
        <f>IFERROR(INDEX('كشف الحساب'!$B$4:$B$354,MATCH(30,'كشف الحساب'!$Q$4:$Q$354,0)),"")</f>
        <v/>
      </c>
      <c r="C239" s="132" t="str">
        <f>IFERROR(INDEX('كشف الحساب'!$C$4:$C$354,MATCH(30,'كشف الحساب'!$Q$4:$Q$354,0)),"")</f>
        <v/>
      </c>
      <c r="D239" s="134" t="str">
        <f>IFERROR(INDEX('كشف الحساب'!$D$4:$D$354,MATCH(30,'كشف الحساب'!$Q$4:$Q$354,0)),"")</f>
        <v/>
      </c>
      <c r="E239" s="135" t="str">
        <f>IFERROR(INDEX('كشف الحساب'!$G$4:$G$354,MATCH(30,'كشف الحساب'!$Q$4:$Q$354,0)),"")</f>
        <v/>
      </c>
      <c r="F239" s="132"/>
    </row>
    <row r="240" spans="1:6" ht="18" customHeight="1" x14ac:dyDescent="0.25">
      <c r="A240" s="143" t="str">
        <f>IFERROR(INDEX('كشف الحساب'!$A$4:$A$354,MATCH(31,'كشف الحساب'!$Q$4:$Q$354,0)),"")</f>
        <v/>
      </c>
      <c r="B240" s="133" t="str">
        <f>IFERROR(INDEX('كشف الحساب'!$B$4:$B$354,MATCH(31,'كشف الحساب'!$Q$4:$Q$354,0)),"")</f>
        <v/>
      </c>
      <c r="C240" s="132" t="str">
        <f>IFERROR(INDEX('كشف الحساب'!$C$4:$C$354,MATCH(31,'كشف الحساب'!$Q$4:$Q$354,0)),"")</f>
        <v/>
      </c>
      <c r="D240" s="134" t="str">
        <f>IFERROR(INDEX('كشف الحساب'!$D$4:$D$354,MATCH(31,'كشف الحساب'!$Q$4:$Q$354,0)),"")</f>
        <v/>
      </c>
      <c r="E240" s="135" t="str">
        <f>IFERROR(INDEX('كشف الحساب'!$G$4:$G$354,MATCH(31,'كشف الحساب'!$Q$4:$Q$354,0)),"")</f>
        <v/>
      </c>
      <c r="F240" s="132"/>
    </row>
    <row r="241" spans="1:6" ht="18" customHeight="1" x14ac:dyDescent="0.25">
      <c r="A241" s="143" t="str">
        <f>IFERROR(INDEX('كشف الحساب'!$A$4:$A$354,MATCH(32,'كشف الحساب'!$Q$4:$Q$354,0)),"")</f>
        <v/>
      </c>
      <c r="B241" s="133" t="str">
        <f>IFERROR(INDEX('كشف الحساب'!$B$4:$B$354,MATCH(32,'كشف الحساب'!$Q$4:$Q$354,0)),"")</f>
        <v/>
      </c>
      <c r="C241" s="132" t="str">
        <f>IFERROR(INDEX('كشف الحساب'!$C$4:$C$354,MATCH(32,'كشف الحساب'!$Q$4:$Q$354,0)),"")</f>
        <v/>
      </c>
      <c r="D241" s="134" t="str">
        <f>IFERROR(INDEX('كشف الحساب'!$D$4:$D$354,MATCH(32,'كشف الحساب'!$Q$4:$Q$354,0)),"")</f>
        <v/>
      </c>
      <c r="E241" s="135" t="str">
        <f>IFERROR(INDEX('كشف الحساب'!$G$4:$G$354,MATCH(32,'كشف الحساب'!$Q$4:$Q$354,0)),"")</f>
        <v/>
      </c>
      <c r="F241" s="132"/>
    </row>
    <row r="242" spans="1:6" ht="18" customHeight="1" x14ac:dyDescent="0.25">
      <c r="A242" s="143" t="str">
        <f>IFERROR(INDEX('كشف الحساب'!$A$4:$A$354,MATCH(33,'كشف الحساب'!$Q$4:$Q$354,0)),"")</f>
        <v/>
      </c>
      <c r="B242" s="133" t="str">
        <f>IFERROR(INDEX('كشف الحساب'!$B$4:$B$354,MATCH(33,'كشف الحساب'!$Q$4:$Q$354,0)),"")</f>
        <v/>
      </c>
      <c r="C242" s="132" t="str">
        <f>IFERROR(INDEX('كشف الحساب'!$C$4:$C$354,MATCH(33,'كشف الحساب'!$Q$4:$Q$354,0)),"")</f>
        <v/>
      </c>
      <c r="D242" s="134" t="str">
        <f>IFERROR(INDEX('كشف الحساب'!$D$4:$D$354,MATCH(33,'كشف الحساب'!$Q$4:$Q$354,0)),"")</f>
        <v/>
      </c>
      <c r="E242" s="135" t="str">
        <f>IFERROR(INDEX('كشف الحساب'!$G$4:$G$354,MATCH(33,'كشف الحساب'!$Q$4:$Q$354,0)),"")</f>
        <v/>
      </c>
      <c r="F242" s="132"/>
    </row>
    <row r="243" spans="1:6" ht="18" customHeight="1" x14ac:dyDescent="0.25">
      <c r="A243" s="143" t="str">
        <f>IFERROR(INDEX('كشف الحساب'!$A$4:$A$354,MATCH(34,'كشف الحساب'!$Q$4:$Q$354,0)),"")</f>
        <v/>
      </c>
      <c r="B243" s="133" t="str">
        <f>IFERROR(INDEX('كشف الحساب'!$B$4:$B$354,MATCH(34,'كشف الحساب'!$Q$4:$Q$354,0)),"")</f>
        <v/>
      </c>
      <c r="C243" s="132" t="str">
        <f>IFERROR(INDEX('كشف الحساب'!$C$4:$C$354,MATCH(34,'كشف الحساب'!$Q$4:$Q$354,0)),"")</f>
        <v/>
      </c>
      <c r="D243" s="134" t="str">
        <f>IFERROR(INDEX('كشف الحساب'!$D$4:$D$354,MATCH(34,'كشف الحساب'!$Q$4:$Q$354,0)),"")</f>
        <v/>
      </c>
      <c r="E243" s="135" t="str">
        <f>IFERROR(INDEX('كشف الحساب'!$G$4:$G$354,MATCH(34,'كشف الحساب'!$Q$4:$Q$354,0)),"")</f>
        <v/>
      </c>
      <c r="F243" s="132"/>
    </row>
    <row r="244" spans="1:6" ht="18" customHeight="1" x14ac:dyDescent="0.25">
      <c r="A244" s="143" t="str">
        <f>IFERROR(INDEX('كشف الحساب'!$A$4:$A$354,MATCH(35,'كشف الحساب'!$Q$4:$Q$354,0)),"")</f>
        <v/>
      </c>
      <c r="B244" s="133" t="str">
        <f>IFERROR(INDEX('كشف الحساب'!$B$4:$B$354,MATCH(35,'كشف الحساب'!$Q$4:$Q$354,0)),"")</f>
        <v/>
      </c>
      <c r="C244" s="132" t="str">
        <f>IFERROR(INDEX('كشف الحساب'!$C$4:$C$354,MATCH(35,'كشف الحساب'!$Q$4:$Q$354,0)),"")</f>
        <v/>
      </c>
      <c r="D244" s="134" t="str">
        <f>IFERROR(INDEX('كشف الحساب'!$D$4:$D$354,MATCH(35,'كشف الحساب'!$Q$4:$Q$354,0)),"")</f>
        <v/>
      </c>
      <c r="E244" s="135" t="str">
        <f>IFERROR(INDEX('كشف الحساب'!$G$4:$G$354,MATCH(35,'كشف الحساب'!$Q$4:$Q$354,0)),"")</f>
        <v/>
      </c>
      <c r="F244" s="132"/>
    </row>
    <row r="245" spans="1:6" ht="18" customHeight="1" x14ac:dyDescent="0.25">
      <c r="A245" s="143" t="str">
        <f>IFERROR(INDEX('كشف الحساب'!$A$4:$A$354,MATCH(36,'كشف الحساب'!$Q$4:$Q$354,0)),"")</f>
        <v/>
      </c>
      <c r="B245" s="133" t="str">
        <f>IFERROR(INDEX('كشف الحساب'!$B$4:$B$354,MATCH(36,'كشف الحساب'!$Q$4:$Q$354,0)),"")</f>
        <v/>
      </c>
      <c r="C245" s="132" t="str">
        <f>IFERROR(INDEX('كشف الحساب'!$C$4:$C$354,MATCH(36,'كشف الحساب'!$Q$4:$Q$354,0)),"")</f>
        <v/>
      </c>
      <c r="D245" s="134" t="str">
        <f>IFERROR(INDEX('كشف الحساب'!$D$4:$D$354,MATCH(36,'كشف الحساب'!$Q$4:$Q$354,0)),"")</f>
        <v/>
      </c>
      <c r="E245" s="135" t="str">
        <f>IFERROR(INDEX('كشف الحساب'!$G$4:$G$354,MATCH(36,'كشف الحساب'!$Q$4:$Q$354,0)),"")</f>
        <v/>
      </c>
      <c r="F245" s="132"/>
    </row>
    <row r="246" spans="1:6" ht="18" customHeight="1" x14ac:dyDescent="0.25">
      <c r="A246" s="143" t="str">
        <f>IFERROR(INDEX('كشف الحساب'!$A$4:$A$354,MATCH(37,'كشف الحساب'!$Q$4:$Q$354,0)),"")</f>
        <v/>
      </c>
      <c r="B246" s="133" t="str">
        <f>IFERROR(INDEX('كشف الحساب'!$B$4:$B$354,MATCH(37,'كشف الحساب'!$Q$4:$Q$354,0)),"")</f>
        <v/>
      </c>
      <c r="C246" s="132" t="str">
        <f>IFERROR(INDEX('كشف الحساب'!$C$4:$C$354,MATCH(37,'كشف الحساب'!$Q$4:$Q$354,0)),"")</f>
        <v/>
      </c>
      <c r="D246" s="134" t="str">
        <f>IFERROR(INDEX('كشف الحساب'!$D$4:$D$354,MATCH(37,'كشف الحساب'!$Q$4:$Q$354,0)),"")</f>
        <v/>
      </c>
      <c r="E246" s="135" t="str">
        <f>IFERROR(INDEX('كشف الحساب'!$G$4:$G$354,MATCH(37,'كشف الحساب'!$Q$4:$Q$354,0)),"")</f>
        <v/>
      </c>
      <c r="F246" s="132"/>
    </row>
    <row r="247" spans="1:6" ht="18" customHeight="1" x14ac:dyDescent="0.25">
      <c r="A247" s="143" t="str">
        <f>IFERROR(INDEX('كشف الحساب'!$A$4:$A$354,MATCH(38,'كشف الحساب'!$Q$4:$Q$354,0)),"")</f>
        <v/>
      </c>
      <c r="B247" s="133" t="str">
        <f>IFERROR(INDEX('كشف الحساب'!$B$4:$B$354,MATCH(38,'كشف الحساب'!$Q$4:$Q$354,0)),"")</f>
        <v/>
      </c>
      <c r="C247" s="132" t="str">
        <f>IFERROR(INDEX('كشف الحساب'!$C$4:$C$354,MATCH(38,'كشف الحساب'!$Q$4:$Q$354,0)),"")</f>
        <v/>
      </c>
      <c r="D247" s="134" t="str">
        <f>IFERROR(INDEX('كشف الحساب'!$D$4:$D$354,MATCH(38,'كشف الحساب'!$Q$4:$Q$354,0)),"")</f>
        <v/>
      </c>
      <c r="E247" s="135" t="str">
        <f>IFERROR(INDEX('كشف الحساب'!$G$4:$G$354,MATCH(38,'كشف الحساب'!$Q$4:$Q$354,0)),"")</f>
        <v/>
      </c>
      <c r="F247" s="132"/>
    </row>
    <row r="248" spans="1:6" ht="18" customHeight="1" x14ac:dyDescent="0.25">
      <c r="A248" s="143" t="str">
        <f>IFERROR(INDEX('كشف الحساب'!$A$4:$A$354,MATCH(39,'كشف الحساب'!$Q$4:$Q$354,0)),"")</f>
        <v/>
      </c>
      <c r="B248" s="133" t="str">
        <f>IFERROR(INDEX('كشف الحساب'!$B$4:$B$354,MATCH(39,'كشف الحساب'!$Q$4:$Q$354,0)),"")</f>
        <v/>
      </c>
      <c r="C248" s="132" t="str">
        <f>IFERROR(INDEX('كشف الحساب'!$C$4:$C$354,MATCH(39,'كشف الحساب'!$Q$4:$Q$354,0)),"")</f>
        <v/>
      </c>
      <c r="D248" s="134" t="str">
        <f>IFERROR(INDEX('كشف الحساب'!$D$4:$D$354,MATCH(39,'كشف الحساب'!$Q$4:$Q$354,0)),"")</f>
        <v/>
      </c>
      <c r="E248" s="135" t="str">
        <f>IFERROR(INDEX('كشف الحساب'!$G$4:$G$354,MATCH(39,'كشف الحساب'!$Q$4:$Q$354,0)),"")</f>
        <v/>
      </c>
      <c r="F248" s="132"/>
    </row>
    <row r="249" spans="1:6" ht="18" customHeight="1" x14ac:dyDescent="0.25">
      <c r="A249" s="143" t="str">
        <f>IFERROR(INDEX('كشف الحساب'!$A$4:$A$354,MATCH(40,'كشف الحساب'!$Q$4:$Q$354,0)),"")</f>
        <v/>
      </c>
      <c r="B249" s="133" t="str">
        <f>IFERROR(INDEX('كشف الحساب'!$B$4:$B$354,MATCH(40,'كشف الحساب'!$Q$4:$Q$354,0)),"")</f>
        <v/>
      </c>
      <c r="C249" s="132" t="str">
        <f>IFERROR(INDEX('كشف الحساب'!$C$4:$C$354,MATCH(40,'كشف الحساب'!$Q$4:$Q$354,0)),"")</f>
        <v/>
      </c>
      <c r="D249" s="134" t="str">
        <f>IFERROR(INDEX('كشف الحساب'!$D$4:$D$354,MATCH(40,'كشف الحساب'!$Q$4:$Q$354,0)),"")</f>
        <v/>
      </c>
      <c r="E249" s="135" t="str">
        <f>IFERROR(INDEX('كشف الحساب'!$G$4:$G$354,MATCH(40,'كشف الحساب'!$Q$4:$Q$354,0)),"")</f>
        <v/>
      </c>
      <c r="F249" s="132"/>
    </row>
    <row r="250" spans="1:6" ht="18" customHeight="1" x14ac:dyDescent="0.25">
      <c r="A250" s="143" t="str">
        <f>IFERROR(INDEX('كشف الحساب'!$A$4:$A$354,MATCH(41,'كشف الحساب'!$Q$4:$Q$354,0)),"")</f>
        <v/>
      </c>
      <c r="B250" s="133" t="str">
        <f>IFERROR(INDEX('كشف الحساب'!$B$4:$B$354,MATCH(41,'كشف الحساب'!$Q$4:$Q$354,0)),"")</f>
        <v/>
      </c>
      <c r="C250" s="132" t="str">
        <f>IFERROR(INDEX('كشف الحساب'!$C$4:$C$354,MATCH(41,'كشف الحساب'!$Q$4:$Q$354,0)),"")</f>
        <v/>
      </c>
      <c r="D250" s="134" t="str">
        <f>IFERROR(INDEX('كشف الحساب'!$D$4:$D$354,MATCH(41,'كشف الحساب'!$Q$4:$Q$354,0)),"")</f>
        <v/>
      </c>
      <c r="E250" s="135" t="str">
        <f>IFERROR(INDEX('كشف الحساب'!$G$4:$G$354,MATCH(41,'كشف الحساب'!$Q$4:$Q$354,0)),"")</f>
        <v/>
      </c>
      <c r="F250" s="132"/>
    </row>
    <row r="251" spans="1:6" ht="18" customHeight="1" x14ac:dyDescent="0.25">
      <c r="A251" s="143" t="str">
        <f>IFERROR(INDEX('كشف الحساب'!$A$4:$A$354,MATCH(42,'كشف الحساب'!$Q$4:$Q$354,0)),"")</f>
        <v/>
      </c>
      <c r="B251" s="133" t="str">
        <f>IFERROR(INDEX('كشف الحساب'!$B$4:$B$354,MATCH(42,'كشف الحساب'!$Q$4:$Q$354,0)),"")</f>
        <v/>
      </c>
      <c r="C251" s="132" t="str">
        <f>IFERROR(INDEX('كشف الحساب'!$C$4:$C$354,MATCH(42,'كشف الحساب'!$Q$4:$Q$354,0)),"")</f>
        <v/>
      </c>
      <c r="D251" s="134" t="str">
        <f>IFERROR(INDEX('كشف الحساب'!$D$4:$D$354,MATCH(42,'كشف الحساب'!$Q$4:$Q$354,0)),"")</f>
        <v/>
      </c>
      <c r="E251" s="135" t="str">
        <f>IFERROR(INDEX('كشف الحساب'!$G$4:$G$354,MATCH(42,'كشف الحساب'!$Q$4:$Q$354,0)),"")</f>
        <v/>
      </c>
      <c r="F251" s="132"/>
    </row>
    <row r="252" spans="1:6" ht="18" customHeight="1" x14ac:dyDescent="0.25">
      <c r="A252" s="143" t="str">
        <f>IFERROR(INDEX('كشف الحساب'!$A$4:$A$354,MATCH(43,'كشف الحساب'!$Q$4:$Q$354,0)),"")</f>
        <v/>
      </c>
      <c r="B252" s="133" t="str">
        <f>IFERROR(INDEX('كشف الحساب'!$B$4:$B$354,MATCH(43,'كشف الحساب'!$Q$4:$Q$354,0)),"")</f>
        <v/>
      </c>
      <c r="C252" s="132" t="str">
        <f>IFERROR(INDEX('كشف الحساب'!$C$4:$C$354,MATCH(43,'كشف الحساب'!$Q$4:$Q$354,0)),"")</f>
        <v/>
      </c>
      <c r="D252" s="134" t="str">
        <f>IFERROR(INDEX('كشف الحساب'!$D$4:$D$354,MATCH(43,'كشف الحساب'!$Q$4:$Q$354,0)),"")</f>
        <v/>
      </c>
      <c r="E252" s="135" t="str">
        <f>IFERROR(INDEX('كشف الحساب'!$G$4:$G$354,MATCH(43,'كشف الحساب'!$Q$4:$Q$354,0)),"")</f>
        <v/>
      </c>
      <c r="F252" s="132"/>
    </row>
    <row r="253" spans="1:6" ht="18" customHeight="1" x14ac:dyDescent="0.25">
      <c r="A253" s="143" t="str">
        <f>IFERROR(INDEX('كشف الحساب'!$A$4:$A$354,MATCH(44,'كشف الحساب'!$Q$4:$Q$354,0)),"")</f>
        <v/>
      </c>
      <c r="B253" s="133" t="str">
        <f>IFERROR(INDEX('كشف الحساب'!$B$4:$B$354,MATCH(44,'كشف الحساب'!$Q$4:$Q$354,0)),"")</f>
        <v/>
      </c>
      <c r="C253" s="132" t="str">
        <f>IFERROR(INDEX('كشف الحساب'!$C$4:$C$354,MATCH(44,'كشف الحساب'!$Q$4:$Q$354,0)),"")</f>
        <v/>
      </c>
      <c r="D253" s="134" t="str">
        <f>IFERROR(INDEX('كشف الحساب'!$D$4:$D$354,MATCH(44,'كشف الحساب'!$Q$4:$Q$354,0)),"")</f>
        <v/>
      </c>
      <c r="E253" s="135" t="str">
        <f>IFERROR(INDEX('كشف الحساب'!$G$4:$G$354,MATCH(44,'كشف الحساب'!$Q$4:$Q$354,0)),"")</f>
        <v/>
      </c>
      <c r="F253" s="132"/>
    </row>
    <row r="254" spans="1:6" ht="18" customHeight="1" x14ac:dyDescent="0.25">
      <c r="A254" s="143" t="str">
        <f>IFERROR(INDEX('كشف الحساب'!$A$4:$A$354,MATCH(45,'كشف الحساب'!$Q$4:$Q$354,0)),"")</f>
        <v/>
      </c>
      <c r="B254" s="133" t="str">
        <f>IFERROR(INDEX('كشف الحساب'!$B$4:$B$354,MATCH(45,'كشف الحساب'!$Q$4:$Q$354,0)),"")</f>
        <v/>
      </c>
      <c r="C254" s="132" t="str">
        <f>IFERROR(INDEX('كشف الحساب'!$C$4:$C$354,MATCH(45,'كشف الحساب'!$Q$4:$Q$354,0)),"")</f>
        <v/>
      </c>
      <c r="D254" s="134" t="str">
        <f>IFERROR(INDEX('كشف الحساب'!$D$4:$D$354,MATCH(45,'كشف الحساب'!$Q$4:$Q$354,0)),"")</f>
        <v/>
      </c>
      <c r="E254" s="135" t="str">
        <f>IFERROR(INDEX('كشف الحساب'!$G$4:$G$354,MATCH(45,'كشف الحساب'!$Q$4:$Q$354,0)),"")</f>
        <v/>
      </c>
      <c r="F254" s="132"/>
    </row>
    <row r="255" spans="1:6" ht="18" customHeight="1" x14ac:dyDescent="0.25">
      <c r="A255" s="143" t="str">
        <f>IFERROR(INDEX('كشف الحساب'!$A$4:$A$354,MATCH(46,'كشف الحساب'!$Q$4:$Q$354,0)),"")</f>
        <v/>
      </c>
      <c r="B255" s="133" t="str">
        <f>IFERROR(INDEX('كشف الحساب'!$B$4:$B$354,MATCH(46,'كشف الحساب'!$Q$4:$Q$354,0)),"")</f>
        <v/>
      </c>
      <c r="C255" s="132" t="str">
        <f>IFERROR(INDEX('كشف الحساب'!$C$4:$C$354,MATCH(46,'كشف الحساب'!$Q$4:$Q$354,0)),"")</f>
        <v/>
      </c>
      <c r="D255" s="134" t="str">
        <f>IFERROR(INDEX('كشف الحساب'!$D$4:$D$354,MATCH(46,'كشف الحساب'!$Q$4:$Q$354,0)),"")</f>
        <v/>
      </c>
      <c r="E255" s="135" t="str">
        <f>IFERROR(INDEX('كشف الحساب'!$G$4:$G$354,MATCH(46,'كشف الحساب'!$Q$4:$Q$354,0)),"")</f>
        <v/>
      </c>
      <c r="F255" s="132"/>
    </row>
    <row r="256" spans="1:6" ht="18" customHeight="1" x14ac:dyDescent="0.25">
      <c r="A256" s="143" t="str">
        <f>IFERROR(INDEX('كشف الحساب'!$A$4:$A$354,MATCH(47,'كشف الحساب'!$Q$4:$Q$354,0)),"")</f>
        <v/>
      </c>
      <c r="B256" s="133" t="str">
        <f>IFERROR(INDEX('كشف الحساب'!$B$4:$B$354,MATCH(47,'كشف الحساب'!$Q$4:$Q$354,0)),"")</f>
        <v/>
      </c>
      <c r="C256" s="132" t="str">
        <f>IFERROR(INDEX('كشف الحساب'!$C$4:$C$354,MATCH(47,'كشف الحساب'!$Q$4:$Q$354,0)),"")</f>
        <v/>
      </c>
      <c r="D256" s="134" t="str">
        <f>IFERROR(INDEX('كشف الحساب'!$D$4:$D$354,MATCH(47,'كشف الحساب'!$Q$4:$Q$354,0)),"")</f>
        <v/>
      </c>
      <c r="E256" s="135" t="str">
        <f>IFERROR(INDEX('كشف الحساب'!$G$4:$G$354,MATCH(47,'كشف الحساب'!$Q$4:$Q$354,0)),"")</f>
        <v/>
      </c>
      <c r="F256" s="132"/>
    </row>
    <row r="257" spans="1:6" ht="18" customHeight="1" x14ac:dyDescent="0.25">
      <c r="A257" s="143" t="str">
        <f>IFERROR(INDEX('كشف الحساب'!$A$4:$A$354,MATCH(48,'كشف الحساب'!$Q$4:$Q$354,0)),"")</f>
        <v/>
      </c>
      <c r="B257" s="133" t="str">
        <f>IFERROR(INDEX('كشف الحساب'!$B$4:$B$354,MATCH(48,'كشف الحساب'!$Q$4:$Q$354,0)),"")</f>
        <v/>
      </c>
      <c r="C257" s="132" t="str">
        <f>IFERROR(INDEX('كشف الحساب'!$C$4:$C$354,MATCH(48,'كشف الحساب'!$Q$4:$Q$354,0)),"")</f>
        <v/>
      </c>
      <c r="D257" s="134" t="str">
        <f>IFERROR(INDEX('كشف الحساب'!$D$4:$D$354,MATCH(48,'كشف الحساب'!$Q$4:$Q$354,0)),"")</f>
        <v/>
      </c>
      <c r="E257" s="135" t="str">
        <f>IFERROR(INDEX('كشف الحساب'!$G$4:$G$354,MATCH(48,'كشف الحساب'!$Q$4:$Q$354,0)),"")</f>
        <v/>
      </c>
      <c r="F257" s="132"/>
    </row>
    <row r="258" spans="1:6" ht="18" customHeight="1" x14ac:dyDescent="0.25">
      <c r="A258" s="143" t="str">
        <f>IFERROR(INDEX('كشف الحساب'!$A$4:$A$354,MATCH(49,'كشف الحساب'!$Q$4:$Q$354,0)),"")</f>
        <v/>
      </c>
      <c r="B258" s="133" t="str">
        <f>IFERROR(INDEX('كشف الحساب'!$B$4:$B$354,MATCH(49,'كشف الحساب'!$Q$4:$Q$354,0)),"")</f>
        <v/>
      </c>
      <c r="C258" s="132" t="str">
        <f>IFERROR(INDEX('كشف الحساب'!$C$4:$C$354,MATCH(49,'كشف الحساب'!$Q$4:$Q$354,0)),"")</f>
        <v/>
      </c>
      <c r="D258" s="134" t="str">
        <f>IFERROR(INDEX('كشف الحساب'!$D$4:$D$354,MATCH(49,'كشف الحساب'!$Q$4:$Q$354,0)),"")</f>
        <v/>
      </c>
      <c r="E258" s="135" t="str">
        <f>IFERROR(INDEX('كشف الحساب'!$G$4:$G$354,MATCH(49,'كشف الحساب'!$Q$4:$Q$354,0)),"")</f>
        <v/>
      </c>
      <c r="F258" s="132"/>
    </row>
    <row r="259" spans="1:6" ht="18" customHeight="1" x14ac:dyDescent="0.25">
      <c r="A259" s="143" t="str">
        <f>IFERROR(INDEX('كشف الحساب'!$A$4:$A$354,MATCH(50,'كشف الحساب'!$Q$4:$Q$354,0)),"")</f>
        <v/>
      </c>
      <c r="B259" s="133" t="str">
        <f>IFERROR(INDEX('كشف الحساب'!$B$4:$B$354,MATCH(50,'كشف الحساب'!$Q$4:$Q$354,0)),"")</f>
        <v/>
      </c>
      <c r="C259" s="132" t="str">
        <f>IFERROR(INDEX('كشف الحساب'!$C$4:$C$354,MATCH(50,'كشف الحساب'!$Q$4:$Q$354,0)),"")</f>
        <v/>
      </c>
      <c r="D259" s="134" t="str">
        <f>IFERROR(INDEX('كشف الحساب'!$D$4:$D$354,MATCH(50,'كشف الحساب'!$Q$4:$Q$354,0)),"")</f>
        <v/>
      </c>
      <c r="E259" s="135" t="str">
        <f>IFERROR(INDEX('كشف الحساب'!$G$4:$G$354,MATCH(50,'كشف الحساب'!$Q$4:$Q$354,0)),"")</f>
        <v/>
      </c>
      <c r="F259" s="132"/>
    </row>
    <row r="260" spans="1:6" ht="18" customHeight="1" x14ac:dyDescent="0.25">
      <c r="A260" s="143" t="str">
        <f>IFERROR(INDEX('كشف الحساب'!$A$4:$A$354,MATCH(51,'كشف الحساب'!$Q$4:$Q$354,0)),"")</f>
        <v/>
      </c>
      <c r="B260" s="133" t="str">
        <f>IFERROR(INDEX('كشف الحساب'!$B$4:$B$354,MATCH(51,'كشف الحساب'!$Q$4:$Q$354,0)),"")</f>
        <v/>
      </c>
      <c r="C260" s="132" t="str">
        <f>IFERROR(INDEX('كشف الحساب'!$C$4:$C$354,MATCH(51,'كشف الحساب'!$Q$4:$Q$354,0)),"")</f>
        <v/>
      </c>
      <c r="D260" s="134" t="str">
        <f>IFERROR(INDEX('كشف الحساب'!$D$4:$D$354,MATCH(51,'كشف الحساب'!$Q$4:$Q$354,0)),"")</f>
        <v/>
      </c>
      <c r="E260" s="135" t="str">
        <f>IFERROR(INDEX('كشف الحساب'!$G$4:$G$354,MATCH(51,'كشف الحساب'!$Q$4:$Q$354,0)),"")</f>
        <v/>
      </c>
      <c r="F260" s="132"/>
    </row>
    <row r="261" spans="1:6" ht="18" customHeight="1" x14ac:dyDescent="0.25">
      <c r="A261" s="143" t="str">
        <f>IFERROR(INDEX('كشف الحساب'!$A$4:$A$354,MATCH(52,'كشف الحساب'!$Q$4:$Q$354,0)),"")</f>
        <v/>
      </c>
      <c r="B261" s="133" t="str">
        <f>IFERROR(INDEX('كشف الحساب'!$B$4:$B$354,MATCH(52,'كشف الحساب'!$Q$4:$Q$354,0)),"")</f>
        <v/>
      </c>
      <c r="C261" s="132" t="str">
        <f>IFERROR(INDEX('كشف الحساب'!$C$4:$C$354,MATCH(52,'كشف الحساب'!$Q$4:$Q$354,0)),"")</f>
        <v/>
      </c>
      <c r="D261" s="134" t="str">
        <f>IFERROR(INDEX('كشف الحساب'!$D$4:$D$354,MATCH(52,'كشف الحساب'!$Q$4:$Q$354,0)),"")</f>
        <v/>
      </c>
      <c r="E261" s="135" t="str">
        <f>IFERROR(INDEX('كشف الحساب'!$G$4:$G$354,MATCH(52,'كشف الحساب'!$Q$4:$Q$354,0)),"")</f>
        <v/>
      </c>
      <c r="F261" s="132"/>
    </row>
    <row r="262" spans="1:6" ht="18" customHeight="1" x14ac:dyDescent="0.25">
      <c r="A262" s="143" t="str">
        <f>IFERROR(INDEX('كشف الحساب'!$A$4:$A$354,MATCH(53,'كشف الحساب'!$Q$4:$Q$354,0)),"")</f>
        <v/>
      </c>
      <c r="B262" s="133" t="str">
        <f>IFERROR(INDEX('كشف الحساب'!$B$4:$B$354,MATCH(53,'كشف الحساب'!$Q$4:$Q$354,0)),"")</f>
        <v/>
      </c>
      <c r="C262" s="132" t="str">
        <f>IFERROR(INDEX('كشف الحساب'!$C$4:$C$354,MATCH(53,'كشف الحساب'!$Q$4:$Q$354,0)),"")</f>
        <v/>
      </c>
      <c r="D262" s="134" t="str">
        <f>IFERROR(INDEX('كشف الحساب'!$D$4:$D$354,MATCH(53,'كشف الحساب'!$Q$4:$Q$354,0)),"")</f>
        <v/>
      </c>
      <c r="E262" s="135" t="str">
        <f>IFERROR(INDEX('كشف الحساب'!$G$4:$G$354,MATCH(53,'كشف الحساب'!$Q$4:$Q$354,0)),"")</f>
        <v/>
      </c>
      <c r="F262" s="132"/>
    </row>
    <row r="263" spans="1:6" ht="18" customHeight="1" x14ac:dyDescent="0.25">
      <c r="A263" s="143" t="str">
        <f>IFERROR(INDEX('كشف الحساب'!$A$4:$A$354,MATCH(54,'كشف الحساب'!$Q$4:$Q$354,0)),"")</f>
        <v/>
      </c>
      <c r="B263" s="133" t="str">
        <f>IFERROR(INDEX('كشف الحساب'!$B$4:$B$354,MATCH(54,'كشف الحساب'!$Q$4:$Q$354,0)),"")</f>
        <v/>
      </c>
      <c r="C263" s="132" t="str">
        <f>IFERROR(INDEX('كشف الحساب'!$C$4:$C$354,MATCH(54,'كشف الحساب'!$Q$4:$Q$354,0)),"")</f>
        <v/>
      </c>
      <c r="D263" s="134" t="str">
        <f>IFERROR(INDEX('كشف الحساب'!$D$4:$D$354,MATCH(54,'كشف الحساب'!$Q$4:$Q$354,0)),"")</f>
        <v/>
      </c>
      <c r="E263" s="135" t="str">
        <f>IFERROR(INDEX('كشف الحساب'!$G$4:$G$354,MATCH(54,'كشف الحساب'!$Q$4:$Q$354,0)),"")</f>
        <v/>
      </c>
      <c r="F263" s="132"/>
    </row>
    <row r="264" spans="1:6" ht="18" customHeight="1" x14ac:dyDescent="0.25">
      <c r="A264" s="143" t="str">
        <f>IFERROR(INDEX('كشف الحساب'!$A$4:$A$354,MATCH(55,'كشف الحساب'!$Q$4:$Q$354,0)),"")</f>
        <v/>
      </c>
      <c r="B264" s="133" t="str">
        <f>IFERROR(INDEX('كشف الحساب'!$B$4:$B$354,MATCH(55,'كشف الحساب'!$Q$4:$Q$354,0)),"")</f>
        <v/>
      </c>
      <c r="C264" s="132" t="str">
        <f>IFERROR(INDEX('كشف الحساب'!$C$4:$C$354,MATCH(55,'كشف الحساب'!$Q$4:$Q$354,0)),"")</f>
        <v/>
      </c>
      <c r="D264" s="134" t="str">
        <f>IFERROR(INDEX('كشف الحساب'!$D$4:$D$354,MATCH(55,'كشف الحساب'!$Q$4:$Q$354,0)),"")</f>
        <v/>
      </c>
      <c r="E264" s="135" t="str">
        <f>IFERROR(INDEX('كشف الحساب'!$G$4:$G$354,MATCH(55,'كشف الحساب'!$Q$4:$Q$354,0)),"")</f>
        <v/>
      </c>
      <c r="F264" s="132"/>
    </row>
    <row r="265" spans="1:6" ht="18" customHeight="1" x14ac:dyDescent="0.25">
      <c r="A265" s="143" t="str">
        <f>IFERROR(INDEX('كشف الحساب'!$A$4:$A$354,MATCH(56,'كشف الحساب'!$Q$4:$Q$354,0)),"")</f>
        <v/>
      </c>
      <c r="B265" s="133" t="str">
        <f>IFERROR(INDEX('كشف الحساب'!$B$4:$B$354,MATCH(56,'كشف الحساب'!$Q$4:$Q$354,0)),"")</f>
        <v/>
      </c>
      <c r="C265" s="132" t="str">
        <f>IFERROR(INDEX('كشف الحساب'!$C$4:$C$354,MATCH(56,'كشف الحساب'!$Q$4:$Q$354,0)),"")</f>
        <v/>
      </c>
      <c r="D265" s="134" t="str">
        <f>IFERROR(INDEX('كشف الحساب'!$D$4:$D$354,MATCH(56,'كشف الحساب'!$Q$4:$Q$354,0)),"")</f>
        <v/>
      </c>
      <c r="E265" s="135" t="str">
        <f>IFERROR(INDEX('كشف الحساب'!$G$4:$G$354,MATCH(56,'كشف الحساب'!$Q$4:$Q$354,0)),"")</f>
        <v/>
      </c>
      <c r="F265" s="132"/>
    </row>
    <row r="266" spans="1:6" ht="18" customHeight="1" x14ac:dyDescent="0.25">
      <c r="A266" s="143" t="str">
        <f>IFERROR(INDEX('كشف الحساب'!$A$4:$A$354,MATCH(57,'كشف الحساب'!$Q$4:$Q$354,0)),"")</f>
        <v/>
      </c>
      <c r="B266" s="133" t="str">
        <f>IFERROR(INDEX('كشف الحساب'!$B$4:$B$354,MATCH(57,'كشف الحساب'!$Q$4:$Q$354,0)),"")</f>
        <v/>
      </c>
      <c r="C266" s="132" t="str">
        <f>IFERROR(INDEX('كشف الحساب'!$C$4:$C$354,MATCH(57,'كشف الحساب'!$Q$4:$Q$354,0)),"")</f>
        <v/>
      </c>
      <c r="D266" s="134" t="str">
        <f>IFERROR(INDEX('كشف الحساب'!$D$4:$D$354,MATCH(57,'كشف الحساب'!$Q$4:$Q$354,0)),"")</f>
        <v/>
      </c>
      <c r="E266" s="135" t="str">
        <f>IFERROR(INDEX('كشف الحساب'!$G$4:$G$354,MATCH(57,'كشف الحساب'!$Q$4:$Q$354,0)),"")</f>
        <v/>
      </c>
      <c r="F266" s="132"/>
    </row>
    <row r="267" spans="1:6" ht="18" customHeight="1" x14ac:dyDescent="0.25">
      <c r="A267" s="143" t="str">
        <f>IFERROR(INDEX('كشف الحساب'!$A$4:$A$354,MATCH(58,'كشف الحساب'!$Q$4:$Q$354,0)),"")</f>
        <v/>
      </c>
      <c r="B267" s="133" t="str">
        <f>IFERROR(INDEX('كشف الحساب'!$B$4:$B$354,MATCH(58,'كشف الحساب'!$Q$4:$Q$354,0)),"")</f>
        <v/>
      </c>
      <c r="C267" s="132" t="str">
        <f>IFERROR(INDEX('كشف الحساب'!$C$4:$C$354,MATCH(58,'كشف الحساب'!$Q$4:$Q$354,0)),"")</f>
        <v/>
      </c>
      <c r="D267" s="134" t="str">
        <f>IFERROR(INDEX('كشف الحساب'!$D$4:$D$354,MATCH(58,'كشف الحساب'!$Q$4:$Q$354,0)),"")</f>
        <v/>
      </c>
      <c r="E267" s="135" t="str">
        <f>IFERROR(INDEX('كشف الحساب'!$G$4:$G$354,MATCH(58,'كشف الحساب'!$Q$4:$Q$354,0)),"")</f>
        <v/>
      </c>
      <c r="F267" s="132"/>
    </row>
    <row r="268" spans="1:6" ht="18" customHeight="1" x14ac:dyDescent="0.25">
      <c r="A268" s="143" t="str">
        <f>IFERROR(INDEX('كشف الحساب'!$A$4:$A$354,MATCH(59,'كشف الحساب'!$Q$4:$Q$354,0)),"")</f>
        <v/>
      </c>
      <c r="B268" s="133" t="str">
        <f>IFERROR(INDEX('كشف الحساب'!$B$4:$B$354,MATCH(59,'كشف الحساب'!$Q$4:$Q$354,0)),"")</f>
        <v/>
      </c>
      <c r="C268" s="132" t="str">
        <f>IFERROR(INDEX('كشف الحساب'!$C$4:$C$354,MATCH(59,'كشف الحساب'!$Q$4:$Q$354,0)),"")</f>
        <v/>
      </c>
      <c r="D268" s="134" t="str">
        <f>IFERROR(INDEX('كشف الحساب'!$D$4:$D$354,MATCH(59,'كشف الحساب'!$Q$4:$Q$354,0)),"")</f>
        <v/>
      </c>
      <c r="E268" s="135" t="str">
        <f>IFERROR(INDEX('كشف الحساب'!$G$4:$G$354,MATCH(59,'كشف الحساب'!$Q$4:$Q$354,0)),"")</f>
        <v/>
      </c>
      <c r="F268" s="132"/>
    </row>
    <row r="269" spans="1:6" ht="18" customHeight="1" x14ac:dyDescent="0.25">
      <c r="A269" s="143" t="str">
        <f>IFERROR(INDEX('كشف الحساب'!$A$4:$A$354,MATCH(60,'كشف الحساب'!$Q$4:$Q$354,0)),"")</f>
        <v/>
      </c>
      <c r="B269" s="133" t="str">
        <f>IFERROR(INDEX('كشف الحساب'!$B$4:$B$354,MATCH(60,'كشف الحساب'!$Q$4:$Q$354,0)),"")</f>
        <v/>
      </c>
      <c r="C269" s="132" t="str">
        <f>IFERROR(INDEX('كشف الحساب'!$C$4:$C$354,MATCH(60,'كشف الحساب'!$Q$4:$Q$354,0)),"")</f>
        <v/>
      </c>
      <c r="D269" s="134" t="str">
        <f>IFERROR(INDEX('كشف الحساب'!$D$4:$D$354,MATCH(60,'كشف الحساب'!$Q$4:$Q$354,0)),"")</f>
        <v/>
      </c>
      <c r="E269" s="135" t="str">
        <f>IFERROR(INDEX('كشف الحساب'!$G$4:$G$354,MATCH(60,'كشف الحساب'!$Q$4:$Q$354,0)),"")</f>
        <v/>
      </c>
      <c r="F269" s="132"/>
    </row>
    <row r="270" spans="1:6" ht="18" customHeight="1" x14ac:dyDescent="0.25">
      <c r="A270" s="143" t="str">
        <f>IFERROR(INDEX('كشف الحساب'!$A$4:$A$354,MATCH(61,'كشف الحساب'!$Q$4:$Q$354,0)),"")</f>
        <v/>
      </c>
      <c r="B270" s="133" t="str">
        <f>IFERROR(INDEX('كشف الحساب'!$B$4:$B$354,MATCH(61,'كشف الحساب'!$Q$4:$Q$354,0)),"")</f>
        <v/>
      </c>
      <c r="C270" s="132" t="str">
        <f>IFERROR(INDEX('كشف الحساب'!$C$4:$C$354,MATCH(61,'كشف الحساب'!$Q$4:$Q$354,0)),"")</f>
        <v/>
      </c>
      <c r="D270" s="134" t="str">
        <f>IFERROR(INDEX('كشف الحساب'!$D$4:$D$354,MATCH(61,'كشف الحساب'!$Q$4:$Q$354,0)),"")</f>
        <v/>
      </c>
      <c r="E270" s="135" t="str">
        <f>IFERROR(INDEX('كشف الحساب'!$G$4:$G$354,MATCH(61,'كشف الحساب'!$Q$4:$Q$354,0)),"")</f>
        <v/>
      </c>
      <c r="F270" s="132"/>
    </row>
    <row r="271" spans="1:6" ht="18" customHeight="1" x14ac:dyDescent="0.25">
      <c r="A271" s="143" t="str">
        <f>IFERROR(INDEX('كشف الحساب'!$A$4:$A$354,MATCH(62,'كشف الحساب'!$Q$4:$Q$354,0)),"")</f>
        <v/>
      </c>
      <c r="B271" s="133" t="str">
        <f>IFERROR(INDEX('كشف الحساب'!$B$4:$B$354,MATCH(62,'كشف الحساب'!$Q$4:$Q$354,0)),"")</f>
        <v/>
      </c>
      <c r="C271" s="132" t="str">
        <f>IFERROR(INDEX('كشف الحساب'!$C$4:$C$354,MATCH(62,'كشف الحساب'!$Q$4:$Q$354,0)),"")</f>
        <v/>
      </c>
      <c r="D271" s="134" t="str">
        <f>IFERROR(INDEX('كشف الحساب'!$D$4:$D$354,MATCH(62,'كشف الحساب'!$Q$4:$Q$354,0)),"")</f>
        <v/>
      </c>
      <c r="E271" s="135" t="str">
        <f>IFERROR(INDEX('كشف الحساب'!$G$4:$G$354,MATCH(62,'كشف الحساب'!$Q$4:$Q$354,0)),"")</f>
        <v/>
      </c>
      <c r="F271" s="132"/>
    </row>
    <row r="272" spans="1:6" ht="18" customHeight="1" x14ac:dyDescent="0.25">
      <c r="A272" s="143" t="str">
        <f>IFERROR(INDEX('كشف الحساب'!$A$4:$A$354,MATCH(63,'كشف الحساب'!$Q$4:$Q$354,0)),"")</f>
        <v/>
      </c>
      <c r="B272" s="133" t="str">
        <f>IFERROR(INDEX('كشف الحساب'!$B$4:$B$354,MATCH(63,'كشف الحساب'!$Q$4:$Q$354,0)),"")</f>
        <v/>
      </c>
      <c r="C272" s="132" t="str">
        <f>IFERROR(INDEX('كشف الحساب'!$C$4:$C$354,MATCH(63,'كشف الحساب'!$Q$4:$Q$354,0)),"")</f>
        <v/>
      </c>
      <c r="D272" s="134" t="str">
        <f>IFERROR(INDEX('كشف الحساب'!$D$4:$D$354,MATCH(63,'كشف الحساب'!$Q$4:$Q$354,0)),"")</f>
        <v/>
      </c>
      <c r="E272" s="135" t="str">
        <f>IFERROR(INDEX('كشف الحساب'!$G$4:$G$354,MATCH(63,'كشف الحساب'!$Q$4:$Q$354,0)),"")</f>
        <v/>
      </c>
      <c r="F272" s="132"/>
    </row>
    <row r="273" spans="1:6" ht="18" customHeight="1" x14ac:dyDescent="0.25">
      <c r="A273" s="143" t="str">
        <f>IFERROR(INDEX('كشف الحساب'!$A$4:$A$354,MATCH(64,'كشف الحساب'!$Q$4:$Q$354,0)),"")</f>
        <v/>
      </c>
      <c r="B273" s="133" t="str">
        <f>IFERROR(INDEX('كشف الحساب'!$B$4:$B$354,MATCH(64,'كشف الحساب'!$Q$4:$Q$354,0)),"")</f>
        <v/>
      </c>
      <c r="C273" s="132" t="str">
        <f>IFERROR(INDEX('كشف الحساب'!$C$4:$C$354,MATCH(64,'كشف الحساب'!$Q$4:$Q$354,0)),"")</f>
        <v/>
      </c>
      <c r="D273" s="134" t="str">
        <f>IFERROR(INDEX('كشف الحساب'!$D$4:$D$354,MATCH(64,'كشف الحساب'!$Q$4:$Q$354,0)),"")</f>
        <v/>
      </c>
      <c r="E273" s="135" t="str">
        <f>IFERROR(INDEX('كشف الحساب'!$G$4:$G$354,MATCH(64,'كشف الحساب'!$Q$4:$Q$354,0)),"")</f>
        <v/>
      </c>
      <c r="F273" s="132"/>
    </row>
    <row r="274" spans="1:6" ht="18" customHeight="1" x14ac:dyDescent="0.25">
      <c r="A274" s="143" t="str">
        <f>IFERROR(INDEX('كشف الحساب'!$A$4:$A$354,MATCH(65,'كشف الحساب'!$Q$4:$Q$354,0)),"")</f>
        <v/>
      </c>
      <c r="B274" s="133" t="str">
        <f>IFERROR(INDEX('كشف الحساب'!$B$4:$B$354,MATCH(65,'كشف الحساب'!$Q$4:$Q$354,0)),"")</f>
        <v/>
      </c>
      <c r="C274" s="132" t="str">
        <f>IFERROR(INDEX('كشف الحساب'!$C$4:$C$354,MATCH(65,'كشف الحساب'!$Q$4:$Q$354,0)),"")</f>
        <v/>
      </c>
      <c r="D274" s="134" t="str">
        <f>IFERROR(INDEX('كشف الحساب'!$D$4:$D$354,MATCH(65,'كشف الحساب'!$Q$4:$Q$354,0)),"")</f>
        <v/>
      </c>
      <c r="E274" s="135" t="str">
        <f>IFERROR(INDEX('كشف الحساب'!$G$4:$G$354,MATCH(65,'كشف الحساب'!$Q$4:$Q$354,0)),"")</f>
        <v/>
      </c>
      <c r="F274" s="132"/>
    </row>
    <row r="275" spans="1:6" ht="18" customHeight="1" x14ac:dyDescent="0.25">
      <c r="A275" s="143" t="str">
        <f>IFERROR(INDEX('كشف الحساب'!$A$4:$A$354,MATCH(66,'كشف الحساب'!$Q$4:$Q$354,0)),"")</f>
        <v/>
      </c>
      <c r="B275" s="133" t="str">
        <f>IFERROR(INDEX('كشف الحساب'!$B$4:$B$354,MATCH(66,'كشف الحساب'!$Q$4:$Q$354,0)),"")</f>
        <v/>
      </c>
      <c r="C275" s="132" t="str">
        <f>IFERROR(INDEX('كشف الحساب'!$C$4:$C$354,MATCH(66,'كشف الحساب'!$Q$4:$Q$354,0)),"")</f>
        <v/>
      </c>
      <c r="D275" s="134" t="str">
        <f>IFERROR(INDEX('كشف الحساب'!$D$4:$D$354,MATCH(66,'كشف الحساب'!$Q$4:$Q$354,0)),"")</f>
        <v/>
      </c>
      <c r="E275" s="135" t="str">
        <f>IFERROR(INDEX('كشف الحساب'!$G$4:$G$354,MATCH(66,'كشف الحساب'!$Q$4:$Q$354,0)),"")</f>
        <v/>
      </c>
      <c r="F275" s="132"/>
    </row>
    <row r="276" spans="1:6" ht="18" customHeight="1" x14ac:dyDescent="0.25">
      <c r="A276" s="143" t="str">
        <f>IFERROR(INDEX('كشف الحساب'!$A$4:$A$354,MATCH(67,'كشف الحساب'!$Q$4:$Q$354,0)),"")</f>
        <v/>
      </c>
      <c r="B276" s="133" t="str">
        <f>IFERROR(INDEX('كشف الحساب'!$B$4:$B$354,MATCH(67,'كشف الحساب'!$Q$4:$Q$354,0)),"")</f>
        <v/>
      </c>
      <c r="C276" s="132" t="str">
        <f>IFERROR(INDEX('كشف الحساب'!$C$4:$C$354,MATCH(67,'كشف الحساب'!$Q$4:$Q$354,0)),"")</f>
        <v/>
      </c>
      <c r="D276" s="134" t="str">
        <f>IFERROR(INDEX('كشف الحساب'!$D$4:$D$354,MATCH(67,'كشف الحساب'!$Q$4:$Q$354,0)),"")</f>
        <v/>
      </c>
      <c r="E276" s="135" t="str">
        <f>IFERROR(INDEX('كشف الحساب'!$G$4:$G$354,MATCH(67,'كشف الحساب'!$Q$4:$Q$354,0)),"")</f>
        <v/>
      </c>
      <c r="F276" s="132"/>
    </row>
    <row r="277" spans="1:6" ht="18" customHeight="1" x14ac:dyDescent="0.25">
      <c r="A277" s="143" t="str">
        <f>IFERROR(INDEX('كشف الحساب'!$A$4:$A$354,MATCH(68,'كشف الحساب'!$Q$4:$Q$354,0)),"")</f>
        <v/>
      </c>
      <c r="B277" s="133" t="str">
        <f>IFERROR(INDEX('كشف الحساب'!$B$4:$B$354,MATCH(68,'كشف الحساب'!$Q$4:$Q$354,0)),"")</f>
        <v/>
      </c>
      <c r="C277" s="132" t="str">
        <f>IFERROR(INDEX('كشف الحساب'!$C$4:$C$354,MATCH(68,'كشف الحساب'!$Q$4:$Q$354,0)),"")</f>
        <v/>
      </c>
      <c r="D277" s="134" t="str">
        <f>IFERROR(INDEX('كشف الحساب'!$D$4:$D$354,MATCH(68,'كشف الحساب'!$Q$4:$Q$354,0)),"")</f>
        <v/>
      </c>
      <c r="E277" s="135" t="str">
        <f>IFERROR(INDEX('كشف الحساب'!$G$4:$G$354,MATCH(68,'كشف الحساب'!$Q$4:$Q$354,0)),"")</f>
        <v/>
      </c>
      <c r="F277" s="132"/>
    </row>
    <row r="278" spans="1:6" ht="18" customHeight="1" x14ac:dyDescent="0.25">
      <c r="A278" s="143" t="str">
        <f>IFERROR(INDEX('كشف الحساب'!$A$4:$A$354,MATCH(69,'كشف الحساب'!$Q$4:$Q$354,0)),"")</f>
        <v/>
      </c>
      <c r="B278" s="133" t="str">
        <f>IFERROR(INDEX('كشف الحساب'!$B$4:$B$354,MATCH(69,'كشف الحساب'!$Q$4:$Q$354,0)),"")</f>
        <v/>
      </c>
      <c r="C278" s="132" t="str">
        <f>IFERROR(INDEX('كشف الحساب'!$C$4:$C$354,MATCH(69,'كشف الحساب'!$Q$4:$Q$354,0)),"")</f>
        <v/>
      </c>
      <c r="D278" s="134" t="str">
        <f>IFERROR(INDEX('كشف الحساب'!$D$4:$D$354,MATCH(69,'كشف الحساب'!$Q$4:$Q$354,0)),"")</f>
        <v/>
      </c>
      <c r="E278" s="135" t="str">
        <f>IFERROR(INDEX('كشف الحساب'!$G$4:$G$354,MATCH(69,'كشف الحساب'!$Q$4:$Q$354,0)),"")</f>
        <v/>
      </c>
      <c r="F278" s="132"/>
    </row>
    <row r="279" spans="1:6" ht="18" customHeight="1" x14ac:dyDescent="0.25">
      <c r="A279" s="143" t="str">
        <f>IFERROR(INDEX('كشف الحساب'!$A$4:$A$354,MATCH(70,'كشف الحساب'!$Q$4:$Q$354,0)),"")</f>
        <v/>
      </c>
      <c r="B279" s="133" t="str">
        <f>IFERROR(INDEX('كشف الحساب'!$B$4:$B$354,MATCH(70,'كشف الحساب'!$Q$4:$Q$354,0)),"")</f>
        <v/>
      </c>
      <c r="C279" s="132" t="str">
        <f>IFERROR(INDEX('كشف الحساب'!$C$4:$C$354,MATCH(70,'كشف الحساب'!$Q$4:$Q$354,0)),"")</f>
        <v/>
      </c>
      <c r="D279" s="134" t="str">
        <f>IFERROR(INDEX('كشف الحساب'!$D$4:$D$354,MATCH(70,'كشف الحساب'!$Q$4:$Q$354,0)),"")</f>
        <v/>
      </c>
      <c r="E279" s="135" t="str">
        <f>IFERROR(INDEX('كشف الحساب'!$G$4:$G$354,MATCH(70,'كشف الحساب'!$Q$4:$Q$354,0)),"")</f>
        <v/>
      </c>
      <c r="F279" s="132"/>
    </row>
    <row r="280" spans="1:6" ht="18" customHeight="1" x14ac:dyDescent="0.25">
      <c r="A280" s="143" t="str">
        <f>IFERROR(INDEX('كشف الحساب'!$A$4:$A$354,MATCH(71,'كشف الحساب'!$Q$4:$Q$354,0)),"")</f>
        <v/>
      </c>
      <c r="B280" s="133" t="str">
        <f>IFERROR(INDEX('كشف الحساب'!$B$4:$B$354,MATCH(71,'كشف الحساب'!$Q$4:$Q$354,0)),"")</f>
        <v/>
      </c>
      <c r="C280" s="132" t="str">
        <f>IFERROR(INDEX('كشف الحساب'!$C$4:$C$354,MATCH(71,'كشف الحساب'!$Q$4:$Q$354,0)),"")</f>
        <v/>
      </c>
      <c r="D280" s="134" t="str">
        <f>IFERROR(INDEX('كشف الحساب'!$D$4:$D$354,MATCH(71,'كشف الحساب'!$Q$4:$Q$354,0)),"")</f>
        <v/>
      </c>
      <c r="E280" s="135" t="str">
        <f>IFERROR(INDEX('كشف الحساب'!$G$4:$G$354,MATCH(71,'كشف الحساب'!$Q$4:$Q$354,0)),"")</f>
        <v/>
      </c>
      <c r="F280" s="132"/>
    </row>
    <row r="281" spans="1:6" ht="18" customHeight="1" x14ac:dyDescent="0.25">
      <c r="A281" s="143" t="str">
        <f>IFERROR(INDEX('كشف الحساب'!$A$4:$A$354,MATCH(72,'كشف الحساب'!$Q$4:$Q$354,0)),"")</f>
        <v/>
      </c>
      <c r="B281" s="133" t="str">
        <f>IFERROR(INDEX('كشف الحساب'!$B$4:$B$354,MATCH(72,'كشف الحساب'!$Q$4:$Q$354,0)),"")</f>
        <v/>
      </c>
      <c r="C281" s="132" t="str">
        <f>IFERROR(INDEX('كشف الحساب'!$C$4:$C$354,MATCH(72,'كشف الحساب'!$Q$4:$Q$354,0)),"")</f>
        <v/>
      </c>
      <c r="D281" s="134" t="str">
        <f>IFERROR(INDEX('كشف الحساب'!$D$4:$D$354,MATCH(72,'كشف الحساب'!$Q$4:$Q$354,0)),"")</f>
        <v/>
      </c>
      <c r="E281" s="135" t="str">
        <f>IFERROR(INDEX('كشف الحساب'!$G$4:$G$354,MATCH(72,'كشف الحساب'!$Q$4:$Q$354,0)),"")</f>
        <v/>
      </c>
      <c r="F281" s="132"/>
    </row>
    <row r="282" spans="1:6" ht="18" customHeight="1" x14ac:dyDescent="0.25">
      <c r="A282" s="143" t="str">
        <f>IFERROR(INDEX('كشف الحساب'!$A$4:$A$354,MATCH(73,'كشف الحساب'!$Q$4:$Q$354,0)),"")</f>
        <v/>
      </c>
      <c r="B282" s="133" t="str">
        <f>IFERROR(INDEX('كشف الحساب'!$B$4:$B$354,MATCH(73,'كشف الحساب'!$Q$4:$Q$354,0)),"")</f>
        <v/>
      </c>
      <c r="C282" s="132" t="str">
        <f>IFERROR(INDEX('كشف الحساب'!$C$4:$C$354,MATCH(73,'كشف الحساب'!$Q$4:$Q$354,0)),"")</f>
        <v/>
      </c>
      <c r="D282" s="134" t="str">
        <f>IFERROR(INDEX('كشف الحساب'!$D$4:$D$354,MATCH(73,'كشف الحساب'!$Q$4:$Q$354,0)),"")</f>
        <v/>
      </c>
      <c r="E282" s="135" t="str">
        <f>IFERROR(INDEX('كشف الحساب'!$G$4:$G$354,MATCH(73,'كشف الحساب'!$Q$4:$Q$354,0)),"")</f>
        <v/>
      </c>
      <c r="F282" s="132"/>
    </row>
    <row r="283" spans="1:6" ht="18" customHeight="1" x14ac:dyDescent="0.25">
      <c r="A283" s="143" t="str">
        <f>IFERROR(INDEX('كشف الحساب'!$A$4:$A$354,MATCH(74,'كشف الحساب'!$Q$4:$Q$354,0)),"")</f>
        <v/>
      </c>
      <c r="B283" s="133" t="str">
        <f>IFERROR(INDEX('كشف الحساب'!$B$4:$B$354,MATCH(74,'كشف الحساب'!$Q$4:$Q$354,0)),"")</f>
        <v/>
      </c>
      <c r="C283" s="132" t="str">
        <f>IFERROR(INDEX('كشف الحساب'!$C$4:$C$354,MATCH(74,'كشف الحساب'!$Q$4:$Q$354,0)),"")</f>
        <v/>
      </c>
      <c r="D283" s="134" t="str">
        <f>IFERROR(INDEX('كشف الحساب'!$D$4:$D$354,MATCH(74,'كشف الحساب'!$Q$4:$Q$354,0)),"")</f>
        <v/>
      </c>
      <c r="E283" s="135" t="str">
        <f>IFERROR(INDEX('كشف الحساب'!$G$4:$G$354,MATCH(74,'كشف الحساب'!$Q$4:$Q$354,0)),"")</f>
        <v/>
      </c>
      <c r="F283" s="132"/>
    </row>
    <row r="284" spans="1:6" ht="18" customHeight="1" x14ac:dyDescent="0.25">
      <c r="A284" s="143" t="str">
        <f>IFERROR(INDEX('كشف الحساب'!$A$4:$A$354,MATCH(75,'كشف الحساب'!$Q$4:$Q$354,0)),"")</f>
        <v/>
      </c>
      <c r="B284" s="133" t="str">
        <f>IFERROR(INDEX('كشف الحساب'!$B$4:$B$354,MATCH(75,'كشف الحساب'!$Q$4:$Q$354,0)),"")</f>
        <v/>
      </c>
      <c r="C284" s="132" t="str">
        <f>IFERROR(INDEX('كشف الحساب'!$C$4:$C$354,MATCH(75,'كشف الحساب'!$Q$4:$Q$354,0)),"")</f>
        <v/>
      </c>
      <c r="D284" s="134" t="str">
        <f>IFERROR(INDEX('كشف الحساب'!$D$4:$D$354,MATCH(75,'كشف الحساب'!$Q$4:$Q$354,0)),"")</f>
        <v/>
      </c>
      <c r="E284" s="135" t="str">
        <f>IFERROR(INDEX('كشف الحساب'!$G$4:$G$354,MATCH(75,'كشف الحساب'!$Q$4:$Q$354,0)),"")</f>
        <v/>
      </c>
      <c r="F284" s="132"/>
    </row>
    <row r="285" spans="1:6" ht="18" customHeight="1" x14ac:dyDescent="0.25">
      <c r="A285" s="143" t="str">
        <f>IFERROR(INDEX('كشف الحساب'!$A$4:$A$354,MATCH(76,'كشف الحساب'!$Q$4:$Q$354,0)),"")</f>
        <v/>
      </c>
      <c r="B285" s="133" t="str">
        <f>IFERROR(INDEX('كشف الحساب'!$B$4:$B$354,MATCH(76,'كشف الحساب'!$Q$4:$Q$354,0)),"")</f>
        <v/>
      </c>
      <c r="C285" s="132" t="str">
        <f>IFERROR(INDEX('كشف الحساب'!$C$4:$C$354,MATCH(76,'كشف الحساب'!$Q$4:$Q$354,0)),"")</f>
        <v/>
      </c>
      <c r="D285" s="134" t="str">
        <f>IFERROR(INDEX('كشف الحساب'!$D$4:$D$354,MATCH(76,'كشف الحساب'!$Q$4:$Q$354,0)),"")</f>
        <v/>
      </c>
      <c r="E285" s="135" t="str">
        <f>IFERROR(INDEX('كشف الحساب'!$G$4:$G$354,MATCH(76,'كشف الحساب'!$Q$4:$Q$354,0)),"")</f>
        <v/>
      </c>
      <c r="F285" s="132"/>
    </row>
    <row r="286" spans="1:6" ht="18" customHeight="1" x14ac:dyDescent="0.25">
      <c r="A286" s="143" t="str">
        <f>IFERROR(INDEX('كشف الحساب'!$A$4:$A$354,MATCH(77,'كشف الحساب'!$Q$4:$Q$354,0)),"")</f>
        <v/>
      </c>
      <c r="B286" s="133" t="str">
        <f>IFERROR(INDEX('كشف الحساب'!$B$4:$B$354,MATCH(77,'كشف الحساب'!$Q$4:$Q$354,0)),"")</f>
        <v/>
      </c>
      <c r="C286" s="132" t="str">
        <f>IFERROR(INDEX('كشف الحساب'!$C$4:$C$354,MATCH(77,'كشف الحساب'!$Q$4:$Q$354,0)),"")</f>
        <v/>
      </c>
      <c r="D286" s="134" t="str">
        <f>IFERROR(INDEX('كشف الحساب'!$D$4:$D$354,MATCH(77,'كشف الحساب'!$Q$4:$Q$354,0)),"")</f>
        <v/>
      </c>
      <c r="E286" s="135" t="str">
        <f>IFERROR(INDEX('كشف الحساب'!$G$4:$G$354,MATCH(77,'كشف الحساب'!$Q$4:$Q$354,0)),"")</f>
        <v/>
      </c>
      <c r="F286" s="132"/>
    </row>
    <row r="287" spans="1:6" ht="18" customHeight="1" x14ac:dyDescent="0.25">
      <c r="A287" s="143" t="str">
        <f>IFERROR(INDEX('كشف الحساب'!$A$4:$A$354,MATCH(78,'كشف الحساب'!$Q$4:$Q$354,0)),"")</f>
        <v/>
      </c>
      <c r="B287" s="133" t="str">
        <f>IFERROR(INDEX('كشف الحساب'!$B$4:$B$354,MATCH(78,'كشف الحساب'!$Q$4:$Q$354,0)),"")</f>
        <v/>
      </c>
      <c r="C287" s="132" t="str">
        <f>IFERROR(INDEX('كشف الحساب'!$C$4:$C$354,MATCH(78,'كشف الحساب'!$Q$4:$Q$354,0)),"")</f>
        <v/>
      </c>
      <c r="D287" s="134" t="str">
        <f>IFERROR(INDEX('كشف الحساب'!$D$4:$D$354,MATCH(78,'كشف الحساب'!$Q$4:$Q$354,0)),"")</f>
        <v/>
      </c>
      <c r="E287" s="135" t="str">
        <f>IFERROR(INDEX('كشف الحساب'!$G$4:$G$354,MATCH(78,'كشف الحساب'!$Q$4:$Q$354,0)),"")</f>
        <v/>
      </c>
      <c r="F287" s="132"/>
    </row>
    <row r="288" spans="1:6" ht="18" customHeight="1" x14ac:dyDescent="0.25">
      <c r="A288" s="143" t="str">
        <f>IFERROR(INDEX('كشف الحساب'!$A$4:$A$354,MATCH(79,'كشف الحساب'!$Q$4:$Q$354,0)),"")</f>
        <v/>
      </c>
      <c r="B288" s="133" t="str">
        <f>IFERROR(INDEX('كشف الحساب'!$B$4:$B$354,MATCH(79,'كشف الحساب'!$Q$4:$Q$354,0)),"")</f>
        <v/>
      </c>
      <c r="C288" s="132" t="str">
        <f>IFERROR(INDEX('كشف الحساب'!$C$4:$C$354,MATCH(79,'كشف الحساب'!$Q$4:$Q$354,0)),"")</f>
        <v/>
      </c>
      <c r="D288" s="134" t="str">
        <f>IFERROR(INDEX('كشف الحساب'!$D$4:$D$354,MATCH(79,'كشف الحساب'!$Q$4:$Q$354,0)),"")</f>
        <v/>
      </c>
      <c r="E288" s="135" t="str">
        <f>IFERROR(INDEX('كشف الحساب'!$G$4:$G$354,MATCH(79,'كشف الحساب'!$Q$4:$Q$354,0)),"")</f>
        <v/>
      </c>
      <c r="F288" s="132"/>
    </row>
    <row r="289" spans="1:6" ht="18" customHeight="1" x14ac:dyDescent="0.25">
      <c r="A289" s="143" t="str">
        <f>IFERROR(INDEX('كشف الحساب'!$A$4:$A$354,MATCH(80,'كشف الحساب'!$Q$4:$Q$354,0)),"")</f>
        <v/>
      </c>
      <c r="B289" s="133" t="str">
        <f>IFERROR(INDEX('كشف الحساب'!$B$4:$B$354,MATCH(80,'كشف الحساب'!$Q$4:$Q$354,0)),"")</f>
        <v/>
      </c>
      <c r="C289" s="132" t="str">
        <f>IFERROR(INDEX('كشف الحساب'!$C$4:$C$354,MATCH(80,'كشف الحساب'!$Q$4:$Q$354,0)),"")</f>
        <v/>
      </c>
      <c r="D289" s="134" t="str">
        <f>IFERROR(INDEX('كشف الحساب'!$D$4:$D$354,MATCH(80,'كشف الحساب'!$Q$4:$Q$354,0)),"")</f>
        <v/>
      </c>
      <c r="E289" s="135" t="str">
        <f>IFERROR(INDEX('كشف الحساب'!$G$4:$G$354,MATCH(80,'كشف الحساب'!$Q$4:$Q$354,0)),"")</f>
        <v/>
      </c>
      <c r="F289" s="132"/>
    </row>
    <row r="290" spans="1:6" ht="18" customHeight="1" x14ac:dyDescent="0.25">
      <c r="A290" s="143" t="str">
        <f>IFERROR(INDEX('كشف الحساب'!$A$4:$A$354,MATCH(81,'كشف الحساب'!$Q$4:$Q$354,0)),"")</f>
        <v/>
      </c>
      <c r="B290" s="133" t="str">
        <f>IFERROR(INDEX('كشف الحساب'!$B$4:$B$354,MATCH(81,'كشف الحساب'!$Q$4:$Q$354,0)),"")</f>
        <v/>
      </c>
      <c r="C290" s="132" t="str">
        <f>IFERROR(INDEX('كشف الحساب'!$C$4:$C$354,MATCH(81,'كشف الحساب'!$Q$4:$Q$354,0)),"")</f>
        <v/>
      </c>
      <c r="D290" s="134" t="str">
        <f>IFERROR(INDEX('كشف الحساب'!$D$4:$D$354,MATCH(81,'كشف الحساب'!$Q$4:$Q$354,0)),"")</f>
        <v/>
      </c>
      <c r="E290" s="135" t="str">
        <f>IFERROR(INDEX('كشف الحساب'!$G$4:$G$354,MATCH(81,'كشف الحساب'!$Q$4:$Q$354,0)),"")</f>
        <v/>
      </c>
      <c r="F290" s="132"/>
    </row>
    <row r="291" spans="1:6" ht="18" customHeight="1" x14ac:dyDescent="0.25">
      <c r="A291" s="143" t="str">
        <f>IFERROR(INDEX('كشف الحساب'!$A$4:$A$354,MATCH(82,'كشف الحساب'!$Q$4:$Q$354,0)),"")</f>
        <v/>
      </c>
      <c r="B291" s="133" t="str">
        <f>IFERROR(INDEX('كشف الحساب'!$B$4:$B$354,MATCH(82,'كشف الحساب'!$Q$4:$Q$354,0)),"")</f>
        <v/>
      </c>
      <c r="C291" s="132" t="str">
        <f>IFERROR(INDEX('كشف الحساب'!$C$4:$C$354,MATCH(82,'كشف الحساب'!$Q$4:$Q$354,0)),"")</f>
        <v/>
      </c>
      <c r="D291" s="134" t="str">
        <f>IFERROR(INDEX('كشف الحساب'!$D$4:$D$354,MATCH(82,'كشف الحساب'!$Q$4:$Q$354,0)),"")</f>
        <v/>
      </c>
      <c r="E291" s="135" t="str">
        <f>IFERROR(INDEX('كشف الحساب'!$G$4:$G$354,MATCH(82,'كشف الحساب'!$Q$4:$Q$354,0)),"")</f>
        <v/>
      </c>
      <c r="F291" s="132"/>
    </row>
    <row r="292" spans="1:6" ht="18" customHeight="1" x14ac:dyDescent="0.25">
      <c r="A292" s="143" t="str">
        <f>IFERROR(INDEX('كشف الحساب'!$A$4:$A$354,MATCH(83,'كشف الحساب'!$Q$4:$Q$354,0)),"")</f>
        <v/>
      </c>
      <c r="B292" s="133" t="str">
        <f>IFERROR(INDEX('كشف الحساب'!$B$4:$B$354,MATCH(83,'كشف الحساب'!$Q$4:$Q$354,0)),"")</f>
        <v/>
      </c>
      <c r="C292" s="132" t="str">
        <f>IFERROR(INDEX('كشف الحساب'!$C$4:$C$354,MATCH(83,'كشف الحساب'!$Q$4:$Q$354,0)),"")</f>
        <v/>
      </c>
      <c r="D292" s="134" t="str">
        <f>IFERROR(INDEX('كشف الحساب'!$D$4:$D$354,MATCH(83,'كشف الحساب'!$Q$4:$Q$354,0)),"")</f>
        <v/>
      </c>
      <c r="E292" s="135" t="str">
        <f>IFERROR(INDEX('كشف الحساب'!$G$4:$G$354,MATCH(83,'كشف الحساب'!$Q$4:$Q$354,0)),"")</f>
        <v/>
      </c>
      <c r="F292" s="132"/>
    </row>
    <row r="293" spans="1:6" ht="18" customHeight="1" x14ac:dyDescent="0.25">
      <c r="A293" s="143" t="str">
        <f>IFERROR(INDEX('كشف الحساب'!$A$4:$A$354,MATCH(84,'كشف الحساب'!$Q$4:$Q$354,0)),"")</f>
        <v/>
      </c>
      <c r="B293" s="133" t="str">
        <f>IFERROR(INDEX('كشف الحساب'!$B$4:$B$354,MATCH(84,'كشف الحساب'!$Q$4:$Q$354,0)),"")</f>
        <v/>
      </c>
      <c r="C293" s="132" t="str">
        <f>IFERROR(INDEX('كشف الحساب'!$C$4:$C$354,MATCH(84,'كشف الحساب'!$Q$4:$Q$354,0)),"")</f>
        <v/>
      </c>
      <c r="D293" s="134" t="str">
        <f>IFERROR(INDEX('كشف الحساب'!$D$4:$D$354,MATCH(84,'كشف الحساب'!$Q$4:$Q$354,0)),"")</f>
        <v/>
      </c>
      <c r="E293" s="135" t="str">
        <f>IFERROR(INDEX('كشف الحساب'!$G$4:$G$354,MATCH(84,'كشف الحساب'!$Q$4:$Q$354,0)),"")</f>
        <v/>
      </c>
      <c r="F293" s="132"/>
    </row>
    <row r="294" spans="1:6" ht="18" customHeight="1" x14ac:dyDescent="0.25">
      <c r="A294" s="143" t="str">
        <f>IFERROR(INDEX('كشف الحساب'!$A$4:$A$354,MATCH(85,'كشف الحساب'!$Q$4:$Q$354,0)),"")</f>
        <v/>
      </c>
      <c r="B294" s="133" t="str">
        <f>IFERROR(INDEX('كشف الحساب'!$B$4:$B$354,MATCH(85,'كشف الحساب'!$Q$4:$Q$354,0)),"")</f>
        <v/>
      </c>
      <c r="C294" s="132" t="str">
        <f>IFERROR(INDEX('كشف الحساب'!$C$4:$C$354,MATCH(85,'كشف الحساب'!$Q$4:$Q$354,0)),"")</f>
        <v/>
      </c>
      <c r="D294" s="134" t="str">
        <f>IFERROR(INDEX('كشف الحساب'!$D$4:$D$354,MATCH(85,'كشف الحساب'!$Q$4:$Q$354,0)),"")</f>
        <v/>
      </c>
      <c r="E294" s="135" t="str">
        <f>IFERROR(INDEX('كشف الحساب'!$G$4:$G$354,MATCH(85,'كشف الحساب'!$Q$4:$Q$354,0)),"")</f>
        <v/>
      </c>
      <c r="F294" s="132"/>
    </row>
    <row r="295" spans="1:6" ht="18" customHeight="1" x14ac:dyDescent="0.25">
      <c r="A295" s="143" t="str">
        <f>IFERROR(INDEX('كشف الحساب'!$A$4:$A$354,MATCH(86,'كشف الحساب'!$Q$4:$Q$354,0)),"")</f>
        <v/>
      </c>
      <c r="B295" s="133" t="str">
        <f>IFERROR(INDEX('كشف الحساب'!$B$4:$B$354,MATCH(86,'كشف الحساب'!$Q$4:$Q$354,0)),"")</f>
        <v/>
      </c>
      <c r="C295" s="132" t="str">
        <f>IFERROR(INDEX('كشف الحساب'!$C$4:$C$354,MATCH(86,'كشف الحساب'!$Q$4:$Q$354,0)),"")</f>
        <v/>
      </c>
      <c r="D295" s="134" t="str">
        <f>IFERROR(INDEX('كشف الحساب'!$D$4:$D$354,MATCH(86,'كشف الحساب'!$Q$4:$Q$354,0)),"")</f>
        <v/>
      </c>
      <c r="E295" s="135" t="str">
        <f>IFERROR(INDEX('كشف الحساب'!$G$4:$G$354,MATCH(86,'كشف الحساب'!$Q$4:$Q$354,0)),"")</f>
        <v/>
      </c>
      <c r="F295" s="132"/>
    </row>
    <row r="296" spans="1:6" ht="18" customHeight="1" x14ac:dyDescent="0.25">
      <c r="A296" s="143" t="str">
        <f>IFERROR(INDEX('كشف الحساب'!$A$4:$A$354,MATCH(87,'كشف الحساب'!$Q$4:$Q$354,0)),"")</f>
        <v/>
      </c>
      <c r="B296" s="133" t="str">
        <f>IFERROR(INDEX('كشف الحساب'!$B$4:$B$354,MATCH(87,'كشف الحساب'!$Q$4:$Q$354,0)),"")</f>
        <v/>
      </c>
      <c r="C296" s="132" t="str">
        <f>IFERROR(INDEX('كشف الحساب'!$C$4:$C$354,MATCH(87,'كشف الحساب'!$Q$4:$Q$354,0)),"")</f>
        <v/>
      </c>
      <c r="D296" s="134" t="str">
        <f>IFERROR(INDEX('كشف الحساب'!$D$4:$D$354,MATCH(87,'كشف الحساب'!$Q$4:$Q$354,0)),"")</f>
        <v/>
      </c>
      <c r="E296" s="135" t="str">
        <f>IFERROR(INDEX('كشف الحساب'!$G$4:$G$354,MATCH(87,'كشف الحساب'!$Q$4:$Q$354,0)),"")</f>
        <v/>
      </c>
      <c r="F296" s="132"/>
    </row>
    <row r="297" spans="1:6" ht="18" customHeight="1" x14ac:dyDescent="0.25">
      <c r="A297" s="143" t="str">
        <f>IFERROR(INDEX('كشف الحساب'!$A$4:$A$354,MATCH(88,'كشف الحساب'!$Q$4:$Q$354,0)),"")</f>
        <v/>
      </c>
      <c r="B297" s="133" t="str">
        <f>IFERROR(INDEX('كشف الحساب'!$B$4:$B$354,MATCH(88,'كشف الحساب'!$Q$4:$Q$354,0)),"")</f>
        <v/>
      </c>
      <c r="C297" s="132" t="str">
        <f>IFERROR(INDEX('كشف الحساب'!$C$4:$C$354,MATCH(88,'كشف الحساب'!$Q$4:$Q$354,0)),"")</f>
        <v/>
      </c>
      <c r="D297" s="134" t="str">
        <f>IFERROR(INDEX('كشف الحساب'!$D$4:$D$354,MATCH(88,'كشف الحساب'!$Q$4:$Q$354,0)),"")</f>
        <v/>
      </c>
      <c r="E297" s="135" t="str">
        <f>IFERROR(INDEX('كشف الحساب'!$G$4:$G$354,MATCH(88,'كشف الحساب'!$Q$4:$Q$354,0)),"")</f>
        <v/>
      </c>
      <c r="F297" s="132"/>
    </row>
    <row r="298" spans="1:6" ht="18" customHeight="1" x14ac:dyDescent="0.25">
      <c r="A298" s="143" t="str">
        <f>IFERROR(INDEX('كشف الحساب'!$A$4:$A$354,MATCH(89,'كشف الحساب'!$Q$4:$Q$354,0)),"")</f>
        <v/>
      </c>
      <c r="B298" s="133" t="str">
        <f>IFERROR(INDEX('كشف الحساب'!$B$4:$B$354,MATCH(89,'كشف الحساب'!$Q$4:$Q$354,0)),"")</f>
        <v/>
      </c>
      <c r="C298" s="132" t="str">
        <f>IFERROR(INDEX('كشف الحساب'!$C$4:$C$354,MATCH(89,'كشف الحساب'!$Q$4:$Q$354,0)),"")</f>
        <v/>
      </c>
      <c r="D298" s="134" t="str">
        <f>IFERROR(INDEX('كشف الحساب'!$D$4:$D$354,MATCH(89,'كشف الحساب'!$Q$4:$Q$354,0)),"")</f>
        <v/>
      </c>
      <c r="E298" s="135" t="str">
        <f>IFERROR(INDEX('كشف الحساب'!$G$4:$G$354,MATCH(89,'كشف الحساب'!$Q$4:$Q$354,0)),"")</f>
        <v/>
      </c>
      <c r="F298" s="132"/>
    </row>
    <row r="299" spans="1:6" ht="18" customHeight="1" x14ac:dyDescent="0.25">
      <c r="A299" s="143" t="str">
        <f>IFERROR(INDEX('كشف الحساب'!$A$4:$A$354,MATCH(90,'كشف الحساب'!$Q$4:$Q$354,0)),"")</f>
        <v/>
      </c>
      <c r="B299" s="133" t="str">
        <f>IFERROR(INDEX('كشف الحساب'!$B$4:$B$354,MATCH(90,'كشف الحساب'!$Q$4:$Q$354,0)),"")</f>
        <v/>
      </c>
      <c r="C299" s="132" t="str">
        <f>IFERROR(INDEX('كشف الحساب'!$C$4:$C$354,MATCH(90,'كشف الحساب'!$Q$4:$Q$354,0)),"")</f>
        <v/>
      </c>
      <c r="D299" s="134" t="str">
        <f>IFERROR(INDEX('كشف الحساب'!$D$4:$D$354,MATCH(90,'كشف الحساب'!$Q$4:$Q$354,0)),"")</f>
        <v/>
      </c>
      <c r="E299" s="135" t="str">
        <f>IFERROR(INDEX('كشف الحساب'!$G$4:$G$354,MATCH(90,'كشف الحساب'!$Q$4:$Q$354,0)),"")</f>
        <v/>
      </c>
      <c r="F299" s="132"/>
    </row>
    <row r="300" spans="1:6" ht="18" customHeight="1" x14ac:dyDescent="0.25">
      <c r="A300" s="143" t="str">
        <f>IFERROR(INDEX('كشف الحساب'!$A$4:$A$354,MATCH(91,'كشف الحساب'!$Q$4:$Q$354,0)),"")</f>
        <v/>
      </c>
      <c r="B300" s="133" t="str">
        <f>IFERROR(INDEX('كشف الحساب'!$B$4:$B$354,MATCH(91,'كشف الحساب'!$Q$4:$Q$354,0)),"")</f>
        <v/>
      </c>
      <c r="C300" s="132" t="str">
        <f>IFERROR(INDEX('كشف الحساب'!$C$4:$C$354,MATCH(91,'كشف الحساب'!$Q$4:$Q$354,0)),"")</f>
        <v/>
      </c>
      <c r="D300" s="134" t="str">
        <f>IFERROR(INDEX('كشف الحساب'!$D$4:$D$354,MATCH(91,'كشف الحساب'!$Q$4:$Q$354,0)),"")</f>
        <v/>
      </c>
      <c r="E300" s="135" t="str">
        <f>IFERROR(INDEX('كشف الحساب'!$G$4:$G$354,MATCH(91,'كشف الحساب'!$Q$4:$Q$354,0)),"")</f>
        <v/>
      </c>
      <c r="F300" s="132"/>
    </row>
    <row r="301" spans="1:6" ht="18" customHeight="1" x14ac:dyDescent="0.25">
      <c r="A301" s="143" t="str">
        <f>IFERROR(INDEX('كشف الحساب'!$A$4:$A$354,MATCH(92,'كشف الحساب'!$Q$4:$Q$354,0)),"")</f>
        <v/>
      </c>
      <c r="B301" s="133" t="str">
        <f>IFERROR(INDEX('كشف الحساب'!$B$4:$B$354,MATCH(92,'كشف الحساب'!$Q$4:$Q$354,0)),"")</f>
        <v/>
      </c>
      <c r="C301" s="132" t="str">
        <f>IFERROR(INDEX('كشف الحساب'!$C$4:$C$354,MATCH(92,'كشف الحساب'!$Q$4:$Q$354,0)),"")</f>
        <v/>
      </c>
      <c r="D301" s="134" t="str">
        <f>IFERROR(INDEX('كشف الحساب'!$D$4:$D$354,MATCH(92,'كشف الحساب'!$Q$4:$Q$354,0)),"")</f>
        <v/>
      </c>
      <c r="E301" s="135" t="str">
        <f>IFERROR(INDEX('كشف الحساب'!$G$4:$G$354,MATCH(92,'كشف الحساب'!$Q$4:$Q$354,0)),"")</f>
        <v/>
      </c>
      <c r="F301" s="132"/>
    </row>
    <row r="302" spans="1:6" ht="18" customHeight="1" x14ac:dyDescent="0.25">
      <c r="A302" s="143" t="str">
        <f>IFERROR(INDEX('كشف الحساب'!$A$4:$A$354,MATCH(93,'كشف الحساب'!$Q$4:$Q$354,0)),"")</f>
        <v/>
      </c>
      <c r="B302" s="133" t="str">
        <f>IFERROR(INDEX('كشف الحساب'!$B$4:$B$354,MATCH(93,'كشف الحساب'!$Q$4:$Q$354,0)),"")</f>
        <v/>
      </c>
      <c r="C302" s="132" t="str">
        <f>IFERROR(INDEX('كشف الحساب'!$C$4:$C$354,MATCH(93,'كشف الحساب'!$Q$4:$Q$354,0)),"")</f>
        <v/>
      </c>
      <c r="D302" s="134" t="str">
        <f>IFERROR(INDEX('كشف الحساب'!$D$4:$D$354,MATCH(93,'كشف الحساب'!$Q$4:$Q$354,0)),"")</f>
        <v/>
      </c>
      <c r="E302" s="135" t="str">
        <f>IFERROR(INDEX('كشف الحساب'!$G$4:$G$354,MATCH(93,'كشف الحساب'!$Q$4:$Q$354,0)),"")</f>
        <v/>
      </c>
      <c r="F302" s="132"/>
    </row>
    <row r="303" spans="1:6" ht="18" customHeight="1" x14ac:dyDescent="0.25">
      <c r="A303" s="143" t="str">
        <f>IFERROR(INDEX('كشف الحساب'!$A$4:$A$354,MATCH(94,'كشف الحساب'!$Q$4:$Q$354,0)),"")</f>
        <v/>
      </c>
      <c r="B303" s="133" t="str">
        <f>IFERROR(INDEX('كشف الحساب'!$B$4:$B$354,MATCH(94,'كشف الحساب'!$Q$4:$Q$354,0)),"")</f>
        <v/>
      </c>
      <c r="C303" s="132" t="str">
        <f>IFERROR(INDEX('كشف الحساب'!$C$4:$C$354,MATCH(94,'كشف الحساب'!$Q$4:$Q$354,0)),"")</f>
        <v/>
      </c>
      <c r="D303" s="134" t="str">
        <f>IFERROR(INDEX('كشف الحساب'!$D$4:$D$354,MATCH(94,'كشف الحساب'!$Q$4:$Q$354,0)),"")</f>
        <v/>
      </c>
      <c r="E303" s="135" t="str">
        <f>IFERROR(INDEX('كشف الحساب'!$G$4:$G$354,MATCH(94,'كشف الحساب'!$Q$4:$Q$354,0)),"")</f>
        <v/>
      </c>
      <c r="F303" s="132"/>
    </row>
    <row r="304" spans="1:6" ht="18" customHeight="1" x14ac:dyDescent="0.25">
      <c r="A304" s="143" t="str">
        <f>IFERROR(INDEX('كشف الحساب'!$A$4:$A$354,MATCH(95,'كشف الحساب'!$Q$4:$Q$354,0)),"")</f>
        <v/>
      </c>
      <c r="B304" s="133" t="str">
        <f>IFERROR(INDEX('كشف الحساب'!$B$4:$B$354,MATCH(95,'كشف الحساب'!$Q$4:$Q$354,0)),"")</f>
        <v/>
      </c>
      <c r="C304" s="132" t="str">
        <f>IFERROR(INDEX('كشف الحساب'!$C$4:$C$354,MATCH(95,'كشف الحساب'!$Q$4:$Q$354,0)),"")</f>
        <v/>
      </c>
      <c r="D304" s="134" t="str">
        <f>IFERROR(INDEX('كشف الحساب'!$D$4:$D$354,MATCH(95,'كشف الحساب'!$Q$4:$Q$354,0)),"")</f>
        <v/>
      </c>
      <c r="E304" s="135" t="str">
        <f>IFERROR(INDEX('كشف الحساب'!$G$4:$G$354,MATCH(95,'كشف الحساب'!$Q$4:$Q$354,0)),"")</f>
        <v/>
      </c>
      <c r="F304" s="132"/>
    </row>
    <row r="305" spans="1:6" ht="18" customHeight="1" x14ac:dyDescent="0.25">
      <c r="A305" s="143" t="str">
        <f>IFERROR(INDEX('كشف الحساب'!$A$4:$A$354,MATCH(96,'كشف الحساب'!$Q$4:$Q$354,0)),"")</f>
        <v/>
      </c>
      <c r="B305" s="133" t="str">
        <f>IFERROR(INDEX('كشف الحساب'!$B$4:$B$354,MATCH(96,'كشف الحساب'!$Q$4:$Q$354,0)),"")</f>
        <v/>
      </c>
      <c r="C305" s="132" t="str">
        <f>IFERROR(INDEX('كشف الحساب'!$C$4:$C$354,MATCH(96,'كشف الحساب'!$Q$4:$Q$354,0)),"")</f>
        <v/>
      </c>
      <c r="D305" s="134" t="str">
        <f>IFERROR(INDEX('كشف الحساب'!$D$4:$D$354,MATCH(96,'كشف الحساب'!$Q$4:$Q$354,0)),"")</f>
        <v/>
      </c>
      <c r="E305" s="135" t="str">
        <f>IFERROR(INDEX('كشف الحساب'!$G$4:$G$354,MATCH(96,'كشف الحساب'!$Q$4:$Q$354,0)),"")</f>
        <v/>
      </c>
      <c r="F305" s="132"/>
    </row>
    <row r="306" spans="1:6" ht="18" customHeight="1" x14ac:dyDescent="0.25">
      <c r="A306" s="143" t="str">
        <f>IFERROR(INDEX('كشف الحساب'!$A$4:$A$354,MATCH(97,'كشف الحساب'!$Q$4:$Q$354,0)),"")</f>
        <v/>
      </c>
      <c r="B306" s="133" t="str">
        <f>IFERROR(INDEX('كشف الحساب'!$B$4:$B$354,MATCH(97,'كشف الحساب'!$Q$4:$Q$354,0)),"")</f>
        <v/>
      </c>
      <c r="C306" s="132" t="str">
        <f>IFERROR(INDEX('كشف الحساب'!$C$4:$C$354,MATCH(97,'كشف الحساب'!$Q$4:$Q$354,0)),"")</f>
        <v/>
      </c>
      <c r="D306" s="134" t="str">
        <f>IFERROR(INDEX('كشف الحساب'!$D$4:$D$354,MATCH(97,'كشف الحساب'!$Q$4:$Q$354,0)),"")</f>
        <v/>
      </c>
      <c r="E306" s="135" t="str">
        <f>IFERROR(INDEX('كشف الحساب'!$G$4:$G$354,MATCH(97,'كشف الحساب'!$Q$4:$Q$354,0)),"")</f>
        <v/>
      </c>
      <c r="F306" s="132"/>
    </row>
    <row r="307" spans="1:6" ht="18" customHeight="1" x14ac:dyDescent="0.25">
      <c r="A307" s="143" t="str">
        <f>IFERROR(INDEX('كشف الحساب'!$A$4:$A$354,MATCH(98,'كشف الحساب'!$Q$4:$Q$354,0)),"")</f>
        <v/>
      </c>
      <c r="B307" s="133" t="str">
        <f>IFERROR(INDEX('كشف الحساب'!$B$4:$B$354,MATCH(98,'كشف الحساب'!$Q$4:$Q$354,0)),"")</f>
        <v/>
      </c>
      <c r="C307" s="132" t="str">
        <f>IFERROR(INDEX('كشف الحساب'!$C$4:$C$354,MATCH(98,'كشف الحساب'!$Q$4:$Q$354,0)),"")</f>
        <v/>
      </c>
      <c r="D307" s="134" t="str">
        <f>IFERROR(INDEX('كشف الحساب'!$D$4:$D$354,MATCH(98,'كشف الحساب'!$Q$4:$Q$354,0)),"")</f>
        <v/>
      </c>
      <c r="E307" s="135" t="str">
        <f>IFERROR(INDEX('كشف الحساب'!$G$4:$G$354,MATCH(98,'كشف الحساب'!$Q$4:$Q$354,0)),"")</f>
        <v/>
      </c>
      <c r="F307" s="132"/>
    </row>
    <row r="308" spans="1:6" ht="18" customHeight="1" x14ac:dyDescent="0.25">
      <c r="A308" s="143" t="str">
        <f>IFERROR(INDEX('كشف الحساب'!$A$4:$A$354,MATCH(99,'كشف الحساب'!$Q$4:$Q$354,0)),"")</f>
        <v/>
      </c>
      <c r="B308" s="133" t="str">
        <f>IFERROR(INDEX('كشف الحساب'!$B$4:$B$354,MATCH(99,'كشف الحساب'!$Q$4:$Q$354,0)),"")</f>
        <v/>
      </c>
      <c r="C308" s="132" t="str">
        <f>IFERROR(INDEX('كشف الحساب'!$C$4:$C$354,MATCH(99,'كشف الحساب'!$Q$4:$Q$354,0)),"")</f>
        <v/>
      </c>
      <c r="D308" s="134" t="str">
        <f>IFERROR(INDEX('كشف الحساب'!$D$4:$D$354,MATCH(99,'كشف الحساب'!$Q$4:$Q$354,0)),"")</f>
        <v/>
      </c>
      <c r="E308" s="135" t="str">
        <f>IFERROR(INDEX('كشف الحساب'!$G$4:$G$354,MATCH(99,'كشف الحساب'!$Q$4:$Q$354,0)),"")</f>
        <v/>
      </c>
      <c r="F308" s="132"/>
    </row>
    <row r="309" spans="1:6" ht="18" customHeight="1" x14ac:dyDescent="0.25">
      <c r="A309" s="143" t="str">
        <f>IFERROR(INDEX('كشف الحساب'!$A$4:$A$354,MATCH(100,'كشف الحساب'!$Q$4:$Q$354,0)),"")</f>
        <v/>
      </c>
      <c r="B309" s="133" t="str">
        <f>IFERROR(INDEX('كشف الحساب'!$B$4:$B$354,MATCH(100,'كشف الحساب'!$Q$4:$Q$354,0)),"")</f>
        <v/>
      </c>
      <c r="C309" s="132" t="str">
        <f>IFERROR(INDEX('كشف الحساب'!$C$4:$C$354,MATCH(100,'كشف الحساب'!$Q$4:$Q$354,0)),"")</f>
        <v/>
      </c>
      <c r="D309" s="134" t="str">
        <f>IFERROR(INDEX('كشف الحساب'!$D$4:$D$354,MATCH(100,'كشف الحساب'!$Q$4:$Q$354,0)),"")</f>
        <v/>
      </c>
      <c r="E309" s="135" t="str">
        <f>IFERROR(INDEX('كشف الحساب'!$G$4:$G$354,MATCH(100,'كشف الحساب'!$Q$4:$Q$354,0)),"")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56"/>
  <sheetViews>
    <sheetView rightToLeft="1" tabSelected="1" zoomScaleNormal="100" workbookViewId="0">
      <pane ySplit="3" topLeftCell="A245" activePane="bottomLeft" state="frozen"/>
      <selection pane="bottomLeft" activeCell="H255" sqref="H255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IFERROR(IF(J179="",D2,J179),D2)+IF(E180="",0,E180)-IF(OR(G180="أبو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IFERROR(IF(J180="",D2,J180),D2)+IF(E181="",0,E181)-IF(OR(G181="أبو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IFERROR(IF(J181="",D2,J181),D2)+IF(E182="",0,E182)-IF(OR(G182="أبو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IFERROR(IF(J182="",D2,J182),D2)+IF(E183="",0,E183)-IF(OR(G183="أبو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IFERROR(IF(J183="",D2,J183),D2)+IF(E184="",0,E184)-IF(OR(G184="أبو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IFERROR(IF(J184="",D2,J184),D2)+IF(E185="",0,E185)-IF(OR(G185="أبو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IFERROR(IF(J185="",D2,J185),D2)+IF(E186="",0,E186)-IF(OR(G186="أبو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IFERROR(IF(J186="",D2,J186),D2)+IF(E187="",0,E187)-IF(OR(G187="أبو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IFERROR(IF(J187="",D2,J187),D2)+IF(E188="",0,E188)-IF(OR(G188="أبو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IFERROR(IF(J188="",D2,J188),D2)+IF(E189="",0,E189)-IF(OR(G189="أبو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IFERROR(IF(J189="",D2,J189),D2)+IF(E190="",0,E190)-IF(OR(G190="أبو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IFERROR(IF(J190="",D2,J190),D2)+IF(E191="",0,E191)-IF(OR(G191="أبو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IFERROR(IF(J191="",D2,J191),D2)+IF(E192="",0,E192)-IF(OR(G192="أبو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IFERROR(IF(J192="",D2,J192),D2)+IF(E193="",0,E193)-IF(OR(G193="أبو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IFERROR(IF(J193="",D2,J193),D2)+IF(E194="",0,E194)-IF(OR(G194="أبو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IFERROR(IF(J194="",D2,J194),D2)+IF(E195="",0,E195)-IF(OR(G195="أبو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IFERROR(IF(J195="",D2,J195),D2)+IF(E196="",0,E196)-IF(OR(G196="أبو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IFERROR(IF(J196="",D2,J196),D2)+IF(E197="",0,E197)-IF(OR(G197="أبو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IFERROR(IF(J197="",D2,J197),D2)+IF(E198="",0,E198)-IF(OR(G198="أبو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IFERROR(IF(J198="",D2,J198),D2)+IF(E199="",0,E199)-IF(OR(G199="أبو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IFERROR(IF(J199="",D2,J199),D2)+IF(E200="",0,E200)-IF(OR(G200="أبو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IFERROR(IF(J200="",D2,J200),D2)+IF(E201="",0,E201)-IF(OR(G201="أبو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IFERROR(IF(J201="",D2,J201),D2)+IF(E202="",0,E202)-IF(OR(G202="أبو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IFERROR(IF(J202="",D2,J202),D2)+IF(E203="",0,E203)-IF(OR(G203="أبو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80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IFERROR(IF(J203="",D2,J203),D2)+IF(E204="",0,E204)-IF(OR(G204="أبو اسحاق",G204="أبو آدم",G204="أبو اسحاق ",G204="أبو آدم "),0,IF(D204="",0,D204)))</f>
        <v>523.04500000000007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IFERROR(IF(J204="",D2,J204),D2)+IF(E205="",0,E205)-IF(OR(G205="أبو اسحاق",G205="أبو آدم",G205="أبو اسحاق ",G205="أبو آدم "),0,IF(D205="",0,D205)))</f>
        <v>526.04500000000007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IFERROR(IF(J205="",D2,J205),D2)+IF(E206="",0,E206)-IF(OR(G206="أبو اسحاق",G206="أبو آدم",G206="أبو اسحاق ",G206="أبو آدم "),0,IF(D206="",0,D206)))</f>
        <v>536.04500000000007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IFERROR(IF(J206="",D2,J206),D2)+IF(E207="",0,E207)-IF(OR(G207="أبو اسحاق",G207="أبو آدم",G207="أبو اسحاق ",G207="أبو آدم "),0,IF(D207="",0,D207)))</f>
        <v>546.04500000000007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IFERROR(IF(J207="",D2,J207),D2)+IF(E208="",0,E208)-IF(OR(G208="أبو اسحاق",G208="أبو آدم",G208="أبو اسحاق ",G208="أبو آدم "),0,IF(D208="",0,D208)))</f>
        <v>556.04500000000007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IFERROR(IF(J208="",D2,J208),D2)+IF(E209="",0,E209)-IF(OR(G209="أبو اسحاق",G209="أبو آدم",G209="أبو اسحاق ",G209="أبو آدم "),0,IF(D209="",0,D209)))</f>
        <v>565.04500000000007</v>
      </c>
      <c r="K209" s="168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IFERROR(IF(J209="",D2,J209),D2)+IF(E210="",0,E210)-IF(OR(G210="أبو اسحاق",G210="أبو آدم",G210="أبو اسحاق ",G210="أبو آدم "),0,IF(D210="",0,D210)))</f>
        <v>571.04500000000007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IFERROR(IF(J210="",D2,J210),D2)+IF(E211="",0,E211)-IF(OR(G211="أبو اسحاق",G211="أبو آدم",G211="أبو اسحاق ",G211="أبو آدم "),0,IF(D211="",0,D211)))</f>
        <v>601.04500000000007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IFERROR(IF(J211="",D2,J211),D2)+IF(E212="",0,E212)-IF(OR(G212="أبو اسحاق",G212="أبو آدم",G212="أبو اسحاق ",G212="أبو آدم "),0,IF(D212="",0,D212)))</f>
        <v>608.54500000000007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IFERROR(IF(J212="",D2,J212),D2)+IF(E213="",0,E213)-IF(OR(G213="أبو اسحاق",G213="أبو آدم",G213="أبو اسحاق ",G213="أبو آدم "),0,IF(D213="",0,D213)))</f>
        <v>611.04500000000007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IFERROR(IF(J213="",D2,J213),D2)+IF(E214="",0,E214)-IF(OR(G214="أبو اسحاق",G214="أبو آدم",G214="أبو اسحاق ",G214="أبو آدم "),0,IF(D214="",0,D214)))</f>
        <v>618.54500000000007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IFERROR(IF(J214="",D2,J214),D2)+IF(E215="",0,E215)-IF(OR(G215="أبو اسحاق",G215="أبو آدم",G215="أبو اسحاق ",G215="أبو آدم "),0,IF(D215="",0,D215)))</f>
        <v>593.54500000000007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IFERROR(IF(J215="",D2,J215),D2)+IF(E216="",0,E216)-IF(OR(G216="أبو اسحاق",G216="أبو آدم",G216="أبو اسحاق ",G216="أبو آدم "),0,IF(D216="",0,D216)))</f>
        <v>836.54500000000007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IFERROR(IF(J216="",D2,J216),D2)+IF(E217="",0,E217)-IF(OR(G217="أبو اسحاق",G217="أبو آدم",G217="أبو اسحاق ",G217="أبو آدم "),0,IF(D217="",0,D217)))</f>
        <v>817.79500000000007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IFERROR(IF(J217="",D2,J217),D2)+IF(E218="",0,E218)-IF(OR(G218="أبو اسحاق",G218="أبو آدم",G218="أبو اسحاق ",G218="أبو آدم "),0,IF(D218="",0,D218)))</f>
        <v>797.79500000000007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IFERROR(IF(J218="",D2,J218),D2)+IF(E219="",0,E219)-IF(OR(G219="أبو اسحاق",G219="أبو آدم",G219="أبو اسحاق ",G219="أبو آدم "),0,IF(D219="",0,D219)))</f>
        <v>799.29500000000007</v>
      </c>
      <c r="K219" s="168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IFERROR(IF(J219="",D2,J219),D2)+IF(E220="",0,E220)-IF(OR(G220="أبو اسحاق",G220="أبو آدم",G220="أبو اسحاق ",G220="أبو آدم "),0,IF(D220="",0,D220)))</f>
        <v>800.29500000000007</v>
      </c>
      <c r="K220" s="169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IFERROR(IF(J220="",D2,J220),D2)+IF(E221="",0,E221)-IF(OR(G221="أبو اسحاق",G221="أبو آدم",G221="أبو اسحاق ",G221="أبو آدم "),0,IF(D221="",0,D221)))</f>
        <v>802.79500000000007</v>
      </c>
      <c r="K221" s="169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IFERROR(IF(J221="",D2,J221),D2)+IF(E222="",0,E222)-IF(OR(G222="أبو اسحاق",G222="أبو آدم",G222="أبو اسحاق ",G222="أبو آدم "),0,IF(D222="",0,D222)))</f>
        <v>875.29500000000007</v>
      </c>
      <c r="K222" s="169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IFERROR(IF(J222="",D2,J222),D2)+IF(E223="",0,E223)-IF(OR(G223="أبو اسحاق",G223="أبو آدم",G223="أبو اسحاق ",G223="أبو آدم "),0,IF(D223="",0,D223)))</f>
        <v>876.79500000000007</v>
      </c>
      <c r="K223" s="170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IFERROR(IF(J223="",D2,J223),D2)+IF(E224="",0,E224)-IF(OR(G224="أبو اسحاق",G224="أبو آدم",G224="أبو اسحاق ",G224="أبو آدم "),0,IF(D224="",0,D224)))</f>
        <v>921.79500000000007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IFERROR(IF(J224="",D2,J224),D2)+IF(E225="",0,E225)-IF(OR(G225="أبو اسحاق",G225="أبو آدم",G225="أبو اسحاق ",G225="أبو آدم "),0,IF(D225="",0,D225)))</f>
        <v>926.79500000000007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IFERROR(IF(J225="",D2,J225),D2)+IF(E226="",0,E226)-IF(OR(G226="أبو اسحاق",G226="أبو آدم",G226="أبو اسحاق ",G226="أبو آدم "),0,IF(D226="",0,D226)))</f>
        <v>936.79500000000007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IFERROR(IF(J226="",D2,J226),D2)+IF(E227="",0,E227)-IF(OR(G227="أبو اسحاق",G227="أبو آدم",G227="أبو اسحاق ",G227="أبو آدم "),0,IF(D227="",0,D227)))</f>
        <v>956.79500000000007</v>
      </c>
      <c r="K227" s="168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IFERROR(IF(J227="",D2,J227),D2)+IF(E228="",0,E228)-IF(OR(G228="أبو اسحاق",G228="أبو آدم",G228="أبو اسحاق ",G228="أبو آدم "),0,IF(D228="",0,D228)))</f>
        <v>965.79500000000007</v>
      </c>
      <c r="K228" s="169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IFERROR(IF(J228="",D2,J228),D2)+IF(E229="",0,E229)-IF(OR(G229="أبو اسحاق",G229="أبو آدم",G229="أبو اسحاق ",G229="أبو آدم "),0,IF(D229="",0,D229)))</f>
        <v>989.79500000000007</v>
      </c>
      <c r="K229" s="169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IFERROR(IF(J229="",D2,J229),D2)+IF(E230="",0,E230)-IF(OR(G230="أبو اسحاق",G230="أبو آدم",G230="أبو اسحاق ",G230="أبو آدم "),0,IF(D230="",0,D230)))</f>
        <v>1002.7950000000001</v>
      </c>
      <c r="K230" s="170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IFERROR(IF(J230="",D2,J230),D2)+IF(E231="",0,E231)-IF(OR(G231="أبو اسحاق",G231="أبو آدم",G231="أبو اسحاق ",G231="أبو آدم "),0,IF(D231="",0,D231)))</f>
        <v>999.29500000000007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IFERROR(IF(J231="",D2,J231),D2)+IF(E232="",0,E232)-IF(OR(G232="أبو اسحاق",G232="أبو آدم",G232="أبو اسحاق ",G232="أبو آدم "),0,IF(D232="",0,D232)))</f>
        <v>967.79500000000007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IFERROR(IF(J232="",D2,J232),D2)+IF(E233="",0,E233)-IF(OR(G233="أبو اسحاق",G233="أبو آدم",G233="أبو اسحاق ",G233="أبو آدم "),0,IF(D233="",0,D233)))</f>
        <v>977.79500000000007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IFERROR(IF(J233="",D2,J233),D2)+IF(E234="",0,E234)-IF(OR(G234="أبو اسحاق",G234="أبو آدم",G234="أبو اسحاق ",G234="أبو آدم "),0,IF(D234="",0,D234)))</f>
        <v>987.54500000000007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IFERROR(IF(J234="",D2,J234),D2)+IF(E235="",0,E235)-IF(OR(G235="أبو اسحاق",G235="أبو آدم",G235="أبو اسحاق ",G235="أبو آدم "),0,IF(D235="",0,D235)))</f>
        <v>1007.5450000000001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IFERROR(IF(J235="",D2,J235),D2)+IF(E236="",0,E236)-IF(OR(G236="أبو اسحاق",G236="أبو آدم",G236="أبو اسحاق ",G236="أبو آدم "),0,IF(D236="",0,D236)))</f>
        <v>1022.5450000000001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IFERROR(IF(J236="",D2,J236),D2)+IF(E237="",0,E237)-IF(OR(G237="أبو اسحاق",G237="أبو آدم",G237="أبو اسحاق ",G237="أبو آدم "),0,IF(D237="",0,D237)))</f>
        <v>1282.5450000000001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IFERROR(IF(J237="",D2,J237),D2)+IF(E238="",0,E238)-IF(OR(G238="أبو اسحاق",G238="أبو آدم",G238="أبو اسحاق ",G238="أبو آدم "),0,IF(D238="",0,D238)))</f>
        <v>1284.0450000000001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IFERROR(IF(J238="",D2,J238),D2)+IF(E239="",0,E239)-IF(OR(G239="أبو اسحاق",G239="أبو آدم",G239="أبو اسحاق ",G239="أبو آدم "),0,IF(D239="",0,D239)))</f>
        <v>1285.5450000000001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IFERROR(IF(J239="",D2,J239),D2)+IF(E240="",0,E240)-IF(OR(G240="أبو اسحاق",G240="أبو آدم",G240="أبو اسحاق ",G240="أبو آدم "),0,IF(D240="",0,D240)))</f>
        <v>1465.5450000000001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IFERROR(IF(J240="",D2,J240),D2)+IF(E241="",0,E241)-IF(OR(G241="أبو اسحاق",G241="أبو آدم",G241="أبو اسحاق ",G241="أبو آدم "),0,IF(D241="",0,D241)))</f>
        <v>1459.5450000000001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IFERROR(IF(J241="",D2,J241),D2)+IF(E242="",0,E242)-IF(OR(G242="أبو اسحاق",G242="أبو آدم",G242="أبو اسحاق ",G242="أبو آدم "),0,IF(D242="",0,D242)))</f>
        <v>1497.0450000000001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IFERROR(IF(J242="",D2,J242),D2)+IF(E243="",0,E243)-IF(OR(G243="أبو اسحاق",G243="أبو آدم",G243="أبو اسحاق ",G243="أبو آدم "),0,IF(D243="",0,D243)))</f>
        <v>1477.0450000000001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IFERROR(IF(J243="",D2,J243),D2)+IF(E244="",0,E244)-IF(OR(G244="أبو اسحاق",G244="أبو آدم",G244="أبو اسحاق ",G244="أبو آدم "),0,IF(D244="",0,D244)))</f>
        <v>1417.0450000000001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>
        <v>46284</v>
      </c>
      <c r="B245" s="26"/>
      <c r="C245" s="27" t="s">
        <v>503</v>
      </c>
      <c r="D245" s="28">
        <v>490</v>
      </c>
      <c r="E245" s="29"/>
      <c r="F245" s="30" t="s">
        <v>38</v>
      </c>
      <c r="G245" s="31" t="s">
        <v>39</v>
      </c>
      <c r="H245" s="32" t="s">
        <v>40</v>
      </c>
      <c r="I245" s="33"/>
      <c r="J245" s="34">
        <f>IF(AND(D245="",E245="",A245="",B245="",C245=""),"", IFERROR(IF(J244="",D2,J244),D2)+IF(E245="",0,E245)-IF(OR(G245="أبو اسحاق",G245="أبو آدم",G245="أبو اسحاق ",G245="أبو آدم "),0,IF(D245="",0,D245)))</f>
        <v>927.04500000000007</v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>
        <f>IF(OR($A245="",$F245="أحد الشركاء",AND($D245="",$E245="")),"",SUMPRODUCT(($A$4:$A245&lt;&gt;"")*($F$4:$F245&lt;&gt;"أحد الشركاء")*((($D$4:$D245&lt;&gt;"")+($E$4:$E245&lt;&gt;""))&gt;0)))</f>
        <v>221</v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>
        <v>46296</v>
      </c>
      <c r="B246" s="36" t="s">
        <v>504</v>
      </c>
      <c r="C246" s="37" t="s">
        <v>505</v>
      </c>
      <c r="D246" s="38"/>
      <c r="E246" s="39">
        <v>290</v>
      </c>
      <c r="F246" s="136" t="s">
        <v>38</v>
      </c>
      <c r="G246" s="40"/>
      <c r="H246" s="41" t="s">
        <v>40</v>
      </c>
      <c r="I246" s="42"/>
      <c r="J246" s="43">
        <f>IF(AND(D246="",E246="",A246="",B246="",C246=""),"", IFERROR(IF(J245="",D2,J245),D2)+IF(E246="",0,E246)-IF(OR(G246="أبو اسحاق",G246="أبو آدم",G246="أبو اسحاق ",G246="أبو آدم "),0,IF(D246="",0,D246)))</f>
        <v>1217.0450000000001</v>
      </c>
      <c r="K246" s="44"/>
      <c r="L246" t="str">
        <f>IF(E245&gt;0,COUNTIF($E$4:E245,"&gt;0"),"")</f>
        <v/>
      </c>
      <c r="M246">
        <f>IF(AND(D245&gt;0,G245="المحفظة"),COUNTIFS($D$4:D245,"&gt;"&amp;0,$G$4:G245,"المحفظة"),"")</f>
        <v>51</v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>
        <f>IF(OR($A246="",$F246="أحد الشركاء",AND($D246="",$E246="")),"",SUMPRODUCT(($A$4:$A246&lt;&gt;"")*($F$4:$F246&lt;&gt;"أحد الشركاء")*((($D$4:$D246&lt;&gt;"")+($E$4:$E246&lt;&gt;""))&gt;0)))</f>
        <v>222</v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>
        <v>46297</v>
      </c>
      <c r="B247" s="26" t="s">
        <v>506</v>
      </c>
      <c r="C247" s="27" t="s">
        <v>507</v>
      </c>
      <c r="D247" s="28"/>
      <c r="E247" s="29">
        <v>105</v>
      </c>
      <c r="F247" s="30" t="s">
        <v>38</v>
      </c>
      <c r="G247" s="31"/>
      <c r="H247" s="32" t="s">
        <v>50</v>
      </c>
      <c r="I247" s="33"/>
      <c r="J247" s="34">
        <f>IF(AND(D247="",E247="",A247="",B247="",C247=""),"", IFERROR(IF(J246="",D2,J246),D2)+IF(E247="",0,E247)-IF(OR(G247="أبو اسحاق",G247="أبو آدم",G247="أبو اسحاق ",G247="أبو آدم "),0,IF(D247="",0,D247)))</f>
        <v>1322.0450000000001</v>
      </c>
      <c r="K247" s="35"/>
      <c r="L247">
        <f>IF(E246&gt;0,COUNTIF($E$4:E246,"&gt;0"),"")</f>
        <v>168</v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>
        <f>IF(OR($A247="",$F247="أحد الشركاء",AND($D247="",$E247="")),"",SUMPRODUCT(($A$4:$A247&lt;&gt;"")*($F$4:$F247&lt;&gt;"أحد الشركاء")*((($D$4:$D247&lt;&gt;"")+($E$4:$E247&lt;&gt;""))&gt;0)))</f>
        <v>223</v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>
        <v>46297</v>
      </c>
      <c r="B248" s="36" t="s">
        <v>508</v>
      </c>
      <c r="C248" s="37" t="s">
        <v>509</v>
      </c>
      <c r="D248" s="38"/>
      <c r="E248" s="39">
        <v>48</v>
      </c>
      <c r="F248" s="136" t="s">
        <v>38</v>
      </c>
      <c r="G248" s="40"/>
      <c r="H248" s="41" t="s">
        <v>40</v>
      </c>
      <c r="I248" s="42"/>
      <c r="J248" s="43">
        <f>IF(AND(D248="",E248="",A248="",B248="",C248=""),"", IFERROR(IF(J247="",D2,J247),D2)+IF(E248="",0,E248)-IF(OR(G248="أبو اسحاق",G248="أبو آدم",G248="أبو اسحاق ",G248="أبو آدم "),0,IF(D248="",0,D248)))</f>
        <v>1370.0450000000001</v>
      </c>
      <c r="K248" s="44"/>
      <c r="L248">
        <f>IF(E247&gt;0,COUNTIF($E$4:E247,"&gt;0"),"")</f>
        <v>169</v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>
        <f>IF(OR($A248="",$F248="أحد الشركاء",AND($D248="",$E248="")),"",SUMPRODUCT(($A$4:$A248&lt;&gt;"")*($F$4:$F248&lt;&gt;"أحد الشركاء")*((($D$4:$D248&lt;&gt;"")+($E$4:$E248&lt;&gt;""))&gt;0)))</f>
        <v>224</v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>
        <v>46297</v>
      </c>
      <c r="B249" s="26"/>
      <c r="C249" s="27" t="s">
        <v>510</v>
      </c>
      <c r="D249" s="28">
        <v>21</v>
      </c>
      <c r="E249" s="29"/>
      <c r="F249" s="30" t="s">
        <v>38</v>
      </c>
      <c r="G249" s="31" t="s">
        <v>39</v>
      </c>
      <c r="H249" s="32" t="s">
        <v>40</v>
      </c>
      <c r="I249" s="33"/>
      <c r="J249" s="34">
        <f>IF(AND(D249="",E249="",A249="",B249="",C249=""),"", IFERROR(IF(J248="",D2,J248),D2)+IF(E249="",0,E249)-IF(OR(G249="أبو اسحاق",G249="أبو آدم",G249="أبو اسحاق ",G249="أبو آدم "),0,IF(D249="",0,D249)))</f>
        <v>1349.0450000000001</v>
      </c>
      <c r="K249" s="35"/>
      <c r="L249">
        <f>IF(E248&gt;0,COUNTIF($E$4:E248,"&gt;0"),"")</f>
        <v>170</v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>
        <f>IF(OR($A249="",$F249="أحد الشركاء",AND($D249="",$E249="")),"",SUMPRODUCT(($A$4:$A249&lt;&gt;"")*($F$4:$F249&lt;&gt;"أحد الشركاء")*((($D$4:$D249&lt;&gt;"")+($E$4:$E249&lt;&gt;""))&gt;0)))</f>
        <v>225</v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>
        <v>46298</v>
      </c>
      <c r="B250" s="36" t="s">
        <v>512</v>
      </c>
      <c r="C250" s="37" t="s">
        <v>511</v>
      </c>
      <c r="D250" s="38"/>
      <c r="E250" s="39">
        <v>10</v>
      </c>
      <c r="F250" s="136" t="s">
        <v>38</v>
      </c>
      <c r="G250" s="40"/>
      <c r="H250" s="41" t="s">
        <v>40</v>
      </c>
      <c r="I250" s="42"/>
      <c r="J250" s="43">
        <f>IF(AND(D250="",E250="",A250="",B250="",C250=""),"", IFERROR(IF(J249="",D2,J249),D2)+IF(E250="",0,E250)-IF(OR(G250="أبو اسحاق",G250="أبو آدم",G250="أبو اسحاق ",G250="أبو آدم "),0,IF(D250="",0,D250)))</f>
        <v>1359.0450000000001</v>
      </c>
      <c r="K250" s="44"/>
      <c r="L250" t="str">
        <f>IF(E249&gt;0,COUNTIF($E$4:E249,"&gt;0"),"")</f>
        <v/>
      </c>
      <c r="M250">
        <f>IF(AND(D249&gt;0,G249="المحفظة"),COUNTIFS($D$4:D249,"&gt;"&amp;0,$G$4:G249,"المحفظة"),"")</f>
        <v>52</v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>
        <f>IF(OR($A250="",$F250="أحد الشركاء",AND($D250="",$E250="")),"",SUMPRODUCT(($A$4:$A250&lt;&gt;"")*($F$4:$F250&lt;&gt;"أحد الشركاء")*((($D$4:$D250&lt;&gt;"")+($E$4:$E250&lt;&gt;""))&gt;0)))</f>
        <v>226</v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>
        <v>46299</v>
      </c>
      <c r="B251" s="26" t="s">
        <v>513</v>
      </c>
      <c r="C251" s="27" t="s">
        <v>459</v>
      </c>
      <c r="D251" s="28"/>
      <c r="E251" s="29">
        <v>26.25</v>
      </c>
      <c r="F251" s="30" t="s">
        <v>38</v>
      </c>
      <c r="G251" s="31"/>
      <c r="H251" s="32" t="s">
        <v>40</v>
      </c>
      <c r="I251" s="33"/>
      <c r="J251" s="34">
        <f>IF(AND(D251="",E251="",A251="",B251="",C251=""),"", IFERROR(IF(J250="",D2,J250),D2)+IF(E251="",0,E251)-IF(OR(G251="أبو اسحاق",G251="أبو آدم",G251="أبو اسحاق ",G251="أبو آدم "),0,IF(D251="",0,D251)))</f>
        <v>1385.2950000000001</v>
      </c>
      <c r="K251" s="35"/>
      <c r="L251">
        <f>IF(E250&gt;0,COUNTIF($E$4:E250,"&gt;0"),"")</f>
        <v>171</v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>
        <f>IF(OR($A251="",$F251="أحد الشركاء",AND($D251="",$E251="")),"",SUMPRODUCT(($A$4:$A251&lt;&gt;"")*($F$4:$F251&lt;&gt;"أحد الشركاء")*((($D$4:$D251&lt;&gt;"")+($E$4:$E251&lt;&gt;""))&gt;0)))</f>
        <v>227</v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>
        <v>46299</v>
      </c>
      <c r="B252" s="36"/>
      <c r="C252" s="37" t="s">
        <v>514</v>
      </c>
      <c r="D252" s="38">
        <v>24</v>
      </c>
      <c r="E252" s="39"/>
      <c r="F252" s="136" t="s">
        <v>38</v>
      </c>
      <c r="G252" s="40" t="s">
        <v>39</v>
      </c>
      <c r="H252" s="41" t="s">
        <v>40</v>
      </c>
      <c r="I252" s="42"/>
      <c r="J252" s="43">
        <f>IF(AND(D252="",E252="",A252="",B252="",C252=""),"", IFERROR(IF(J251="",D2,J251),D2)+IF(E252="",0,E252)-IF(OR(G252="أبو اسحاق",G252="أبو آدم",G252="أبو اسحاق ",G252="أبو آدم "),0,IF(D252="",0,D252)))</f>
        <v>1361.2950000000001</v>
      </c>
      <c r="K252" s="44"/>
      <c r="L252">
        <f>IF(E251&gt;0,COUNTIF($E$4:E251,"&gt;0"),"")</f>
        <v>172</v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>
        <f>IF(OR($A252="",$F252="أحد الشركاء",AND($D252="",$E252="")),"",SUMPRODUCT(($A$4:$A252&lt;&gt;"")*($F$4:$F252&lt;&gt;"أحد الشركاء")*((($D$4:$D252&lt;&gt;"")+($E$4:$E252&lt;&gt;""))&gt;0)))</f>
        <v>228</v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>
        <v>46300</v>
      </c>
      <c r="B253" s="26" t="s">
        <v>515</v>
      </c>
      <c r="C253" s="27" t="s">
        <v>516</v>
      </c>
      <c r="D253" s="28"/>
      <c r="E253" s="29">
        <v>10</v>
      </c>
      <c r="F253" s="30" t="s">
        <v>38</v>
      </c>
      <c r="G253" s="31"/>
      <c r="H253" s="32" t="s">
        <v>40</v>
      </c>
      <c r="I253" s="33"/>
      <c r="J253" s="34">
        <f>IF(AND(D253="",E253="",A253="",B253="",C253=""),"", IFERROR(IF(J252="",D2,J252),D2)+IF(E253="",0,E253)-IF(OR(G253="أبو اسحاق",G253="أبو آدم",G253="أبو اسحاق ",G253="أبو آدم "),0,IF(D253="",0,D253)))</f>
        <v>1371.2950000000001</v>
      </c>
      <c r="K253" s="35"/>
      <c r="L253" t="str">
        <f>IF(E252&gt;0,COUNTIF($E$4:E252,"&gt;0"),"")</f>
        <v/>
      </c>
      <c r="M253">
        <f>IF(AND(D252&gt;0,G252="المحفظة"),COUNTIFS($D$4:D252,"&gt;"&amp;0,$G$4:G252,"المحفظة"),"")</f>
        <v>53</v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>
        <f>IF(OR($A253="",$F253="أحد الشركاء",AND($D253="",$E253="")),"",SUMPRODUCT(($A$4:$A253&lt;&gt;"")*($F$4:$F253&lt;&gt;"أحد الشركاء")*((($D$4:$D253&lt;&gt;"")+($E$4:$E253&lt;&gt;""))&gt;0)))</f>
        <v>229</v>
      </c>
      <c r="Q253" t="str">
        <f>IF(OR($A253="",$F253&lt;&gt;"أحد الشركاء"),"",COUNTIFS($A$4:A253,"&lt;&gt;",$F$4:F253,"أحد الشركاء"))</f>
        <v/>
      </c>
    </row>
    <row r="254" spans="1:17" ht="18.75" customHeight="1" x14ac:dyDescent="0.25">
      <c r="A254" s="25">
        <v>46300</v>
      </c>
      <c r="B254" s="36" t="s">
        <v>517</v>
      </c>
      <c r="C254" s="37" t="s">
        <v>459</v>
      </c>
      <c r="D254" s="38"/>
      <c r="E254" s="39">
        <v>50</v>
      </c>
      <c r="F254" s="136" t="s">
        <v>38</v>
      </c>
      <c r="G254" s="40"/>
      <c r="H254" s="41" t="s">
        <v>40</v>
      </c>
      <c r="I254" s="42"/>
      <c r="J254" s="43">
        <f>IF(AND(D254="",E254="",A254="",B254="",C254=""),"", IFERROR(IF(J253="",D2,J253),D2)+IF(E254="",0,E254)-IF(OR(G254="أبو اسحاق",G254="أبو آدم",G254="أبو اسحاق ",G254="أبو آدم "),0,IF(D254="",0,D254)))</f>
        <v>1421.2950000000001</v>
      </c>
      <c r="K254" s="44"/>
      <c r="L254">
        <f>IF(E253&gt;0,COUNTIF($E$4:E253,"&gt;0"),"")</f>
        <v>173</v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الحساب'!$F$2="الكل",YEAR(A254)=IFERROR(VALUE('طباعة كشف الحساب'!$F$2),0)),A254&lt;&gt;""),IFERROR(MAX($N$4:N253),0)+1,"")</f>
        <v/>
      </c>
      <c r="O254" t="str">
        <f>IF(AND(D253&gt;0,F253="أحد الشركاء"),COUNTIFS($D$4:D253,"&gt;"&amp;0,$F$4:F253,"أحد الشركاء"),"")</f>
        <v/>
      </c>
      <c r="P254">
        <f>IF(OR($A254="",$F254="أحد الشركاء",AND($D254="",$E254="")),"",SUMPRODUCT(($A$4:$A254&lt;&gt;"")*($F$4:$F254&lt;&gt;"أحد الشركاء")*((($D$4:$D254&lt;&gt;"")+($E$4:$E254&lt;&gt;""))&gt;0)))</f>
        <v>230</v>
      </c>
      <c r="Q254" t="str">
        <f>IF(OR($A254="",$F254&lt;&gt;"أحد الشركاء"),"",COUNTIFS($A$4:A254,"&lt;&gt;",$F$4:F254,"أحد الشركاء"))</f>
        <v/>
      </c>
    </row>
    <row r="255" spans="1:17" ht="18.75" customHeight="1" x14ac:dyDescent="0.25">
      <c r="A255" s="25"/>
      <c r="B255" s="26"/>
      <c r="C255" s="27"/>
      <c r="D255" s="28"/>
      <c r="E255" s="29"/>
      <c r="F255" s="30"/>
      <c r="G255" s="31"/>
      <c r="H255" s="32"/>
      <c r="I255" s="33"/>
      <c r="J255" s="34" t="str">
        <f>IF(AND(D255="",E255="",A255="",B255="",C255=""),"", IFERROR(IF(J254="",D2,J254),D2)+IF(E255="",0,E255)-IF(OR(G255="أبو اسحاق",G255="أبو آدم",G255="أبو اسحاق ",G255="أبو آدم "),0,IF(D255="",0,D255)))</f>
        <v/>
      </c>
      <c r="K255" s="35"/>
      <c r="L255">
        <f>IF(E254&gt;0,COUNTIF($E$4:E254,"&gt;0"),"")</f>
        <v>174</v>
      </c>
      <c r="M255" t="str">
        <f>IF(AND(D254&gt;0,G254="المحفظة"),COUNTIFS($D$4:D254,"&gt;"&amp;0,$G$4:G254,"المحفظة"),"")</f>
        <v/>
      </c>
      <c r="N255" t="str">
        <f>IF(AND(OR('طباعة كشف الحساب'!$C$2="الكل",MONTH(A255)=IFERROR(MATCH('طباعة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الحساب'!$F$2="الكل",YEAR(A255)=IFERROR(VALUE('طباعة كشف الحساب'!$F$2),0)),A255&lt;&gt;""),IFERROR(MAX($N$4:N254),0)+1,"")</f>
        <v/>
      </c>
      <c r="O255" t="str">
        <f>IF(AND(D254&gt;0,F254="أحد الشركاء"),COUNTIFS($D$4:D254,"&gt;"&amp;0,$F$4:F254,"أحد الشركاء"),"")</f>
        <v/>
      </c>
      <c r="P255" t="str">
        <f>IF(OR($A255="",$F255="أحد الشركاء",AND($D255="",$E255="")),"",SUMPRODUCT(($A$4:$A255&lt;&gt;"")*($F$4:$F255&lt;&gt;"أحد الشركاء")*((($D$4:$D255&lt;&gt;"")+($E$4:$E255&lt;&gt;""))&gt;0)))</f>
        <v/>
      </c>
      <c r="Q255" t="str">
        <f>IF(OR($A255="",$F255&lt;&gt;"أحد الشركاء"),"",COUNTIFS($A$4:A255,"&lt;&gt;",$F$4:F255,"أحد الشركاء"))</f>
        <v/>
      </c>
    </row>
    <row r="256" spans="1:17" ht="18.75" customHeight="1" x14ac:dyDescent="0.25">
      <c r="A256" s="25"/>
      <c r="B256" s="36"/>
      <c r="C256" s="37"/>
      <c r="D256" s="38"/>
      <c r="E256" s="39"/>
      <c r="F256" s="136"/>
      <c r="G256" s="40"/>
      <c r="H256" s="41"/>
      <c r="I256" s="42"/>
      <c r="J256" s="43" t="str">
        <f>IF(AND(D256="",E256="",A256="",B256="",C256=""),"", IFERROR(IF(J255="",D2,J255),D2)+IF(E256="",0,E256)-IF(OR(G256="أبو اسحاق",G256="أبو آدم",G256="أبو اسحاق ",G256="أبو آدم "),0,IF(D256="",0,D256)))</f>
        <v/>
      </c>
      <c r="K256" s="44"/>
      <c r="L256" t="str">
        <f>IF(E255&gt;0,COUNTIF($E$4:E255,"&gt;0"),"")</f>
        <v/>
      </c>
      <c r="M256" t="str">
        <f>IF(AND(D255&gt;0,G255="المحفظة"),COUNTIFS($D$4:D255,"&gt;"&amp;0,$G$4:G255,"المحفظة"),"")</f>
        <v/>
      </c>
      <c r="N256" t="str">
        <f>IF(AND(OR('طباعة كشف الحساب'!$C$2="الكل",MONTH(A256)=IFERROR(MATCH('طباعة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الحساب'!$F$2="الكل",YEAR(A256)=IFERROR(VALUE('طباعة كشف الحساب'!$F$2),0)),A256&lt;&gt;""),IFERROR(MAX($N$4:N255),0)+1,"")</f>
        <v/>
      </c>
      <c r="O256" t="str">
        <f>IF(AND(D255&gt;0,F255="أحد الشركاء"),COUNTIFS($D$4:D255,"&gt;"&amp;0,$F$4:F255,"أحد الشركاء"),"")</f>
        <v/>
      </c>
      <c r="P256" t="str">
        <f>IF(OR($A256="",$F256="أحد الشركاء",AND($D256="",$E256="")),"",SUMPRODUCT(($A$4:$A256&lt;&gt;"")*($F$4:$F256&lt;&gt;"أحد الشركاء")*((($D$4:$D256&lt;&gt;"")+($E$4:$E256&lt;&gt;""))&gt;0)))</f>
        <v/>
      </c>
      <c r="Q256" t="str">
        <f>IF(OR($A256="",$F256&lt;&gt;"أحد الشركاء"),"",COUNTIFS($A$4:A256,"&lt;&gt;",$F$4:F256,"أحد الشركاء"))</f>
        <v/>
      </c>
    </row>
    <row r="257" spans="1:17" ht="18.75" customHeight="1" x14ac:dyDescent="0.25">
      <c r="A257" s="25"/>
      <c r="B257" s="26"/>
      <c r="C257" s="27"/>
      <c r="D257" s="28"/>
      <c r="E257" s="29"/>
      <c r="F257" s="30"/>
      <c r="G257" s="31"/>
      <c r="H257" s="32"/>
      <c r="I257" s="33"/>
      <c r="J257" s="34" t="str">
        <f>IF(AND(D257="",E257="",A257="",B257="",C257=""),"", IFERROR(IF(J256="",D2,J256),D2)+IF(E257="",0,E257)-IF(OR(G257="أبو اسحاق",G257="أبو آدم",G257="أبو اسحاق ",G257="أبو آدم "),0,IF(D257="",0,D257)))</f>
        <v/>
      </c>
      <c r="K257" s="35"/>
      <c r="L257" t="str">
        <f>IF(E256&gt;0,COUNTIF($E$4:E256,"&gt;0"),"")</f>
        <v/>
      </c>
      <c r="M257" t="str">
        <f>IF(AND(D256&gt;0,G256="المحفظة"),COUNTIFS($D$4:D256,"&gt;"&amp;0,$G$4:G256,"المحفظة"),"")</f>
        <v/>
      </c>
      <c r="N257" t="str">
        <f>IF(AND(OR('طباعة كشف الحساب'!$C$2="الكل",MONTH(A257)=IFERROR(MATCH('طباعة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الحساب'!$F$2="الكل",YEAR(A257)=IFERROR(VALUE('طباعة كشف الحساب'!$F$2),0)),A257&lt;&gt;""),IFERROR(MAX($N$4:N256),0)+1,"")</f>
        <v/>
      </c>
      <c r="O257" t="str">
        <f>IF(AND(D256&gt;0,F256="أحد الشركاء"),COUNTIFS($D$4:D256,"&gt;"&amp;0,$F$4:F256,"أحد الشركاء"),"")</f>
        <v/>
      </c>
      <c r="P257" t="str">
        <f>IF(OR($A257="",$F257="أحد الشركاء",AND($D257="",$E257="")),"",SUMPRODUCT(($A$4:$A257&lt;&gt;"")*($F$4:$F257&lt;&gt;"أحد الشركاء")*((($D$4:$D257&lt;&gt;"")+($E$4:$E257&lt;&gt;""))&gt;0)))</f>
        <v/>
      </c>
      <c r="Q257" t="str">
        <f>IF(OR($A257="",$F257&lt;&gt;"أحد الشركاء"),"",COUNTIFS($A$4:A257,"&lt;&gt;",$F$4:F257,"أحد الشركاء"))</f>
        <v/>
      </c>
    </row>
    <row r="258" spans="1:17" ht="18.75" customHeight="1" x14ac:dyDescent="0.25">
      <c r="A258" s="25"/>
      <c r="B258" s="36"/>
      <c r="C258" s="37"/>
      <c r="D258" s="38"/>
      <c r="E258" s="39"/>
      <c r="F258" s="136"/>
      <c r="G258" s="40"/>
      <c r="H258" s="41"/>
      <c r="I258" s="42"/>
      <c r="J258" s="43" t="str">
        <f>IF(AND(D258="",E258="",A258="",B258="",C258=""),"", IFERROR(IF(J257="",D2,J257),D2)+IF(E258="",0,E258)-IF(OR(G258="أبو اسحاق",G258="أبو آدم",G258="أبو اسحاق ",G258="أبو آدم "),0,IF(D258="",0,D258)))</f>
        <v/>
      </c>
      <c r="K258" s="44"/>
      <c r="L258" t="str">
        <f>IF(E257&gt;0,COUNTIF($E$4:E257,"&gt;0"),"")</f>
        <v/>
      </c>
      <c r="M258" t="str">
        <f>IF(AND(D257&gt;0,G257="المحفظة"),COUNTIFS($D$4:D257,"&gt;"&amp;0,$G$4:G257,"المحفظة"),"")</f>
        <v/>
      </c>
      <c r="N258" t="str">
        <f>IF(AND(OR('طباعة كشف الحساب'!$C$2="الكل",MONTH(A258)=IFERROR(MATCH('طباعة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الحساب'!$F$2="الكل",YEAR(A258)=IFERROR(VALUE('طباعة كشف الحساب'!$F$2),0)),A258&lt;&gt;""),IFERROR(MAX($N$4:N257),0)+1,"")</f>
        <v/>
      </c>
      <c r="O258" t="str">
        <f>IF(AND(D257&gt;0,F257="أحد الشركاء"),COUNTIFS($D$4:D257,"&gt;"&amp;0,$F$4:F257,"أحد الشركاء"),"")</f>
        <v/>
      </c>
      <c r="P258" t="str">
        <f>IF(OR($A258="",$F258="أحد الشركاء",AND($D258="",$E258="")),"",SUMPRODUCT(($A$4:$A258&lt;&gt;"")*($F$4:$F258&lt;&gt;"أحد الشركاء")*((($D$4:$D258&lt;&gt;"")+($E$4:$E258&lt;&gt;""))&gt;0)))</f>
        <v/>
      </c>
      <c r="Q258" t="str">
        <f>IF(OR($A258="",$F258&lt;&gt;"أحد الشركاء"),"",COUNTIFS($A$4:A258,"&lt;&gt;",$F$4:F258,"أحد الشركاء"))</f>
        <v/>
      </c>
    </row>
    <row r="259" spans="1:17" ht="18.75" customHeight="1" x14ac:dyDescent="0.25">
      <c r="A259" s="25"/>
      <c r="B259" s="26"/>
      <c r="C259" s="27"/>
      <c r="D259" s="28"/>
      <c r="E259" s="29"/>
      <c r="F259" s="30"/>
      <c r="G259" s="31"/>
      <c r="H259" s="32"/>
      <c r="I259" s="33"/>
      <c r="J259" s="34" t="str">
        <f>IF(AND(D259="",E259="",A259="",B259="",C259=""),"", IFERROR(IF(J258="",D2,J258),D2)+IF(E259="",0,E259)-IF(OR(G259="أبو اسحاق",G259="أبو آدم",G259="أبو اسحاق ",G259="أبو آدم "),0,IF(D259="",0,D259)))</f>
        <v/>
      </c>
      <c r="K259" s="35"/>
      <c r="L259" t="str">
        <f>IF(E258&gt;0,COUNTIF($E$4:E258,"&gt;0"),"")</f>
        <v/>
      </c>
      <c r="M259" t="str">
        <f>IF(AND(D258&gt;0,G258="المحفظة"),COUNTIFS($D$4:D258,"&gt;"&amp;0,$G$4:G258,"المحفظة"),"")</f>
        <v/>
      </c>
      <c r="N259" t="str">
        <f>IF(AND(OR('طباعة كشف الحساب'!$C$2="الكل",MONTH(A259)=IFERROR(MATCH('طباعة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الحساب'!$F$2="الكل",YEAR(A259)=IFERROR(VALUE('طباعة كشف الحساب'!$F$2),0)),A259&lt;&gt;""),IFERROR(MAX($N$4:N258),0)+1,"")</f>
        <v/>
      </c>
      <c r="O259" t="str">
        <f>IF(AND(D258&gt;0,F258="أحد الشركاء"),COUNTIFS($D$4:D258,"&gt;"&amp;0,$F$4:F258,"أحد الشركاء"),"")</f>
        <v/>
      </c>
      <c r="P259" t="str">
        <f>IF(OR($A259="",$F259="أحد الشركاء",AND($D259="",$E259="")),"",SUMPRODUCT(($A$4:$A259&lt;&gt;"")*($F$4:$F259&lt;&gt;"أحد الشركاء")*((($D$4:$D259&lt;&gt;"")+($E$4:$E259&lt;&gt;""))&gt;0)))</f>
        <v/>
      </c>
      <c r="Q259" t="str">
        <f>IF(OR($A259="",$F259&lt;&gt;"أحد الشركاء"),"",COUNTIFS($A$4:A259,"&lt;&gt;",$F$4:F259,"أحد الشركاء"))</f>
        <v/>
      </c>
    </row>
    <row r="260" spans="1:17" ht="18.75" customHeight="1" x14ac:dyDescent="0.25">
      <c r="A260" s="25"/>
      <c r="B260" s="36"/>
      <c r="C260" s="37"/>
      <c r="D260" s="38"/>
      <c r="E260" s="39"/>
      <c r="F260" s="136"/>
      <c r="G260" s="40"/>
      <c r="H260" s="41"/>
      <c r="I260" s="42"/>
      <c r="J260" s="43" t="str">
        <f>IF(AND(D260="",E260="",A260="",B260="",C260=""),"", IFERROR(IF(J259="",D2,J259),D2)+IF(E260="",0,E260)-IF(OR(G260="أبو اسحاق",G260="أبو آدم",G260="أبو اسحاق ",G260="أبو آدم "),0,IF(D260="",0,D260)))</f>
        <v/>
      </c>
      <c r="K260" s="44"/>
      <c r="L260" t="str">
        <f>IF(E259&gt;0,COUNTIF($E$4:E259,"&gt;0"),"")</f>
        <v/>
      </c>
      <c r="M260" t="str">
        <f>IF(AND(D259&gt;0,G259="المحفظة"),COUNTIFS($D$4:D259,"&gt;"&amp;0,$G$4:G259,"المحفظة"),"")</f>
        <v/>
      </c>
      <c r="N260" t="str">
        <f>IF(AND(OR('طباعة كشف الحساب'!$C$2="الكل",MONTH(A260)=IFERROR(MATCH('طباعة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الحساب'!$F$2="الكل",YEAR(A260)=IFERROR(VALUE('طباعة كشف الحساب'!$F$2),0)),A260&lt;&gt;""),IFERROR(MAX($N$4:N259),0)+1,"")</f>
        <v/>
      </c>
      <c r="O260" t="str">
        <f>IF(AND(D259&gt;0,F259="أحد الشركاء"),COUNTIFS($D$4:D259,"&gt;"&amp;0,$F$4:F259,"أحد الشركاء"),"")</f>
        <v/>
      </c>
      <c r="P260" t="str">
        <f>IF(OR($A260="",$F260="أحد الشركاء",AND($D260="",$E260="")),"",SUMPRODUCT(($A$4:$A260&lt;&gt;"")*($F$4:$F260&lt;&gt;"أحد الشركاء")*((($D$4:$D260&lt;&gt;"")+($E$4:$E260&lt;&gt;""))&gt;0)))</f>
        <v/>
      </c>
      <c r="Q260" t="str">
        <f>IF(OR($A260="",$F260&lt;&gt;"أحد الشركاء"),"",COUNTIFS($A$4:A260,"&lt;&gt;",$F$4:F260,"أحد الشركاء"))</f>
        <v/>
      </c>
    </row>
    <row r="261" spans="1:17" ht="18.75" customHeight="1" x14ac:dyDescent="0.25">
      <c r="A261" s="25"/>
      <c r="B261" s="26"/>
      <c r="C261" s="27"/>
      <c r="D261" s="28"/>
      <c r="E261" s="29"/>
      <c r="F261" s="30"/>
      <c r="G261" s="31"/>
      <c r="H261" s="32"/>
      <c r="I261" s="33"/>
      <c r="J261" s="34" t="str">
        <f>IF(AND(D261="",E261="",A261="",B261="",C261=""),"", IFERROR(IF(J260="",D2,J260),D2)+IF(E261="",0,E261)-IF(OR(G261="أبو اسحاق",G261="أبو آدم",G261="أبو اسحاق ",G261="أبو آدم "),0,IF(D261="",0,D261)))</f>
        <v/>
      </c>
      <c r="K261" s="35"/>
      <c r="L261" t="str">
        <f>IF(E260&gt;0,COUNTIF($E$4:E260,"&gt;0"),"")</f>
        <v/>
      </c>
      <c r="M261" t="str">
        <f>IF(AND(D260&gt;0,G260="المحفظة"),COUNTIFS($D$4:D260,"&gt;"&amp;0,$G$4:G260,"المحفظة"),"")</f>
        <v/>
      </c>
      <c r="N261" t="str">
        <f>IF(AND(OR('طباعة كشف الحساب'!$C$2="الكل",MONTH(A261)=IFERROR(MATCH('طباعة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الحساب'!$F$2="الكل",YEAR(A261)=IFERROR(VALUE('طباعة كشف الحساب'!$F$2),0)),A261&lt;&gt;""),IFERROR(MAX($N$4:N260),0)+1,"")</f>
        <v/>
      </c>
      <c r="O261" t="str">
        <f>IF(AND(D260&gt;0,F260="أحد الشركاء"),COUNTIFS($D$4:D260,"&gt;"&amp;0,$F$4:F260,"أحد الشركاء"),"")</f>
        <v/>
      </c>
      <c r="P261" t="str">
        <f>IF(OR($A261="",$F261="أحد الشركاء",AND($D261="",$E261="")),"",SUMPRODUCT(($A$4:$A261&lt;&gt;"")*($F$4:$F261&lt;&gt;"أحد الشركاء")*((($D$4:$D261&lt;&gt;"")+($E$4:$E261&lt;&gt;""))&gt;0)))</f>
        <v/>
      </c>
      <c r="Q261" t="str">
        <f>IF(OR($A261="",$F261&lt;&gt;"أحد الشركاء"),"",COUNTIFS($A$4:A261,"&lt;&gt;",$F$4:F261,"أحد الشركاء"))</f>
        <v/>
      </c>
    </row>
    <row r="262" spans="1:17" ht="18.75" customHeight="1" x14ac:dyDescent="0.25">
      <c r="A262" s="25"/>
      <c r="B262" s="36"/>
      <c r="C262" s="37"/>
      <c r="D262" s="38"/>
      <c r="E262" s="39"/>
      <c r="F262" s="136"/>
      <c r="G262" s="40"/>
      <c r="H262" s="41"/>
      <c r="I262" s="42"/>
      <c r="J262" s="43" t="str">
        <f>IF(AND(D262="",E262="",A262="",B262="",C262=""),"", IFERROR(IF(J261="",D2,J261),D2)+IF(E262="",0,E262)-IF(OR(G262="أبو اسحاق",G262="أبو آدم",G262="أبو اسحاق ",G262="أبو آدم "),0,IF(D262="",0,D262)))</f>
        <v/>
      </c>
      <c r="K262" s="44"/>
      <c r="L262" t="str">
        <f>IF(E261&gt;0,COUNTIF($E$4:E261,"&gt;0"),"")</f>
        <v/>
      </c>
      <c r="M262" t="str">
        <f>IF(AND(D261&gt;0,G261="المحفظة"),COUNTIFS($D$4:D261,"&gt;"&amp;0,$G$4:G261,"المحفظة"),"")</f>
        <v/>
      </c>
      <c r="N262" t="str">
        <f>IF(AND(OR('طباعة كشف الحساب'!$C$2="الكل",MONTH(A262)=IFERROR(MATCH('طباعة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الحساب'!$F$2="الكل",YEAR(A262)=IFERROR(VALUE('طباعة كشف الحساب'!$F$2),0)),A262&lt;&gt;""),IFERROR(MAX($N$4:N261),0)+1,"")</f>
        <v/>
      </c>
      <c r="O262" t="str">
        <f>IF(AND(D261&gt;0,F261="أحد الشركاء"),COUNTIFS($D$4:D261,"&gt;"&amp;0,$F$4:F261,"أحد الشركاء"),"")</f>
        <v/>
      </c>
      <c r="P262" t="str">
        <f>IF(OR($A262="",$F262="أحد الشركاء",AND($D262="",$E262="")),"",SUMPRODUCT(($A$4:$A262&lt;&gt;"")*($F$4:$F262&lt;&gt;"أحد الشركاء")*((($D$4:$D262&lt;&gt;"")+($E$4:$E262&lt;&gt;""))&gt;0)))</f>
        <v/>
      </c>
      <c r="Q262" t="str">
        <f>IF(OR($A262="",$F262&lt;&gt;"أحد الشركاء"),"",COUNTIFS($A$4:A262,"&lt;&gt;",$F$4:F262,"أحد الشركاء"))</f>
        <v/>
      </c>
    </row>
    <row r="263" spans="1:17" ht="18.75" customHeight="1" x14ac:dyDescent="0.25">
      <c r="A263" s="25"/>
      <c r="B263" s="26"/>
      <c r="C263" s="27"/>
      <c r="D263" s="28"/>
      <c r="E263" s="29"/>
      <c r="F263" s="30"/>
      <c r="G263" s="31"/>
      <c r="H263" s="32"/>
      <c r="I263" s="33"/>
      <c r="J263" s="34" t="str">
        <f>IF(AND(D263="",E263="",A263="",B263="",C263=""),"", IFERROR(IF(J262="",D2,J262),D2)+IF(E263="",0,E263)-IF(OR(G263="أبو اسحاق",G263="أبو آدم",G263="أبو اسحاق ",G263="أبو آدم "),0,IF(D263="",0,D263)))</f>
        <v/>
      </c>
      <c r="K263" s="35"/>
      <c r="L263" t="str">
        <f>IF(E262&gt;0,COUNTIF($E$4:E262,"&gt;0"),"")</f>
        <v/>
      </c>
      <c r="M263" t="str">
        <f>IF(AND(D262&gt;0,G262="المحفظة"),COUNTIFS($D$4:D262,"&gt;"&amp;0,$G$4:G262,"المحفظة"),"")</f>
        <v/>
      </c>
      <c r="N263" t="str">
        <f>IF(AND(OR('طباعة كشف الحساب'!$C$2="الكل",MONTH(A263)=IFERROR(MATCH('طباعة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الحساب'!$F$2="الكل",YEAR(A263)=IFERROR(VALUE('طباعة كشف الحساب'!$F$2),0)),A263&lt;&gt;""),IFERROR(MAX($N$4:N262),0)+1,"")</f>
        <v/>
      </c>
      <c r="O263" t="str">
        <f>IF(AND(D262&gt;0,F262="أحد الشركاء"),COUNTIFS($D$4:D262,"&gt;"&amp;0,$F$4:F262,"أحد الشركاء"),"")</f>
        <v/>
      </c>
      <c r="P263" t="str">
        <f>IF(OR($A263="",$F263="أحد الشركاء",AND($D263="",$E263="")),"",SUMPRODUCT(($A$4:$A263&lt;&gt;"")*($F$4:$F263&lt;&gt;"أحد الشركاء")*((($D$4:$D263&lt;&gt;"")+($E$4:$E263&lt;&gt;""))&gt;0)))</f>
        <v/>
      </c>
      <c r="Q263" t="str">
        <f>IF(OR($A263="",$F263&lt;&gt;"أحد الشركاء"),"",COUNTIFS($A$4:A263,"&lt;&gt;",$F$4:F263,"أحد الشركاء"))</f>
        <v/>
      </c>
    </row>
    <row r="264" spans="1:17" ht="18.75" customHeight="1" x14ac:dyDescent="0.25">
      <c r="A264" s="25"/>
      <c r="B264" s="36"/>
      <c r="C264" s="37"/>
      <c r="D264" s="38"/>
      <c r="E264" s="39"/>
      <c r="F264" s="136"/>
      <c r="G264" s="40"/>
      <c r="H264" s="41"/>
      <c r="I264" s="42"/>
      <c r="J264" s="43" t="str">
        <f>IF(AND(D264="",E264="",A264="",B264="",C264=""),"", IFERROR(IF(J263="",D2,J263),D2)+IF(E264="",0,E264)-IF(OR(G264="أبو اسحاق",G264="أبو آدم",G264="أبو اسحاق ",G264="أبو آدم "),0,IF(D264="",0,D264)))</f>
        <v/>
      </c>
      <c r="K264" s="44"/>
      <c r="L264" t="str">
        <f>IF(E263&gt;0,COUNTIF($E$4:E263,"&gt;0"),"")</f>
        <v/>
      </c>
      <c r="M264" t="str">
        <f>IF(AND(D263&gt;0,G263="المحفظة"),COUNTIFS($D$4:D263,"&gt;"&amp;0,$G$4:G263,"المحفظة"),"")</f>
        <v/>
      </c>
      <c r="N264" t="str">
        <f>IF(AND(OR('طباعة كشف الحساب'!$C$2="الكل",MONTH(A264)=IFERROR(MATCH('طباعة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الحساب'!$F$2="الكل",YEAR(A264)=IFERROR(VALUE('طباعة كشف الحساب'!$F$2),0)),A264&lt;&gt;""),IFERROR(MAX($N$4:N263),0)+1,"")</f>
        <v/>
      </c>
      <c r="O264" t="str">
        <f>IF(AND(D263&gt;0,F263="أحد الشركاء"),COUNTIFS($D$4:D263,"&gt;"&amp;0,$F$4:F263,"أحد الشركاء"),"")</f>
        <v/>
      </c>
      <c r="P264" t="str">
        <f>IF(OR($A264="",$F264="أحد الشركاء",AND($D264="",$E264="")),"",SUMPRODUCT(($A$4:$A264&lt;&gt;"")*($F$4:$F264&lt;&gt;"أحد الشركاء")*((($D$4:$D264&lt;&gt;"")+($E$4:$E264&lt;&gt;""))&gt;0)))</f>
        <v/>
      </c>
      <c r="Q264" t="str">
        <f>IF(OR($A264="",$F264&lt;&gt;"أحد الشركاء"),"",COUNTIFS($A$4:A264,"&lt;&gt;",$F$4:F264,"أحد الشركاء"))</f>
        <v/>
      </c>
    </row>
    <row r="265" spans="1:17" ht="18.75" customHeight="1" x14ac:dyDescent="0.25">
      <c r="A265" s="25"/>
      <c r="B265" s="26"/>
      <c r="C265" s="27"/>
      <c r="D265" s="28"/>
      <c r="E265" s="29"/>
      <c r="F265" s="30"/>
      <c r="G265" s="31"/>
      <c r="H265" s="32"/>
      <c r="I265" s="33"/>
      <c r="J265" s="34" t="str">
        <f>IF(AND(D265="",E265="",A265="",B265="",C265=""),"", IFERROR(IF(J264="",D2,J264),D2)+IF(E265="",0,E265)-IF(OR(G265="أبو اسحاق",G265="أبو آدم",G265="أبو اسحاق ",G265="أبو آدم "),0,IF(D265="",0,D265)))</f>
        <v/>
      </c>
      <c r="K265" s="35"/>
      <c r="L265" t="str">
        <f>IF(E264&gt;0,COUNTIF($E$4:E264,"&gt;0"),"")</f>
        <v/>
      </c>
      <c r="M265" t="str">
        <f>IF(AND(D264&gt;0,G264="المحفظة"),COUNTIFS($D$4:D264,"&gt;"&amp;0,$G$4:G264,"المحفظة"),"")</f>
        <v/>
      </c>
      <c r="N265" t="str">
        <f>IF(AND(OR('طباعة كشف الحساب'!$C$2="الكل",MONTH(A265)=IFERROR(MATCH('طباعة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الحساب'!$F$2="الكل",YEAR(A265)=IFERROR(VALUE('طباعة كشف الحساب'!$F$2),0)),A265&lt;&gt;""),IFERROR(MAX($N$4:N264),0)+1,"")</f>
        <v/>
      </c>
      <c r="O265" t="str">
        <f>IF(AND(D264&gt;0,F264="أحد الشركاء"),COUNTIFS($D$4:D264,"&gt;"&amp;0,$F$4:F264,"أحد الشركاء"),"")</f>
        <v/>
      </c>
      <c r="P265" t="str">
        <f>IF(OR($A265="",$F265="أحد الشركاء",AND($D265="",$E265="")),"",SUMPRODUCT(($A$4:$A265&lt;&gt;"")*($F$4:$F265&lt;&gt;"أحد الشركاء")*((($D$4:$D265&lt;&gt;"")+($E$4:$E265&lt;&gt;""))&gt;0)))</f>
        <v/>
      </c>
      <c r="Q265" t="str">
        <f>IF(OR($A265="",$F265&lt;&gt;"أحد الشركاء"),"",COUNTIFS($A$4:A265,"&lt;&gt;",$F$4:F265,"أحد الشركاء"))</f>
        <v/>
      </c>
    </row>
    <row r="266" spans="1:17" ht="18.75" customHeight="1" x14ac:dyDescent="0.25">
      <c r="A266" s="25"/>
      <c r="B266" s="36"/>
      <c r="C266" s="37"/>
      <c r="D266" s="38"/>
      <c r="E266" s="39"/>
      <c r="F266" s="136"/>
      <c r="G266" s="40"/>
      <c r="H266" s="41"/>
      <c r="I266" s="42"/>
      <c r="J266" s="43" t="str">
        <f>IF(AND(D266="",E266="",A266="",B266="",C266=""),"", IFERROR(IF(J265="",D2,J265),D2)+IF(E266="",0,E266)-IF(OR(G266="أبو اسحاق",G266="أبو آدم",G266="أبو اسحاق ",G266="أبو آدم "),0,IF(D266="",0,D266)))</f>
        <v/>
      </c>
      <c r="K266" s="44"/>
      <c r="L266" t="str">
        <f>IF(E265&gt;0,COUNTIF($E$4:E265,"&gt;0"),"")</f>
        <v/>
      </c>
      <c r="M266" t="str">
        <f>IF(AND(D265&gt;0,G265="المحفظة"),COUNTIFS($D$4:D265,"&gt;"&amp;0,$G$4:G265,"المحفظة"),"")</f>
        <v/>
      </c>
      <c r="N266" t="str">
        <f>IF(AND(OR('طباعة كشف الحساب'!$C$2="الكل",MONTH(A266)=IFERROR(MATCH('طباعة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الحساب'!$F$2="الكل",YEAR(A266)=IFERROR(VALUE('طباعة كشف الحساب'!$F$2),0)),A266&lt;&gt;""),IFERROR(MAX($N$4:N265),0)+1,"")</f>
        <v/>
      </c>
      <c r="O266" t="str">
        <f>IF(AND(D265&gt;0,F265="أحد الشركاء"),COUNTIFS($D$4:D265,"&gt;"&amp;0,$F$4:F265,"أحد الشركاء"),"")</f>
        <v/>
      </c>
      <c r="P266" t="str">
        <f>IF(OR($A266="",$F266="أحد الشركاء",AND($D266="",$E266="")),"",SUMPRODUCT(($A$4:$A266&lt;&gt;"")*($F$4:$F266&lt;&gt;"أحد الشركاء")*((($D$4:$D266&lt;&gt;"")+($E$4:$E266&lt;&gt;""))&gt;0)))</f>
        <v/>
      </c>
      <c r="Q266" t="str">
        <f>IF(OR($A266="",$F266&lt;&gt;"أحد الشركاء"),"",COUNTIFS($A$4:A266,"&lt;&gt;",$F$4:F266,"أحد الشركاء"))</f>
        <v/>
      </c>
    </row>
    <row r="267" spans="1:17" ht="18.75" customHeight="1" x14ac:dyDescent="0.25">
      <c r="A267" s="25"/>
      <c r="B267" s="26"/>
      <c r="C267" s="27"/>
      <c r="D267" s="28"/>
      <c r="E267" s="29"/>
      <c r="F267" s="30"/>
      <c r="G267" s="31"/>
      <c r="H267" s="32"/>
      <c r="I267" s="33"/>
      <c r="J267" s="34" t="str">
        <f>IF(AND(D267="",E267="",A267="",B267="",C267=""),"", IFERROR(IF(J266="",D2,J266),D2)+IF(E267="",0,E267)-IF(OR(G267="أبو اسحاق",G267="أبو آدم",G267="أبو اسحاق ",G267="أبو آدم "),0,IF(D267="",0,D267)))</f>
        <v/>
      </c>
      <c r="K267" s="35"/>
      <c r="L267" t="str">
        <f>IF(E266&gt;0,COUNTIF($E$4:E266,"&gt;0"),"")</f>
        <v/>
      </c>
      <c r="M267" t="str">
        <f>IF(AND(D266&gt;0,G266="المحفظة"),COUNTIFS($D$4:D266,"&gt;"&amp;0,$G$4:G266,"المحفظة"),"")</f>
        <v/>
      </c>
      <c r="N267" t="str">
        <f>IF(AND(OR('طباعة كشف الحساب'!$C$2="الكل",MONTH(A267)=IFERROR(MATCH('طباعة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الحساب'!$F$2="الكل",YEAR(A267)=IFERROR(VALUE('طباعة كشف الحساب'!$F$2),0)),A267&lt;&gt;""),IFERROR(MAX($N$4:N266),0)+1,"")</f>
        <v/>
      </c>
      <c r="O267" t="str">
        <f>IF(AND(D266&gt;0,F266="أحد الشركاء"),COUNTIFS($D$4:D266,"&gt;"&amp;0,$F$4:F266,"أحد الشركاء"),"")</f>
        <v/>
      </c>
      <c r="P267" t="str">
        <f>IF(OR($A267="",$F267="أحد الشركاء",AND($D267="",$E267="")),"",SUMPRODUCT(($A$4:$A267&lt;&gt;"")*($F$4:$F267&lt;&gt;"أحد الشركاء")*((($D$4:$D267&lt;&gt;"")+($E$4:$E267&lt;&gt;""))&gt;0)))</f>
        <v/>
      </c>
      <c r="Q267" t="str">
        <f>IF(OR($A267="",$F267&lt;&gt;"أحد الشركاء"),"",COUNTIFS($A$4:A267,"&lt;&gt;",$F$4:F267,"أحد الشركاء"))</f>
        <v/>
      </c>
    </row>
    <row r="268" spans="1:17" ht="18.75" customHeight="1" x14ac:dyDescent="0.25">
      <c r="A268" s="25"/>
      <c r="B268" s="36"/>
      <c r="C268" s="37"/>
      <c r="D268" s="38"/>
      <c r="E268" s="39"/>
      <c r="F268" s="136"/>
      <c r="G268" s="40"/>
      <c r="H268" s="41"/>
      <c r="I268" s="42"/>
      <c r="J268" s="43" t="str">
        <f>IF(AND(D268="",E268="",A268="",B268="",C268=""),"", IFERROR(IF(J267="",D2,J267),D2)+IF(E268="",0,E268)-IF(OR(G268="أبو اسحاق",G268="أبو آدم",G268="أبو اسحاق ",G268="أبو آدم "),0,IF(D268="",0,D268)))</f>
        <v/>
      </c>
      <c r="K268" s="44"/>
      <c r="L268" t="str">
        <f>IF(E267&gt;0,COUNTIF($E$4:E267,"&gt;0"),"")</f>
        <v/>
      </c>
      <c r="M268" t="str">
        <f>IF(AND(D267&gt;0,G267="المحفظة"),COUNTIFS($D$4:D267,"&gt;"&amp;0,$G$4:G267,"المحفظة"),"")</f>
        <v/>
      </c>
      <c r="N268" t="str">
        <f>IF(AND(OR('طباعة كشف الحساب'!$C$2="الكل",MONTH(A268)=IFERROR(MATCH('طباعة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الحساب'!$F$2="الكل",YEAR(A268)=IFERROR(VALUE('طباعة كشف الحساب'!$F$2),0)),A268&lt;&gt;""),IFERROR(MAX($N$4:N267),0)+1,"")</f>
        <v/>
      </c>
      <c r="O268" t="str">
        <f>IF(AND(D267&gt;0,F267="أحد الشركاء"),COUNTIFS($D$4:D267,"&gt;"&amp;0,$F$4:F267,"أحد الشركاء"),"")</f>
        <v/>
      </c>
      <c r="P268" t="str">
        <f>IF(OR($A268="",$F268="أحد الشركاء",AND($D268="",$E268="")),"",SUMPRODUCT(($A$4:$A268&lt;&gt;"")*($F$4:$F268&lt;&gt;"أحد الشركاء")*((($D$4:$D268&lt;&gt;"")+($E$4:$E268&lt;&gt;""))&gt;0)))</f>
        <v/>
      </c>
      <c r="Q268" t="str">
        <f>IF(OR($A268="",$F268&lt;&gt;"أحد الشركاء"),"",COUNTIFS($A$4:A268,"&lt;&gt;",$F$4:F268,"أحد الشركاء"))</f>
        <v/>
      </c>
    </row>
    <row r="269" spans="1:17" ht="18.75" customHeight="1" x14ac:dyDescent="0.25">
      <c r="A269" s="25"/>
      <c r="B269" s="26"/>
      <c r="C269" s="27"/>
      <c r="D269" s="28"/>
      <c r="E269" s="29"/>
      <c r="F269" s="30"/>
      <c r="G269" s="31"/>
      <c r="H269" s="32"/>
      <c r="I269" s="33"/>
      <c r="J269" s="34" t="str">
        <f>IF(AND(D269="",E269="",A269="",B269="",C269=""),"", IFERROR(IF(J268="",D2,J268),D2)+IF(E269="",0,E269)-IF(OR(G269="أبو اسحاق",G269="أبو آدم",G269="أبو اسحاق ",G269="أبو آدم "),0,IF(D269="",0,D269)))</f>
        <v/>
      </c>
      <c r="K269" s="35"/>
      <c r="L269" t="str">
        <f>IF(E268&gt;0,COUNTIF($E$4:E268,"&gt;0"),"")</f>
        <v/>
      </c>
      <c r="M269" t="str">
        <f>IF(AND(D268&gt;0,G268="المحفظة"),COUNTIFS($D$4:D268,"&gt;"&amp;0,$G$4:G268,"المحفظة"),"")</f>
        <v/>
      </c>
      <c r="N269" t="str">
        <f>IF(AND(OR('طباعة كشف الحساب'!$C$2="الكل",MONTH(A269)=IFERROR(MATCH('طباعة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الحساب'!$F$2="الكل",YEAR(A269)=IFERROR(VALUE('طباعة كشف الحساب'!$F$2),0)),A269&lt;&gt;""),IFERROR(MAX($N$4:N268),0)+1,"")</f>
        <v/>
      </c>
      <c r="O269" t="str">
        <f>IF(AND(D268&gt;0,F268="أحد الشركاء"),COUNTIFS($D$4:D268,"&gt;"&amp;0,$F$4:F268,"أحد الشركاء"),"")</f>
        <v/>
      </c>
      <c r="P269" t="str">
        <f>IF(OR($A269="",$F269="أحد الشركاء",AND($D269="",$E269="")),"",SUMPRODUCT(($A$4:$A269&lt;&gt;"")*($F$4:$F269&lt;&gt;"أحد الشركاء")*((($D$4:$D269&lt;&gt;"")+($E$4:$E269&lt;&gt;""))&gt;0)))</f>
        <v/>
      </c>
      <c r="Q269" t="str">
        <f>IF(OR($A269="",$F269&lt;&gt;"أحد الشركاء"),"",COUNTIFS($A$4:A269,"&lt;&gt;",$F$4:F269,"أحد الشركاء"))</f>
        <v/>
      </c>
    </row>
    <row r="270" spans="1:17" ht="18.75" customHeight="1" x14ac:dyDescent="0.25">
      <c r="A270" s="25"/>
      <c r="B270" s="36"/>
      <c r="C270" s="37"/>
      <c r="D270" s="38"/>
      <c r="E270" s="39"/>
      <c r="F270" s="136"/>
      <c r="G270" s="40"/>
      <c r="H270" s="41"/>
      <c r="I270" s="42"/>
      <c r="J270" s="43" t="str">
        <f>IF(AND(D270="",E270="",A270="",B270="",C270=""),"", IFERROR(IF(J269="",D2,J269),D2)+IF(E270="",0,E270)-IF(OR(G270="أبو اسحاق",G270="أبو آدم",G270="أبو اسحاق ",G270="أبو آدم "),0,IF(D270="",0,D270)))</f>
        <v/>
      </c>
      <c r="K270" s="44"/>
      <c r="L270" t="str">
        <f>IF(E269&gt;0,COUNTIF($E$4:E269,"&gt;0"),"")</f>
        <v/>
      </c>
      <c r="M270" t="str">
        <f>IF(AND(D269&gt;0,G269="المحفظة"),COUNTIFS($D$4:D269,"&gt;"&amp;0,$G$4:G269,"المحفظة"),"")</f>
        <v/>
      </c>
      <c r="N270" t="str">
        <f>IF(AND(OR('طباعة كشف الحساب'!$C$2="الكل",MONTH(A270)=IFERROR(MATCH('طباعة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الحساب'!$F$2="الكل",YEAR(A270)=IFERROR(VALUE('طباعة كشف الحساب'!$F$2),0)),A270&lt;&gt;""),IFERROR(MAX($N$4:N269),0)+1,"")</f>
        <v/>
      </c>
      <c r="O270" t="str">
        <f>IF(AND(D269&gt;0,F269="أحد الشركاء"),COUNTIFS($D$4:D269,"&gt;"&amp;0,$F$4:F269,"أحد الشركاء"),"")</f>
        <v/>
      </c>
      <c r="P270" t="str">
        <f>IF(OR($A270="",$F270="أحد الشركاء",AND($D270="",$E270="")),"",SUMPRODUCT(($A$4:$A270&lt;&gt;"")*($F$4:$F270&lt;&gt;"أحد الشركاء")*((($D$4:$D270&lt;&gt;"")+($E$4:$E270&lt;&gt;""))&gt;0)))</f>
        <v/>
      </c>
      <c r="Q270" t="str">
        <f>IF(OR($A270="",$F270&lt;&gt;"أحد الشركاء"),"",COUNTIFS($A$4:A270,"&lt;&gt;",$F$4:F270,"أحد الشركاء"))</f>
        <v/>
      </c>
    </row>
    <row r="271" spans="1:17" ht="18.75" customHeight="1" x14ac:dyDescent="0.25">
      <c r="A271" s="25"/>
      <c r="B271" s="26"/>
      <c r="C271" s="27"/>
      <c r="D271" s="28"/>
      <c r="E271" s="29"/>
      <c r="F271" s="30"/>
      <c r="G271" s="31"/>
      <c r="H271" s="32"/>
      <c r="I271" s="33"/>
      <c r="J271" s="34" t="str">
        <f>IF(AND(D271="",E271="",A271="",B271="",C271=""),"", IFERROR(IF(J270="",D2,J270),D2)+IF(E271="",0,E271)-IF(OR(G271="أبو اسحاق",G271="أبو آدم",G271="أبو اسحاق ",G271="أبو آدم "),0,IF(D271="",0,D271)))</f>
        <v/>
      </c>
      <c r="K271" s="35"/>
      <c r="L271" t="str">
        <f>IF(E270&gt;0,COUNTIF($E$4:E270,"&gt;0"),"")</f>
        <v/>
      </c>
      <c r="M271" t="str">
        <f>IF(AND(D270&gt;0,G270="المحفظة"),COUNTIFS($D$4:D270,"&gt;"&amp;0,$G$4:G270,"المحفظة"),"")</f>
        <v/>
      </c>
      <c r="N271" t="str">
        <f>IF(AND(OR('طباعة كشف الحساب'!$C$2="الكل",MONTH(A271)=IFERROR(MATCH('طباعة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الحساب'!$F$2="الكل",YEAR(A271)=IFERROR(VALUE('طباعة كشف الحساب'!$F$2),0)),A271&lt;&gt;""),IFERROR(MAX($N$4:N270),0)+1,"")</f>
        <v/>
      </c>
      <c r="O271" t="str">
        <f>IF(AND(D270&gt;0,F270="أحد الشركاء"),COUNTIFS($D$4:D270,"&gt;"&amp;0,$F$4:F270,"أحد الشركاء"),"")</f>
        <v/>
      </c>
      <c r="P271" t="str">
        <f>IF(OR($A271="",$F271="أحد الشركاء",AND($D271="",$E271="")),"",SUMPRODUCT(($A$4:$A271&lt;&gt;"")*($F$4:$F271&lt;&gt;"أحد الشركاء")*((($D$4:$D271&lt;&gt;"")+($E$4:$E271&lt;&gt;""))&gt;0)))</f>
        <v/>
      </c>
      <c r="Q271" t="str">
        <f>IF(OR($A271="",$F271&lt;&gt;"أحد الشركاء"),"",COUNTIFS($A$4:A271,"&lt;&gt;",$F$4:F271,"أحد الشركاء"))</f>
        <v/>
      </c>
    </row>
    <row r="272" spans="1:17" ht="18.75" customHeight="1" x14ac:dyDescent="0.25">
      <c r="A272" s="25"/>
      <c r="B272" s="36"/>
      <c r="C272" s="37"/>
      <c r="D272" s="38"/>
      <c r="E272" s="39"/>
      <c r="F272" s="136"/>
      <c r="G272" s="40"/>
      <c r="H272" s="41"/>
      <c r="I272" s="42"/>
      <c r="J272" s="43" t="str">
        <f>IF(AND(D272="",E272="",A272="",B272="",C272=""),"", IFERROR(IF(J271="",D2,J271),D2)+IF(E272="",0,E272)-IF(OR(G272="أبو اسحاق",G272="أبو آدم",G272="أبو اسحاق ",G272="أبو آدم "),0,IF(D272="",0,D272)))</f>
        <v/>
      </c>
      <c r="K272" s="44"/>
      <c r="L272" t="str">
        <f>IF(E271&gt;0,COUNTIF($E$4:E271,"&gt;0"),"")</f>
        <v/>
      </c>
      <c r="M272" t="str">
        <f>IF(AND(D271&gt;0,G271="المحفظة"),COUNTIFS($D$4:D271,"&gt;"&amp;0,$G$4:G271,"المحفظة"),"")</f>
        <v/>
      </c>
      <c r="N272" t="str">
        <f>IF(AND(OR('طباعة كشف الحساب'!$C$2="الكل",MONTH(A272)=IFERROR(MATCH('طباعة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الحساب'!$F$2="الكل",YEAR(A272)=IFERROR(VALUE('طباعة كشف الحساب'!$F$2),0)),A272&lt;&gt;""),IFERROR(MAX($N$4:N271),0)+1,"")</f>
        <v/>
      </c>
      <c r="O272" t="str">
        <f>IF(AND(D271&gt;0,F271="أحد الشركاء"),COUNTIFS($D$4:D271,"&gt;"&amp;0,$F$4:F271,"أحد الشركاء"),"")</f>
        <v/>
      </c>
      <c r="P272" t="str">
        <f>IF(OR($A272="",$F272="أحد الشركاء",AND($D272="",$E272="")),"",SUMPRODUCT(($A$4:$A272&lt;&gt;"")*($F$4:$F272&lt;&gt;"أحد الشركاء")*((($D$4:$D272&lt;&gt;"")+($E$4:$E272&lt;&gt;""))&gt;0)))</f>
        <v/>
      </c>
      <c r="Q272" t="str">
        <f>IF(OR($A272="",$F272&lt;&gt;"أحد الشركاء"),"",COUNTIFS($A$4:A272,"&lt;&gt;",$F$4:F272,"أحد الشركاء"))</f>
        <v/>
      </c>
    </row>
    <row r="273" spans="1:17" ht="18.75" customHeight="1" x14ac:dyDescent="0.25">
      <c r="A273" s="25"/>
      <c r="B273" s="26"/>
      <c r="C273" s="27"/>
      <c r="D273" s="28"/>
      <c r="E273" s="29"/>
      <c r="F273" s="30"/>
      <c r="G273" s="31"/>
      <c r="H273" s="32"/>
      <c r="I273" s="33"/>
      <c r="J273" s="34" t="str">
        <f>IF(AND(D273="",E273="",A273="",B273="",C273=""),"", IFERROR(IF(J272="",D2,J272),D2)+IF(E273="",0,E273)-IF(OR(G273="أبو اسحاق",G273="أبو آدم",G273="أبو اسحاق ",G273="أبو آدم "),0,IF(D273="",0,D273)))</f>
        <v/>
      </c>
      <c r="K273" s="35"/>
      <c r="L273" t="str">
        <f>IF(E272&gt;0,COUNTIF($E$4:E272,"&gt;0"),"")</f>
        <v/>
      </c>
      <c r="M273" t="str">
        <f>IF(AND(D272&gt;0,G272="المحفظة"),COUNTIFS($D$4:D272,"&gt;"&amp;0,$G$4:G272,"المحفظة"),"")</f>
        <v/>
      </c>
      <c r="N273" t="str">
        <f>IF(AND(OR('طباعة كشف الحساب'!$C$2="الكل",MONTH(A273)=IFERROR(MATCH('طباعة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الحساب'!$F$2="الكل",YEAR(A273)=IFERROR(VALUE('طباعة كشف الحساب'!$F$2),0)),A273&lt;&gt;""),IFERROR(MAX($N$4:N272),0)+1,"")</f>
        <v/>
      </c>
      <c r="O273" t="str">
        <f>IF(AND(D272&gt;0,F272="أحد الشركاء"),COUNTIFS($D$4:D272,"&gt;"&amp;0,$F$4:F272,"أحد الشركاء"),"")</f>
        <v/>
      </c>
      <c r="P273" t="str">
        <f>IF(OR($A273="",$F273="أحد الشركاء",AND($D273="",$E273="")),"",SUMPRODUCT(($A$4:$A273&lt;&gt;"")*($F$4:$F273&lt;&gt;"أحد الشركاء")*((($D$4:$D273&lt;&gt;"")+($E$4:$E273&lt;&gt;""))&gt;0)))</f>
        <v/>
      </c>
      <c r="Q273" t="str">
        <f>IF(OR($A273="",$F273&lt;&gt;"أحد الشركاء"),"",COUNTIFS($A$4:A273,"&lt;&gt;",$F$4:F273,"أحد الشركاء"))</f>
        <v/>
      </c>
    </row>
    <row r="274" spans="1:17" ht="18.75" customHeight="1" x14ac:dyDescent="0.25">
      <c r="A274" s="25"/>
      <c r="B274" s="36"/>
      <c r="C274" s="37"/>
      <c r="D274" s="38"/>
      <c r="E274" s="39"/>
      <c r="F274" s="136"/>
      <c r="G274" s="40"/>
      <c r="H274" s="41"/>
      <c r="I274" s="42"/>
      <c r="J274" s="43" t="str">
        <f>IF(AND(D274="",E274="",A274="",B274="",C274=""),"", IFERROR(IF(J273="",D2,J273),D2)+IF(E274="",0,E274)-IF(OR(G274="أبو اسحاق",G274="أبو آدم",G274="أبو اسحاق ",G274="أبو آدم "),0,IF(D274="",0,D274)))</f>
        <v/>
      </c>
      <c r="K274" s="44"/>
      <c r="L274" t="str">
        <f>IF(E273&gt;0,COUNTIF($E$4:E273,"&gt;0"),"")</f>
        <v/>
      </c>
      <c r="M274" t="str">
        <f>IF(AND(D273&gt;0,G273="المحفظة"),COUNTIFS($D$4:D273,"&gt;"&amp;0,$G$4:G273,"المحفظة"),"")</f>
        <v/>
      </c>
      <c r="N274" t="str">
        <f>IF(AND(OR('طباعة كشف الحساب'!$C$2="الكل",MONTH(A274)=IFERROR(MATCH('طباعة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الحساب'!$F$2="الكل",YEAR(A274)=IFERROR(VALUE('طباعة كشف الحساب'!$F$2),0)),A274&lt;&gt;""),IFERROR(MAX($N$4:N273),0)+1,"")</f>
        <v/>
      </c>
      <c r="O274" t="str">
        <f>IF(AND(D273&gt;0,F273="أحد الشركاء"),COUNTIFS($D$4:D273,"&gt;"&amp;0,$F$4:F273,"أحد الشركاء"),"")</f>
        <v/>
      </c>
      <c r="P274" t="str">
        <f>IF(OR($A274="",$F274="أحد الشركاء",AND($D274="",$E274="")),"",SUMPRODUCT(($A$4:$A274&lt;&gt;"")*($F$4:$F274&lt;&gt;"أحد الشركاء")*((($D$4:$D274&lt;&gt;"")+($E$4:$E274&lt;&gt;""))&gt;0)))</f>
        <v/>
      </c>
      <c r="Q274" t="str">
        <f>IF(OR($A274="",$F274&lt;&gt;"أحد الشركاء"),"",COUNTIFS($A$4:A274,"&lt;&gt;",$F$4:F274,"أحد الشركاء"))</f>
        <v/>
      </c>
    </row>
    <row r="275" spans="1:17" ht="18.75" customHeight="1" x14ac:dyDescent="0.25">
      <c r="A275" s="25"/>
      <c r="B275" s="26"/>
      <c r="C275" s="27"/>
      <c r="D275" s="28"/>
      <c r="E275" s="29"/>
      <c r="F275" s="30"/>
      <c r="G275" s="31"/>
      <c r="H275" s="32"/>
      <c r="I275" s="33"/>
      <c r="J275" s="34" t="str">
        <f>IF(AND(D275="",E275="",A275="",B275="",C275=""),"", IFERROR(IF(J274="",D2,J274),D2)+IF(E275="",0,E275)-IF(OR(G275="أبو اسحاق",G275="أبو آدم",G275="أبو اسحاق ",G275="أبو آدم "),0,IF(D275="",0,D275)))</f>
        <v/>
      </c>
      <c r="K275" s="35"/>
      <c r="L275" t="str">
        <f>IF(E274&gt;0,COUNTIF($E$4:E274,"&gt;0"),"")</f>
        <v/>
      </c>
      <c r="M275" t="str">
        <f>IF(AND(D274&gt;0,G274="المحفظة"),COUNTIFS($D$4:D274,"&gt;"&amp;0,$G$4:G274,"المحفظة"),"")</f>
        <v/>
      </c>
      <c r="N275" t="str">
        <f>IF(AND(OR('طباعة كشف الحساب'!$C$2="الكل",MONTH(A275)=IFERROR(MATCH('طباعة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الحساب'!$F$2="الكل",YEAR(A275)=IFERROR(VALUE('طباعة كشف الحساب'!$F$2),0)),A275&lt;&gt;""),IFERROR(MAX($N$4:N274),0)+1,"")</f>
        <v/>
      </c>
      <c r="O275" t="str">
        <f>IF(AND(D274&gt;0,F274="أحد الشركاء"),COUNTIFS($D$4:D274,"&gt;"&amp;0,$F$4:F274,"أحد الشركاء"),"")</f>
        <v/>
      </c>
      <c r="P275" t="str">
        <f>IF(OR($A275="",$F275="أحد الشركاء",AND($D275="",$E275="")),"",SUMPRODUCT(($A$4:$A275&lt;&gt;"")*($F$4:$F275&lt;&gt;"أحد الشركاء")*((($D$4:$D275&lt;&gt;"")+($E$4:$E275&lt;&gt;""))&gt;0)))</f>
        <v/>
      </c>
      <c r="Q275" t="str">
        <f>IF(OR($A275="",$F275&lt;&gt;"أحد الشركاء"),"",COUNTIFS($A$4:A275,"&lt;&gt;",$F$4:F275,"أحد الشركاء"))</f>
        <v/>
      </c>
    </row>
    <row r="276" spans="1:17" ht="18.75" customHeight="1" x14ac:dyDescent="0.25">
      <c r="A276" s="25"/>
      <c r="B276" s="36"/>
      <c r="C276" s="37"/>
      <c r="D276" s="38"/>
      <c r="E276" s="39"/>
      <c r="F276" s="136"/>
      <c r="G276" s="40"/>
      <c r="H276" s="41"/>
      <c r="I276" s="42"/>
      <c r="J276" s="43" t="str">
        <f>IF(AND(D276="",E276="",A276="",B276="",C276=""),"", IFERROR(IF(J275="",D2,J275),D2)+IF(E276="",0,E276)-IF(OR(G276="أبو اسحاق",G276="أبو آدم",G276="أبو اسحاق ",G276="أبو آدم "),0,IF(D276="",0,D276)))</f>
        <v/>
      </c>
      <c r="K276" s="44"/>
      <c r="L276" t="str">
        <f>IF(E275&gt;0,COUNTIF($E$4:E275,"&gt;0"),"")</f>
        <v/>
      </c>
      <c r="M276" t="str">
        <f>IF(AND(D275&gt;0,G275="المحفظة"),COUNTIFS($D$4:D275,"&gt;"&amp;0,$G$4:G275,"المحفظة"),"")</f>
        <v/>
      </c>
      <c r="N276" t="str">
        <f>IF(AND(OR('طباعة كشف الحساب'!$C$2="الكل",MONTH(A276)=IFERROR(MATCH('طباعة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الحساب'!$F$2="الكل",YEAR(A276)=IFERROR(VALUE('طباعة كشف الحساب'!$F$2),0)),A276&lt;&gt;""),IFERROR(MAX($N$4:N275),0)+1,"")</f>
        <v/>
      </c>
      <c r="O276" t="str">
        <f>IF(AND(D275&gt;0,F275="أحد الشركاء"),COUNTIFS($D$4:D275,"&gt;"&amp;0,$F$4:F275,"أحد الشركاء"),"")</f>
        <v/>
      </c>
      <c r="P276" t="str">
        <f>IF(OR($A276="",$F276="أحد الشركاء",AND($D276="",$E276="")),"",SUMPRODUCT(($A$4:$A276&lt;&gt;"")*($F$4:$F276&lt;&gt;"أحد الشركاء")*((($D$4:$D276&lt;&gt;"")+($E$4:$E276&lt;&gt;""))&gt;0)))</f>
        <v/>
      </c>
      <c r="Q276" t="str">
        <f>IF(OR($A276="",$F276&lt;&gt;"أحد الشركاء"),"",COUNTIFS($A$4:A276,"&lt;&gt;",$F$4:F276,"أحد الشركاء"))</f>
        <v/>
      </c>
    </row>
    <row r="277" spans="1:17" ht="18.75" customHeight="1" x14ac:dyDescent="0.25">
      <c r="A277" s="25"/>
      <c r="B277" s="26"/>
      <c r="C277" s="27"/>
      <c r="D277" s="28"/>
      <c r="E277" s="29"/>
      <c r="F277" s="30"/>
      <c r="G277" s="31"/>
      <c r="H277" s="32"/>
      <c r="I277" s="33"/>
      <c r="J277" s="34" t="str">
        <f>IF(AND(D277="",E277="",A277="",B277="",C277=""),"", IFERROR(IF(J276="",D2,J276),D2)+IF(E277="",0,E277)-IF(OR(G277="أبو اسحاق",G277="أبو آدم",G277="أبو اسحاق ",G277="أبو آدم "),0,IF(D277="",0,D277)))</f>
        <v/>
      </c>
      <c r="K277" s="35"/>
      <c r="L277" t="str">
        <f>IF(E276&gt;0,COUNTIF($E$4:E276,"&gt;0"),"")</f>
        <v/>
      </c>
      <c r="M277" t="str">
        <f>IF(AND(D276&gt;0,G276="المحفظة"),COUNTIFS($D$4:D276,"&gt;"&amp;0,$G$4:G276,"المحفظة"),"")</f>
        <v/>
      </c>
      <c r="N277" t="str">
        <f>IF(AND(OR('طباعة كشف الحساب'!$C$2="الكل",MONTH(A277)=IFERROR(MATCH('طباعة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الحساب'!$F$2="الكل",YEAR(A277)=IFERROR(VALUE('طباعة كشف الحساب'!$F$2),0)),A277&lt;&gt;""),IFERROR(MAX($N$4:N276),0)+1,"")</f>
        <v/>
      </c>
      <c r="O277" t="str">
        <f>IF(AND(D276&gt;0,F276="أحد الشركاء"),COUNTIFS($D$4:D276,"&gt;"&amp;0,$F$4:F276,"أحد الشركاء"),"")</f>
        <v/>
      </c>
      <c r="P277" t="str">
        <f>IF(OR($A277="",$F277="أحد الشركاء",AND($D277="",$E277="")),"",SUMPRODUCT(($A$4:$A277&lt;&gt;"")*($F$4:$F277&lt;&gt;"أحد الشركاء")*((($D$4:$D277&lt;&gt;"")+($E$4:$E277&lt;&gt;""))&gt;0)))</f>
        <v/>
      </c>
      <c r="Q277" t="str">
        <f>IF(OR($A277="",$F277&lt;&gt;"أحد الشركاء"),"",COUNTIFS($A$4:A277,"&lt;&gt;",$F$4:F277,"أحد الشركاء"))</f>
        <v/>
      </c>
    </row>
    <row r="278" spans="1:17" ht="18.75" customHeight="1" x14ac:dyDescent="0.25">
      <c r="A278" s="25"/>
      <c r="B278" s="36"/>
      <c r="C278" s="37"/>
      <c r="D278" s="38"/>
      <c r="E278" s="39"/>
      <c r="F278" s="136"/>
      <c r="G278" s="40"/>
      <c r="H278" s="41"/>
      <c r="I278" s="42"/>
      <c r="J278" s="43" t="str">
        <f>IF(AND(D278="",E278="",A278="",B278="",C278=""),"", IFERROR(IF(J277="",D2,J277),D2)+IF(E278="",0,E278)-IF(OR(G278="أبو اسحاق",G278="أبو آدم",G278="أبو اسحاق ",G278="أبو آدم "),0,IF(D278="",0,D278)))</f>
        <v/>
      </c>
      <c r="K278" s="44"/>
      <c r="L278" t="str">
        <f>IF(E277&gt;0,COUNTIF($E$4:E277,"&gt;0"),"")</f>
        <v/>
      </c>
      <c r="M278" t="str">
        <f>IF(AND(D277&gt;0,G277="المحفظة"),COUNTIFS($D$4:D277,"&gt;"&amp;0,$G$4:G277,"المحفظة"),"")</f>
        <v/>
      </c>
      <c r="N278" t="str">
        <f>IF(AND(OR('طباعة كشف الحساب'!$C$2="الكل",MONTH(A278)=IFERROR(MATCH('طباعة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الحساب'!$F$2="الكل",YEAR(A278)=IFERROR(VALUE('طباعة كشف الحساب'!$F$2),0)),A278&lt;&gt;""),IFERROR(MAX($N$4:N277),0)+1,"")</f>
        <v/>
      </c>
      <c r="O278" t="str">
        <f>IF(AND(D277&gt;0,F277="أحد الشركاء"),COUNTIFS($D$4:D277,"&gt;"&amp;0,$F$4:F277,"أحد الشركاء"),"")</f>
        <v/>
      </c>
      <c r="P278" t="str">
        <f>IF(OR($A278="",$F278="أحد الشركاء",AND($D278="",$E278="")),"",SUMPRODUCT(($A$4:$A278&lt;&gt;"")*($F$4:$F278&lt;&gt;"أحد الشركاء")*((($D$4:$D278&lt;&gt;"")+($E$4:$E278&lt;&gt;""))&gt;0)))</f>
        <v/>
      </c>
      <c r="Q278" t="str">
        <f>IF(OR($A278="",$F278&lt;&gt;"أحد الشركاء"),"",COUNTIFS($A$4:A278,"&lt;&gt;",$F$4:F278,"أحد الشركاء"))</f>
        <v/>
      </c>
    </row>
    <row r="279" spans="1:17" ht="18.75" customHeight="1" x14ac:dyDescent="0.25">
      <c r="A279" s="25"/>
      <c r="B279" s="26"/>
      <c r="C279" s="27"/>
      <c r="D279" s="28"/>
      <c r="E279" s="29"/>
      <c r="F279" s="30"/>
      <c r="G279" s="31"/>
      <c r="H279" s="32"/>
      <c r="I279" s="33"/>
      <c r="J279" s="34" t="str">
        <f>IF(AND(D279="",E279="",A279="",B279="",C279=""),"", IFERROR(IF(J278="",D2,J278),D2)+IF(E279="",0,E279)-IF(OR(G279="أبو اسحاق",G279="أبو آدم",G279="أبو اسحاق ",G279="أبو آدم "),0,IF(D279="",0,D279)))</f>
        <v/>
      </c>
      <c r="K279" s="35"/>
      <c r="L279" t="str">
        <f>IF(E278&gt;0,COUNTIF($E$4:E278,"&gt;0"),"")</f>
        <v/>
      </c>
      <c r="M279" t="str">
        <f>IF(AND(D278&gt;0,G278="المحفظة"),COUNTIFS($D$4:D278,"&gt;"&amp;0,$G$4:G278,"المحفظة"),"")</f>
        <v/>
      </c>
      <c r="N279" t="str">
        <f>IF(AND(OR('طباعة كشف الحساب'!$C$2="الكل",MONTH(A279)=IFERROR(MATCH('طباعة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الحساب'!$F$2="الكل",YEAR(A279)=IFERROR(VALUE('طباعة كشف الحساب'!$F$2),0)),A279&lt;&gt;""),IFERROR(MAX($N$4:N278),0)+1,"")</f>
        <v/>
      </c>
      <c r="O279" t="str">
        <f>IF(AND(D278&gt;0,F278="أحد الشركاء"),COUNTIFS($D$4:D278,"&gt;"&amp;0,$F$4:F278,"أحد الشركاء"),"")</f>
        <v/>
      </c>
      <c r="P279" t="str">
        <f>IF(OR($A279="",$F279="أحد الشركاء",AND($D279="",$E279="")),"",SUMPRODUCT(($A$4:$A279&lt;&gt;"")*($F$4:$F279&lt;&gt;"أحد الشركاء")*((($D$4:$D279&lt;&gt;"")+($E$4:$E279&lt;&gt;""))&gt;0)))</f>
        <v/>
      </c>
      <c r="Q279" t="str">
        <f>IF(OR($A279="",$F279&lt;&gt;"أحد الشركاء"),"",COUNTIFS($A$4:A279,"&lt;&gt;",$F$4:F279,"أحد الشركاء"))</f>
        <v/>
      </c>
    </row>
    <row r="280" spans="1:17" ht="18.75" customHeight="1" x14ac:dyDescent="0.25">
      <c r="A280" s="25"/>
      <c r="B280" s="36"/>
      <c r="C280" s="37"/>
      <c r="D280" s="38"/>
      <c r="E280" s="39"/>
      <c r="F280" s="136"/>
      <c r="G280" s="40"/>
      <c r="H280" s="41"/>
      <c r="I280" s="42"/>
      <c r="J280" s="43" t="str">
        <f>IF(AND(D280="",E280="",A280="",B280="",C280=""),"", IFERROR(IF(J279="",D2,J279),D2)+IF(E280="",0,E280)-IF(OR(G280="أبو اسحاق",G280="أبو آدم",G280="أبو اسحاق ",G280="أبو آدم "),0,IF(D280="",0,D280)))</f>
        <v/>
      </c>
      <c r="K280" s="44"/>
      <c r="L280" t="str">
        <f>IF(E279&gt;0,COUNTIF($E$4:E279,"&gt;0"),"")</f>
        <v/>
      </c>
      <c r="M280" t="str">
        <f>IF(AND(D279&gt;0,G279="المحفظة"),COUNTIFS($D$4:D279,"&gt;"&amp;0,$G$4:G279,"المحفظة"),"")</f>
        <v/>
      </c>
      <c r="N280" t="str">
        <f>IF(AND(OR('طباعة كشف الحساب'!$C$2="الكل",MONTH(A280)=IFERROR(MATCH('طباعة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الحساب'!$F$2="الكل",YEAR(A280)=IFERROR(VALUE('طباعة كشف الحساب'!$F$2),0)),A280&lt;&gt;""),IFERROR(MAX($N$4:N279),0)+1,"")</f>
        <v/>
      </c>
      <c r="O280" t="str">
        <f>IF(AND(D279&gt;0,F279="أحد الشركاء"),COUNTIFS($D$4:D279,"&gt;"&amp;0,$F$4:F279,"أحد الشركاء"),"")</f>
        <v/>
      </c>
      <c r="P280" t="str">
        <f>IF(OR($A280="",$F280="أحد الشركاء",AND($D280="",$E280="")),"",SUMPRODUCT(($A$4:$A280&lt;&gt;"")*($F$4:$F280&lt;&gt;"أحد الشركاء")*((($D$4:$D280&lt;&gt;"")+($E$4:$E280&lt;&gt;""))&gt;0)))</f>
        <v/>
      </c>
      <c r="Q280" t="str">
        <f>IF(OR($A280="",$F280&lt;&gt;"أحد الشركاء"),"",COUNTIFS($A$4:A280,"&lt;&gt;",$F$4:F280,"أحد الشركاء"))</f>
        <v/>
      </c>
    </row>
    <row r="281" spans="1:17" ht="18.75" customHeight="1" x14ac:dyDescent="0.25">
      <c r="A281" s="25"/>
      <c r="B281" s="26"/>
      <c r="C281" s="27"/>
      <c r="D281" s="28"/>
      <c r="E281" s="29"/>
      <c r="F281" s="30"/>
      <c r="G281" s="31"/>
      <c r="H281" s="32"/>
      <c r="I281" s="33"/>
      <c r="J281" s="34" t="str">
        <f>IF(AND(D281="",E281="",A281="",B281="",C281=""),"", IFERROR(IF(J280="",D2,J280),D2)+IF(E281="",0,E281)-IF(OR(G281="أبو اسحاق",G281="أبو آدم",G281="أبو اسحاق ",G281="أبو آدم "),0,IF(D281="",0,D281)))</f>
        <v/>
      </c>
      <c r="K281" s="35"/>
      <c r="L281" t="str">
        <f>IF(E280&gt;0,COUNTIF($E$4:E280,"&gt;0"),"")</f>
        <v/>
      </c>
      <c r="M281" t="str">
        <f>IF(AND(D280&gt;0,G280="المحفظة"),COUNTIFS($D$4:D280,"&gt;"&amp;0,$G$4:G280,"المحفظة"),"")</f>
        <v/>
      </c>
      <c r="N281" t="str">
        <f>IF(AND(OR('طباعة كشف الحساب'!$C$2="الكل",MONTH(A281)=IFERROR(MATCH('طباعة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الحساب'!$F$2="الكل",YEAR(A281)=IFERROR(VALUE('طباعة كشف الحساب'!$F$2),0)),A281&lt;&gt;""),IFERROR(MAX($N$4:N280),0)+1,"")</f>
        <v/>
      </c>
      <c r="O281" t="str">
        <f>IF(AND(D280&gt;0,F280="أحد الشركاء"),COUNTIFS($D$4:D280,"&gt;"&amp;0,$F$4:F280,"أحد الشركاء"),"")</f>
        <v/>
      </c>
      <c r="P281" t="str">
        <f>IF(OR($A281="",$F281="أحد الشركاء",AND($D281="",$E281="")),"",SUMPRODUCT(($A$4:$A281&lt;&gt;"")*($F$4:$F281&lt;&gt;"أحد الشركاء")*((($D$4:$D281&lt;&gt;"")+($E$4:$E281&lt;&gt;""))&gt;0)))</f>
        <v/>
      </c>
      <c r="Q281" t="str">
        <f>IF(OR($A281="",$F281&lt;&gt;"أحد الشركاء"),"",COUNTIFS($A$4:A281,"&lt;&gt;",$F$4:F281,"أحد الشركاء"))</f>
        <v/>
      </c>
    </row>
    <row r="282" spans="1:17" ht="18.75" customHeight="1" x14ac:dyDescent="0.25">
      <c r="A282" s="25"/>
      <c r="B282" s="36"/>
      <c r="C282" s="37"/>
      <c r="D282" s="38"/>
      <c r="E282" s="39"/>
      <c r="F282" s="136"/>
      <c r="G282" s="40"/>
      <c r="H282" s="41"/>
      <c r="I282" s="42"/>
      <c r="J282" s="43" t="str">
        <f>IF(AND(D282="",E282="",A282="",B282="",C282=""),"", IFERROR(IF(J281="",D2,J281),D2)+IF(E282="",0,E282)-IF(OR(G282="أبو اسحاق",G282="أبو آدم",G282="أبو اسحاق ",G282="أبو آدم "),0,IF(D282="",0,D282)))</f>
        <v/>
      </c>
      <c r="K282" s="44"/>
      <c r="L282" t="str">
        <f>IF(E281&gt;0,COUNTIF($E$4:E281,"&gt;0"),"")</f>
        <v/>
      </c>
      <c r="M282" t="str">
        <f>IF(AND(D281&gt;0,G281="المحفظة"),COUNTIFS($D$4:D281,"&gt;"&amp;0,$G$4:G281,"المحفظة"),"")</f>
        <v/>
      </c>
      <c r="N282" t="str">
        <f>IF(AND(OR('طباعة كشف الحساب'!$C$2="الكل",MONTH(A282)=IFERROR(MATCH('طباعة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الحساب'!$F$2="الكل",YEAR(A282)=IFERROR(VALUE('طباعة كشف الحساب'!$F$2),0)),A282&lt;&gt;""),IFERROR(MAX($N$4:N281),0)+1,"")</f>
        <v/>
      </c>
      <c r="O282" t="str">
        <f>IF(AND(D281&gt;0,F281="أحد الشركاء"),COUNTIFS($D$4:D281,"&gt;"&amp;0,$F$4:F281,"أحد الشركاء"),"")</f>
        <v/>
      </c>
      <c r="P282" t="str">
        <f>IF(OR($A282="",$F282="أحد الشركاء",AND($D282="",$E282="")),"",SUMPRODUCT(($A$4:$A282&lt;&gt;"")*($F$4:$F282&lt;&gt;"أحد الشركاء")*((($D$4:$D282&lt;&gt;"")+($E$4:$E282&lt;&gt;""))&gt;0)))</f>
        <v/>
      </c>
      <c r="Q282" t="str">
        <f>IF(OR($A282="",$F282&lt;&gt;"أحد الشركاء"),"",COUNTIFS($A$4:A282,"&lt;&gt;",$F$4:F282,"أحد الشركاء"))</f>
        <v/>
      </c>
    </row>
    <row r="283" spans="1:17" ht="18.75" customHeight="1" x14ac:dyDescent="0.25">
      <c r="A283" s="25"/>
      <c r="B283" s="26"/>
      <c r="C283" s="27"/>
      <c r="D283" s="28"/>
      <c r="E283" s="29"/>
      <c r="F283" s="30"/>
      <c r="G283" s="31"/>
      <c r="H283" s="32"/>
      <c r="I283" s="33"/>
      <c r="J283" s="34" t="str">
        <f>IF(AND(D283="",E283="",A283="",B283="",C283=""),"", IFERROR(IF(J282="",D2,J282),D2)+IF(E283="",0,E283)-IF(OR(G283="أبو اسحاق",G283="أبو آدم",G283="أبو اسحاق ",G283="أبو آدم "),0,IF(D283="",0,D283)))</f>
        <v/>
      </c>
      <c r="K283" s="35"/>
      <c r="L283" t="str">
        <f>IF(E282&gt;0,COUNTIF($E$4:E282,"&gt;0"),"")</f>
        <v/>
      </c>
      <c r="M283" t="str">
        <f>IF(AND(D282&gt;0,G282="المحفظة"),COUNTIFS($D$4:D282,"&gt;"&amp;0,$G$4:G282,"المحفظة"),"")</f>
        <v/>
      </c>
      <c r="N283" t="str">
        <f>IF(AND(OR('طباعة كشف الحساب'!$C$2="الكل",MONTH(A283)=IFERROR(MATCH('طباعة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الحساب'!$F$2="الكل",YEAR(A283)=IFERROR(VALUE('طباعة كشف الحساب'!$F$2),0)),A283&lt;&gt;""),IFERROR(MAX($N$4:N282),0)+1,"")</f>
        <v/>
      </c>
      <c r="O283" t="str">
        <f>IF(AND(D282&gt;0,F282="أحد الشركاء"),COUNTIFS($D$4:D282,"&gt;"&amp;0,$F$4:F282,"أحد الشركاء"),"")</f>
        <v/>
      </c>
      <c r="P283" t="str">
        <f>IF(OR($A283="",$F283="أحد الشركاء",AND($D283="",$E283="")),"",SUMPRODUCT(($A$4:$A283&lt;&gt;"")*($F$4:$F283&lt;&gt;"أحد الشركاء")*((($D$4:$D283&lt;&gt;"")+($E$4:$E283&lt;&gt;""))&gt;0)))</f>
        <v/>
      </c>
      <c r="Q283" t="str">
        <f>IF(OR($A283="",$F283&lt;&gt;"أحد الشركاء"),"",COUNTIFS($A$4:A283,"&lt;&gt;",$F$4:F283,"أحد الشركاء"))</f>
        <v/>
      </c>
    </row>
    <row r="284" spans="1:17" ht="18.75" customHeight="1" x14ac:dyDescent="0.25">
      <c r="A284" s="25"/>
      <c r="B284" s="36"/>
      <c r="C284" s="37"/>
      <c r="D284" s="38"/>
      <c r="E284" s="39"/>
      <c r="F284" s="136"/>
      <c r="G284" s="40"/>
      <c r="H284" s="41"/>
      <c r="I284" s="42"/>
      <c r="J284" s="43" t="str">
        <f>IF(AND(D284="",E284="",A284="",B284="",C284=""),"", IFERROR(IF(J283="",D2,J283),D2)+IF(E284="",0,E284)-IF(OR(G284="أبو اسحاق",G284="أبو آدم",G284="أبو اسحاق ",G284="أبو آدم "),0,IF(D284="",0,D284)))</f>
        <v/>
      </c>
      <c r="K284" s="44"/>
      <c r="L284" t="str">
        <f>IF(E283&gt;0,COUNTIF($E$4:E283,"&gt;0"),"")</f>
        <v/>
      </c>
      <c r="M284" t="str">
        <f>IF(AND(D283&gt;0,G283="المحفظة"),COUNTIFS($D$4:D283,"&gt;"&amp;0,$G$4:G283,"المحفظة"),"")</f>
        <v/>
      </c>
      <c r="N284" t="str">
        <f>IF(AND(OR('طباعة كشف الحساب'!$C$2="الكل",MONTH(A284)=IFERROR(MATCH('طباعة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الحساب'!$F$2="الكل",YEAR(A284)=IFERROR(VALUE('طباعة كشف الحساب'!$F$2),0)),A284&lt;&gt;""),IFERROR(MAX($N$4:N283),0)+1,"")</f>
        <v/>
      </c>
      <c r="O284" t="str">
        <f>IF(AND(D283&gt;0,F283="أحد الشركاء"),COUNTIFS($D$4:D283,"&gt;"&amp;0,$F$4:F283,"أحد الشركاء"),"")</f>
        <v/>
      </c>
      <c r="P284" t="str">
        <f>IF(OR($A284="",$F284="أحد الشركاء",AND($D284="",$E284="")),"",SUMPRODUCT(($A$4:$A284&lt;&gt;"")*($F$4:$F284&lt;&gt;"أحد الشركاء")*((($D$4:$D284&lt;&gt;"")+($E$4:$E284&lt;&gt;""))&gt;0)))</f>
        <v/>
      </c>
      <c r="Q284" t="str">
        <f>IF(OR($A284="",$F284&lt;&gt;"أحد الشركاء"),"",COUNTIFS($A$4:A284,"&lt;&gt;",$F$4:F284,"أحد الشركاء"))</f>
        <v/>
      </c>
    </row>
    <row r="285" spans="1:17" ht="18.75" customHeight="1" x14ac:dyDescent="0.25">
      <c r="A285" s="25"/>
      <c r="B285" s="26"/>
      <c r="C285" s="27"/>
      <c r="D285" s="28"/>
      <c r="E285" s="29"/>
      <c r="F285" s="30"/>
      <c r="G285" s="31"/>
      <c r="H285" s="32"/>
      <c r="I285" s="33"/>
      <c r="J285" s="34" t="str">
        <f>IF(AND(D285="",E285="",A285="",B285="",C285=""),"", IFERROR(IF(J284="",D2,J284),D2)+IF(E285="",0,E285)-IF(OR(G285="أبو اسحاق",G285="أبو آدم",G285="أبو اسحاق ",G285="أبو آدم "),0,IF(D285="",0,D285)))</f>
        <v/>
      </c>
      <c r="K285" s="35"/>
      <c r="L285" t="str">
        <f>IF(E284&gt;0,COUNTIF($E$4:E284,"&gt;0"),"")</f>
        <v/>
      </c>
      <c r="M285" t="str">
        <f>IF(AND(D284&gt;0,G284="المحفظة"),COUNTIFS($D$4:D284,"&gt;"&amp;0,$G$4:G284,"المحفظة"),"")</f>
        <v/>
      </c>
      <c r="N285" t="str">
        <f>IF(AND(OR('طباعة كشف الحساب'!$C$2="الكل",MONTH(A285)=IFERROR(MATCH('طباعة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الحساب'!$F$2="الكل",YEAR(A285)=IFERROR(VALUE('طباعة كشف الحساب'!$F$2),0)),A285&lt;&gt;""),IFERROR(MAX($N$4:N284),0)+1,"")</f>
        <v/>
      </c>
      <c r="O285" t="str">
        <f>IF(AND(D284&gt;0,F284="أحد الشركاء"),COUNTIFS($D$4:D284,"&gt;"&amp;0,$F$4:F284,"أحد الشركاء"),"")</f>
        <v/>
      </c>
      <c r="P285" t="str">
        <f>IF(OR($A285="",$F285="أحد الشركاء",AND($D285="",$E285="")),"",SUMPRODUCT(($A$4:$A285&lt;&gt;"")*($F$4:$F285&lt;&gt;"أحد الشركاء")*((($D$4:$D285&lt;&gt;"")+($E$4:$E285&lt;&gt;""))&gt;0)))</f>
        <v/>
      </c>
      <c r="Q285" t="str">
        <f>IF(OR($A285="",$F285&lt;&gt;"أحد الشركاء"),"",COUNTIFS($A$4:A285,"&lt;&gt;",$F$4:F285,"أحد الشركاء"))</f>
        <v/>
      </c>
    </row>
    <row r="286" spans="1:17" ht="18.75" customHeight="1" x14ac:dyDescent="0.25">
      <c r="A286" s="25"/>
      <c r="B286" s="36"/>
      <c r="C286" s="37"/>
      <c r="D286" s="38"/>
      <c r="E286" s="39"/>
      <c r="F286" s="136"/>
      <c r="G286" s="40"/>
      <c r="H286" s="41"/>
      <c r="I286" s="42"/>
      <c r="J286" s="43" t="str">
        <f>IF(AND(D286="",E286="",A286="",B286="",C286=""),"", IFERROR(IF(J285="",D2,J285),D2)+IF(E286="",0,E286)-IF(OR(G286="أبو اسحاق",G286="أبو آدم",G286="أبو اسحاق ",G286="أبو آدم "),0,IF(D286="",0,D286)))</f>
        <v/>
      </c>
      <c r="K286" s="44"/>
      <c r="L286" t="str">
        <f>IF(E285&gt;0,COUNTIF($E$4:E285,"&gt;0"),"")</f>
        <v/>
      </c>
      <c r="M286" t="str">
        <f>IF(AND(D285&gt;0,G285="المحفظة"),COUNTIFS($D$4:D285,"&gt;"&amp;0,$G$4:G285,"المحفظة"),"")</f>
        <v/>
      </c>
      <c r="N286" t="str">
        <f>IF(AND(OR('طباعة كشف الحساب'!$C$2="الكل",MONTH(A286)=IFERROR(MATCH('طباعة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الحساب'!$F$2="الكل",YEAR(A286)=IFERROR(VALUE('طباعة كشف الحساب'!$F$2),0)),A286&lt;&gt;""),IFERROR(MAX($N$4:N285),0)+1,"")</f>
        <v/>
      </c>
      <c r="O286" t="str">
        <f>IF(AND(D285&gt;0,F285="أحد الشركاء"),COUNTIFS($D$4:D285,"&gt;"&amp;0,$F$4:F285,"أحد الشركاء"),"")</f>
        <v/>
      </c>
      <c r="P286" t="str">
        <f>IF(OR($A286="",$F286="أحد الشركاء",AND($D286="",$E286="")),"",SUMPRODUCT(($A$4:$A286&lt;&gt;"")*($F$4:$F286&lt;&gt;"أحد الشركاء")*((($D$4:$D286&lt;&gt;"")+($E$4:$E286&lt;&gt;""))&gt;0)))</f>
        <v/>
      </c>
      <c r="Q286" t="str">
        <f>IF(OR($A286="",$F286&lt;&gt;"أحد الشركاء"),"",COUNTIFS($A$4:A286,"&lt;&gt;",$F$4:F286,"أحد الشركاء"))</f>
        <v/>
      </c>
    </row>
    <row r="287" spans="1:17" ht="18.75" customHeight="1" x14ac:dyDescent="0.25">
      <c r="A287" s="25"/>
      <c r="B287" s="26"/>
      <c r="C287" s="27"/>
      <c r="D287" s="28"/>
      <c r="E287" s="29"/>
      <c r="F287" s="30"/>
      <c r="G287" s="31"/>
      <c r="H287" s="32"/>
      <c r="I287" s="33"/>
      <c r="J287" s="34" t="str">
        <f>IF(AND(D287="",E287="",A287="",B287="",C287=""),"", IFERROR(IF(J286="",D2,J286),D2)+IF(E287="",0,E287)-IF(OR(G287="أبو اسحاق",G287="أبو آدم",G287="أبو اسحاق ",G287="أبو آدم "),0,IF(D287="",0,D287)))</f>
        <v/>
      </c>
      <c r="K287" s="35"/>
      <c r="L287" t="str">
        <f>IF(E286&gt;0,COUNTIF($E$4:E286,"&gt;0"),"")</f>
        <v/>
      </c>
      <c r="M287" t="str">
        <f>IF(AND(D286&gt;0,G286="المحفظة"),COUNTIFS($D$4:D286,"&gt;"&amp;0,$G$4:G286,"المحفظة"),"")</f>
        <v/>
      </c>
      <c r="N287" t="str">
        <f>IF(AND(OR('طباعة كشف الحساب'!$C$2="الكل",MONTH(A287)=IFERROR(MATCH('طباعة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الحساب'!$F$2="الكل",YEAR(A287)=IFERROR(VALUE('طباعة كشف الحساب'!$F$2),0)),A287&lt;&gt;""),IFERROR(MAX($N$4:N286),0)+1,"")</f>
        <v/>
      </c>
      <c r="O287" t="str">
        <f>IF(AND(D286&gt;0,F286="أحد الشركاء"),COUNTIFS($D$4:D286,"&gt;"&amp;0,$F$4:F286,"أحد الشركاء"),"")</f>
        <v/>
      </c>
      <c r="P287" t="str">
        <f>IF(OR($A287="",$F287="أحد الشركاء",AND($D287="",$E287="")),"",SUMPRODUCT(($A$4:$A287&lt;&gt;"")*($F$4:$F287&lt;&gt;"أحد الشركاء")*((($D$4:$D287&lt;&gt;"")+($E$4:$E287&lt;&gt;""))&gt;0)))</f>
        <v/>
      </c>
      <c r="Q287" t="str">
        <f>IF(OR($A287="",$F287&lt;&gt;"أحد الشركاء"),"",COUNTIFS($A$4:A287,"&lt;&gt;",$F$4:F287,"أحد الشركاء"))</f>
        <v/>
      </c>
    </row>
    <row r="288" spans="1:17" ht="18.75" customHeight="1" x14ac:dyDescent="0.25">
      <c r="A288" s="25"/>
      <c r="B288" s="36"/>
      <c r="C288" s="37"/>
      <c r="D288" s="38"/>
      <c r="E288" s="39"/>
      <c r="F288" s="136"/>
      <c r="G288" s="40"/>
      <c r="H288" s="41"/>
      <c r="I288" s="42"/>
      <c r="J288" s="43" t="str">
        <f>IF(AND(D288="",E288="",A288="",B288="",C288=""),"", IFERROR(IF(J287="",D2,J287),D2)+IF(E288="",0,E288)-IF(OR(G288="أبو اسحاق",G288="أبو آدم",G288="أبو اسحاق ",G288="أبو آدم "),0,IF(D288="",0,D288)))</f>
        <v/>
      </c>
      <c r="K288" s="44"/>
      <c r="L288" t="str">
        <f>IF(E287&gt;0,COUNTIF($E$4:E287,"&gt;0"),"")</f>
        <v/>
      </c>
      <c r="M288" t="str">
        <f>IF(AND(D287&gt;0,G287="المحفظة"),COUNTIFS($D$4:D287,"&gt;"&amp;0,$G$4:G287,"المحفظة"),"")</f>
        <v/>
      </c>
      <c r="N288" t="str">
        <f>IF(AND(OR('طباعة كشف الحساب'!$C$2="الكل",MONTH(A288)=IFERROR(MATCH('طباعة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الحساب'!$F$2="الكل",YEAR(A288)=IFERROR(VALUE('طباعة كشف الحساب'!$F$2),0)),A288&lt;&gt;""),IFERROR(MAX($N$4:N287),0)+1,"")</f>
        <v/>
      </c>
      <c r="O288" t="str">
        <f>IF(AND(D287&gt;0,F287="أحد الشركاء"),COUNTIFS($D$4:D287,"&gt;"&amp;0,$F$4:F287,"أحد الشركاء"),"")</f>
        <v/>
      </c>
      <c r="P288" t="str">
        <f>IF(OR($A288="",$F288="أحد الشركاء",AND($D288="",$E288="")),"",SUMPRODUCT(($A$4:$A288&lt;&gt;"")*($F$4:$F288&lt;&gt;"أحد الشركاء")*((($D$4:$D288&lt;&gt;"")+($E$4:$E288&lt;&gt;""))&gt;0)))</f>
        <v/>
      </c>
      <c r="Q288" t="str">
        <f>IF(OR($A288="",$F288&lt;&gt;"أحد الشركاء"),"",COUNTIFS($A$4:A288,"&lt;&gt;",$F$4:F288,"أحد الشركاء"))</f>
        <v/>
      </c>
    </row>
    <row r="289" spans="1:17" ht="18.75" customHeight="1" x14ac:dyDescent="0.25">
      <c r="A289" s="25"/>
      <c r="B289" s="26"/>
      <c r="C289" s="27"/>
      <c r="D289" s="28"/>
      <c r="E289" s="29"/>
      <c r="F289" s="30"/>
      <c r="G289" s="31"/>
      <c r="H289" s="32"/>
      <c r="I289" s="33"/>
      <c r="J289" s="34" t="str">
        <f>IF(AND(D289="",E289="",A289="",B289="",C289=""),"", IFERROR(IF(J288="",D2,J288),D2)+IF(E289="",0,E289)-IF(OR(G289="أبو اسحاق",G289="أبو آدم",G289="أبو اسحاق ",G289="أبو آدم "),0,IF(D289="",0,D289)))</f>
        <v/>
      </c>
      <c r="K289" s="35"/>
      <c r="L289" t="str">
        <f>IF(E288&gt;0,COUNTIF($E$4:E288,"&gt;0"),"")</f>
        <v/>
      </c>
      <c r="M289" t="str">
        <f>IF(AND(D288&gt;0,G288="المحفظة"),COUNTIFS($D$4:D288,"&gt;"&amp;0,$G$4:G288,"المحفظة"),"")</f>
        <v/>
      </c>
      <c r="N289" t="str">
        <f>IF(AND(OR('طباعة كشف الحساب'!$C$2="الكل",MONTH(A289)=IFERROR(MATCH('طباعة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الحساب'!$F$2="الكل",YEAR(A289)=IFERROR(VALUE('طباعة كشف الحساب'!$F$2),0)),A289&lt;&gt;""),IFERROR(MAX($N$4:N288),0)+1,"")</f>
        <v/>
      </c>
      <c r="O289" t="str">
        <f>IF(AND(D288&gt;0,F288="أحد الشركاء"),COUNTIFS($D$4:D288,"&gt;"&amp;0,$F$4:F288,"أحد الشركاء"),"")</f>
        <v/>
      </c>
      <c r="P289" t="str">
        <f>IF(OR($A289="",$F289="أحد الشركاء",AND($D289="",$E289="")),"",SUMPRODUCT(($A$4:$A289&lt;&gt;"")*($F$4:$F289&lt;&gt;"أحد الشركاء")*((($D$4:$D289&lt;&gt;"")+($E$4:$E289&lt;&gt;""))&gt;0)))</f>
        <v/>
      </c>
      <c r="Q289" t="str">
        <f>IF(OR($A289="",$F289&lt;&gt;"أحد الشركاء"),"",COUNTIFS($A$4:A289,"&lt;&gt;",$F$4:F289,"أحد الشركاء"))</f>
        <v/>
      </c>
    </row>
    <row r="290" spans="1:17" ht="18.75" customHeight="1" x14ac:dyDescent="0.25">
      <c r="A290" s="25"/>
      <c r="B290" s="36"/>
      <c r="C290" s="37"/>
      <c r="D290" s="38"/>
      <c r="E290" s="39"/>
      <c r="F290" s="136"/>
      <c r="G290" s="40"/>
      <c r="H290" s="41"/>
      <c r="I290" s="42"/>
      <c r="J290" s="43" t="str">
        <f>IF(AND(D290="",E290="",A290="",B290="",C290=""),"", IFERROR(IF(J289="",D2,J289),D2)+IF(E290="",0,E290)-IF(OR(G290="أبو اسحاق",G290="أبو آدم",G290="أبو اسحاق ",G290="أبو آدم "),0,IF(D290="",0,D290)))</f>
        <v/>
      </c>
      <c r="K290" s="44"/>
      <c r="L290" t="str">
        <f>IF(E289&gt;0,COUNTIF($E$4:E289,"&gt;0"),"")</f>
        <v/>
      </c>
      <c r="M290" t="str">
        <f>IF(AND(D289&gt;0,G289="المحفظة"),COUNTIFS($D$4:D289,"&gt;"&amp;0,$G$4:G289,"المحفظة"),"")</f>
        <v/>
      </c>
      <c r="N290" t="str">
        <f>IF(AND(OR('طباعة كشف الحساب'!$C$2="الكل",MONTH(A290)=IFERROR(MATCH('طباعة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الحساب'!$F$2="الكل",YEAR(A290)=IFERROR(VALUE('طباعة كشف الحساب'!$F$2),0)),A290&lt;&gt;""),IFERROR(MAX($N$4:N289),0)+1,"")</f>
        <v/>
      </c>
      <c r="O290" t="str">
        <f>IF(AND(D289&gt;0,F289="أحد الشركاء"),COUNTIFS($D$4:D289,"&gt;"&amp;0,$F$4:F289,"أحد الشركاء"),"")</f>
        <v/>
      </c>
      <c r="P290" t="str">
        <f>IF(OR($A290="",$F290="أحد الشركاء",AND($D290="",$E290="")),"",SUMPRODUCT(($A$4:$A290&lt;&gt;"")*($F$4:$F290&lt;&gt;"أحد الشركاء")*((($D$4:$D290&lt;&gt;"")+($E$4:$E290&lt;&gt;""))&gt;0)))</f>
        <v/>
      </c>
      <c r="Q290" t="str">
        <f>IF(OR($A290="",$F290&lt;&gt;"أحد الشركاء"),"",COUNTIFS($A$4:A290,"&lt;&gt;",$F$4:F290,"أحد الشركاء"))</f>
        <v/>
      </c>
    </row>
    <row r="291" spans="1:17" ht="18.75" customHeight="1" x14ac:dyDescent="0.25">
      <c r="A291" s="25"/>
      <c r="B291" s="26"/>
      <c r="C291" s="27"/>
      <c r="D291" s="28"/>
      <c r="E291" s="29"/>
      <c r="F291" s="30"/>
      <c r="G291" s="31"/>
      <c r="H291" s="32"/>
      <c r="I291" s="33"/>
      <c r="J291" s="34" t="str">
        <f>IF(AND(D291="",E291="",A291="",B291="",C291=""),"", IFERROR(IF(J290="",D2,J290),D2)+IF(E291="",0,E291)-IF(OR(G291="أبو اسحاق",G291="أبو آدم",G291="أبو اسحاق ",G291="أبو آدم "),0,IF(D291="",0,D291)))</f>
        <v/>
      </c>
      <c r="K291" s="35"/>
      <c r="L291" t="str">
        <f>IF(E290&gt;0,COUNTIF($E$4:E290,"&gt;0"),"")</f>
        <v/>
      </c>
      <c r="M291" t="str">
        <f>IF(AND(D290&gt;0,G290="المحفظة"),COUNTIFS($D$4:D290,"&gt;"&amp;0,$G$4:G290,"المحفظة"),"")</f>
        <v/>
      </c>
      <c r="N291" t="str">
        <f>IF(AND(OR('طباعة كشف الحساب'!$C$2="الكل",MONTH(A291)=IFERROR(MATCH('طباعة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الحساب'!$F$2="الكل",YEAR(A291)=IFERROR(VALUE('طباعة كشف الحساب'!$F$2),0)),A291&lt;&gt;""),IFERROR(MAX($N$4:N290),0)+1,"")</f>
        <v/>
      </c>
      <c r="O291" t="str">
        <f>IF(AND(D290&gt;0,F290="أحد الشركاء"),COUNTIFS($D$4:D290,"&gt;"&amp;0,$F$4:F290,"أحد الشركاء"),"")</f>
        <v/>
      </c>
      <c r="P291" t="str">
        <f>IF(OR($A291="",$F291="أحد الشركاء",AND($D291="",$E291="")),"",SUMPRODUCT(($A$4:$A291&lt;&gt;"")*($F$4:$F291&lt;&gt;"أحد الشركاء")*((($D$4:$D291&lt;&gt;"")+($E$4:$E291&lt;&gt;""))&gt;0)))</f>
        <v/>
      </c>
      <c r="Q291" t="str">
        <f>IF(OR($A291="",$F291&lt;&gt;"أحد الشركاء"),"",COUNTIFS($A$4:A291,"&lt;&gt;",$F$4:F291,"أحد الشركاء"))</f>
        <v/>
      </c>
    </row>
    <row r="292" spans="1:17" ht="18.75" customHeight="1" x14ac:dyDescent="0.25">
      <c r="A292" s="25"/>
      <c r="B292" s="36"/>
      <c r="C292" s="37"/>
      <c r="D292" s="38"/>
      <c r="E292" s="39"/>
      <c r="F292" s="136"/>
      <c r="G292" s="40"/>
      <c r="H292" s="41"/>
      <c r="I292" s="42"/>
      <c r="J292" s="43" t="str">
        <f>IF(AND(D292="",E292="",A292="",B292="",C292=""),"", IFERROR(IF(J291="",D2,J291),D2)+IF(E292="",0,E292)-IF(OR(G292="أبو اسحاق",G292="أبو آدم",G292="أبو اسحاق ",G292="أبو آدم "),0,IF(D292="",0,D292)))</f>
        <v/>
      </c>
      <c r="K292" s="44"/>
      <c r="L292" t="str">
        <f>IF(E291&gt;0,COUNTIF($E$4:E291,"&gt;0"),"")</f>
        <v/>
      </c>
      <c r="M292" t="str">
        <f>IF(AND(D291&gt;0,G291="المحفظة"),COUNTIFS($D$4:D291,"&gt;"&amp;0,$G$4:G291,"المحفظة"),"")</f>
        <v/>
      </c>
      <c r="N292" t="str">
        <f>IF(AND(OR('طباعة كشف الحساب'!$C$2="الكل",MONTH(A292)=IFERROR(MATCH('طباعة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الحساب'!$F$2="الكل",YEAR(A292)=IFERROR(VALUE('طباعة كشف الحساب'!$F$2),0)),A292&lt;&gt;""),IFERROR(MAX($N$4:N291),0)+1,"")</f>
        <v/>
      </c>
      <c r="O292" t="str">
        <f>IF(AND(D291&gt;0,F291="أحد الشركاء"),COUNTIFS($D$4:D291,"&gt;"&amp;0,$F$4:F291,"أحد الشركاء"),"")</f>
        <v/>
      </c>
      <c r="P292" t="str">
        <f>IF(OR($A292="",$F292="أحد الشركاء",AND($D292="",$E292="")),"",SUMPRODUCT(($A$4:$A292&lt;&gt;"")*($F$4:$F292&lt;&gt;"أحد الشركاء")*((($D$4:$D292&lt;&gt;"")+($E$4:$E292&lt;&gt;""))&gt;0)))</f>
        <v/>
      </c>
      <c r="Q292" t="str">
        <f>IF(OR($A292="",$F292&lt;&gt;"أحد الشركاء"),"",COUNTIFS($A$4:A292,"&lt;&gt;",$F$4:F292,"أحد الشركاء"))</f>
        <v/>
      </c>
    </row>
    <row r="293" spans="1:17" ht="18.75" customHeight="1" x14ac:dyDescent="0.25">
      <c r="A293" s="25"/>
      <c r="B293" s="26"/>
      <c r="C293" s="27"/>
      <c r="D293" s="28"/>
      <c r="E293" s="29"/>
      <c r="F293" s="30"/>
      <c r="G293" s="31"/>
      <c r="H293" s="32"/>
      <c r="I293" s="33"/>
      <c r="J293" s="34" t="str">
        <f>IF(AND(D293="",E293="",A293="",B293="",C293=""),"", IFERROR(IF(J292="",D2,J292),D2)+IF(E293="",0,E293)-IF(OR(G293="أبو اسحاق",G293="أبو آدم",G293="أبو اسحاق ",G293="أبو آدم "),0,IF(D293="",0,D293)))</f>
        <v/>
      </c>
      <c r="K293" s="35"/>
      <c r="L293" t="str">
        <f>IF(E292&gt;0,COUNTIF($E$4:E292,"&gt;0"),"")</f>
        <v/>
      </c>
      <c r="M293" t="str">
        <f>IF(AND(D292&gt;0,G292="المحفظة"),COUNTIFS($D$4:D292,"&gt;"&amp;0,$G$4:G292,"المحفظة"),"")</f>
        <v/>
      </c>
      <c r="N293" t="str">
        <f>IF(AND(OR('طباعة كشف الحساب'!$C$2="الكل",MONTH(A293)=IFERROR(MATCH('طباعة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الحساب'!$F$2="الكل",YEAR(A293)=IFERROR(VALUE('طباعة كشف الحساب'!$F$2),0)),A293&lt;&gt;""),IFERROR(MAX($N$4:N292),0)+1,"")</f>
        <v/>
      </c>
      <c r="O293" t="str">
        <f>IF(AND(D292&gt;0,F292="أحد الشركاء"),COUNTIFS($D$4:D292,"&gt;"&amp;0,$F$4:F292,"أحد الشركاء"),"")</f>
        <v/>
      </c>
      <c r="P293" t="str">
        <f>IF(OR($A293="",$F293="أحد الشركاء",AND($D293="",$E293="")),"",SUMPRODUCT(($A$4:$A293&lt;&gt;"")*($F$4:$F293&lt;&gt;"أحد الشركاء")*((($D$4:$D293&lt;&gt;"")+($E$4:$E293&lt;&gt;""))&gt;0)))</f>
        <v/>
      </c>
      <c r="Q293" t="str">
        <f>IF(OR($A293="",$F293&lt;&gt;"أحد الشركاء"),"",COUNTIFS($A$4:A293,"&lt;&gt;",$F$4:F293,"أحد الشركاء"))</f>
        <v/>
      </c>
    </row>
    <row r="294" spans="1:17" ht="18.75" customHeight="1" x14ac:dyDescent="0.25">
      <c r="A294" s="25"/>
      <c r="B294" s="36"/>
      <c r="C294" s="37"/>
      <c r="D294" s="38"/>
      <c r="E294" s="39"/>
      <c r="F294" s="136"/>
      <c r="G294" s="40"/>
      <c r="H294" s="41"/>
      <c r="I294" s="42"/>
      <c r="J294" s="43" t="str">
        <f>IF(AND(D294="",E294="",A294="",B294="",C294=""),"", IFERROR(IF(J293="",D2,J293),D2)+IF(E294="",0,E294)-IF(OR(G294="أبو اسحاق",G294="أبو آدم",G294="أبو اسحاق ",G294="أبو آدم "),0,IF(D294="",0,D294)))</f>
        <v/>
      </c>
      <c r="K294" s="44"/>
      <c r="L294" t="str">
        <f>IF(E293&gt;0,COUNTIF($E$4:E293,"&gt;0"),"")</f>
        <v/>
      </c>
      <c r="M294" t="str">
        <f>IF(AND(D293&gt;0,G293="المحفظة"),COUNTIFS($D$4:D293,"&gt;"&amp;0,$G$4:G293,"المحفظة"),"")</f>
        <v/>
      </c>
      <c r="N294" t="str">
        <f>IF(AND(OR('طباعة كشف الحساب'!$C$2="الكل",MONTH(A294)=IFERROR(MATCH('طباعة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الحساب'!$F$2="الكل",YEAR(A294)=IFERROR(VALUE('طباعة كشف الحساب'!$F$2),0)),A294&lt;&gt;""),IFERROR(MAX($N$4:N293),0)+1,"")</f>
        <v/>
      </c>
      <c r="O294" t="str">
        <f>IF(AND(D293&gt;0,F293="أحد الشركاء"),COUNTIFS($D$4:D293,"&gt;"&amp;0,$F$4:F293,"أحد الشركاء"),"")</f>
        <v/>
      </c>
      <c r="P294" t="str">
        <f>IF(OR($A294="",$F294="أحد الشركاء",AND($D294="",$E294="")),"",SUMPRODUCT(($A$4:$A294&lt;&gt;"")*($F$4:$F294&lt;&gt;"أحد الشركاء")*((($D$4:$D294&lt;&gt;"")+($E$4:$E294&lt;&gt;""))&gt;0)))</f>
        <v/>
      </c>
      <c r="Q294" t="str">
        <f>IF(OR($A294="",$F294&lt;&gt;"أحد الشركاء"),"",COUNTIFS($A$4:A294,"&lt;&gt;",$F$4:F294,"أحد الشركاء"))</f>
        <v/>
      </c>
    </row>
    <row r="295" spans="1:17" ht="18.75" customHeight="1" x14ac:dyDescent="0.25">
      <c r="A295" s="25"/>
      <c r="B295" s="26"/>
      <c r="C295" s="27"/>
      <c r="D295" s="28"/>
      <c r="E295" s="29"/>
      <c r="F295" s="30"/>
      <c r="G295" s="31"/>
      <c r="H295" s="32"/>
      <c r="I295" s="33"/>
      <c r="J295" s="34" t="str">
        <f>IF(AND(D295="",E295="",A295="",B295="",C295=""),"", IFERROR(IF(J294="",D2,J294),D2)+IF(E295="",0,E295)-IF(OR(G295="أبو اسحاق",G295="أبو آدم",G295="أبو اسحاق ",G295="أبو آدم "),0,IF(D295="",0,D295)))</f>
        <v/>
      </c>
      <c r="K295" s="35"/>
      <c r="L295" t="str">
        <f>IF(E294&gt;0,COUNTIF($E$4:E294,"&gt;0"),"")</f>
        <v/>
      </c>
      <c r="M295" t="str">
        <f>IF(AND(D294&gt;0,G294="المحفظة"),COUNTIFS($D$4:D294,"&gt;"&amp;0,$G$4:G294,"المحفظة"),"")</f>
        <v/>
      </c>
      <c r="N295" t="str">
        <f>IF(AND(OR('طباعة كشف الحساب'!$C$2="الكل",MONTH(A295)=IFERROR(MATCH('طباعة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الحساب'!$F$2="الكل",YEAR(A295)=IFERROR(VALUE('طباعة كشف الحساب'!$F$2),0)),A295&lt;&gt;""),IFERROR(MAX($N$4:N294),0)+1,"")</f>
        <v/>
      </c>
      <c r="O295" t="str">
        <f>IF(AND(D294&gt;0,F294="أحد الشركاء"),COUNTIFS($D$4:D294,"&gt;"&amp;0,$F$4:F294,"أحد الشركاء"),"")</f>
        <v/>
      </c>
      <c r="P295" t="str">
        <f>IF(OR($A295="",$F295="أحد الشركاء",AND($D295="",$E295="")),"",SUMPRODUCT(($A$4:$A295&lt;&gt;"")*($F$4:$F295&lt;&gt;"أحد الشركاء")*((($D$4:$D295&lt;&gt;"")+($E$4:$E295&lt;&gt;""))&gt;0)))</f>
        <v/>
      </c>
      <c r="Q295" t="str">
        <f>IF(OR($A295="",$F295&lt;&gt;"أحد الشركاء"),"",COUNTIFS($A$4:A295,"&lt;&gt;",$F$4:F295,"أحد الشركاء"))</f>
        <v/>
      </c>
    </row>
    <row r="296" spans="1:17" ht="18.75" customHeight="1" x14ac:dyDescent="0.25">
      <c r="A296" s="25"/>
      <c r="B296" s="36"/>
      <c r="C296" s="37"/>
      <c r="D296" s="38"/>
      <c r="E296" s="39"/>
      <c r="F296" s="136"/>
      <c r="G296" s="40"/>
      <c r="H296" s="41"/>
      <c r="I296" s="42"/>
      <c r="J296" s="43" t="str">
        <f>IF(AND(D296="",E296="",A296="",B296="",C296=""),"", IFERROR(IF(J295="",D2,J295),D2)+IF(E296="",0,E296)-IF(OR(G296="أبو اسحاق",G296="أبو آدم",G296="أبو اسحاق ",G296="أبو آدم "),0,IF(D296="",0,D296)))</f>
        <v/>
      </c>
      <c r="K296" s="44"/>
      <c r="L296" t="str">
        <f>IF(E295&gt;0,COUNTIF($E$4:E295,"&gt;0"),"")</f>
        <v/>
      </c>
      <c r="M296" t="str">
        <f>IF(AND(D295&gt;0,G295="المحفظة"),COUNTIFS($D$4:D295,"&gt;"&amp;0,$G$4:G295,"المحفظة"),"")</f>
        <v/>
      </c>
      <c r="N296" t="str">
        <f>IF(AND(OR('طباعة كشف الحساب'!$C$2="الكل",MONTH(A296)=IFERROR(MATCH('طباعة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الحساب'!$F$2="الكل",YEAR(A296)=IFERROR(VALUE('طباعة كشف الحساب'!$F$2),0)),A296&lt;&gt;""),IFERROR(MAX($N$4:N295),0)+1,"")</f>
        <v/>
      </c>
      <c r="O296" t="str">
        <f>IF(AND(D295&gt;0,F295="أحد الشركاء"),COUNTIFS($D$4:D295,"&gt;"&amp;0,$F$4:F295,"أحد الشركاء"),"")</f>
        <v/>
      </c>
      <c r="P296" t="str">
        <f>IF(OR($A296="",$F296="أحد الشركاء",AND($D296="",$E296="")),"",SUMPRODUCT(($A$4:$A296&lt;&gt;"")*($F$4:$F296&lt;&gt;"أحد الشركاء")*((($D$4:$D296&lt;&gt;"")+($E$4:$E296&lt;&gt;""))&gt;0)))</f>
        <v/>
      </c>
      <c r="Q296" t="str">
        <f>IF(OR($A296="",$F296&lt;&gt;"أحد الشركاء"),"",COUNTIFS($A$4:A296,"&lt;&gt;",$F$4:F296,"أحد الشركاء"))</f>
        <v/>
      </c>
    </row>
    <row r="297" spans="1:17" ht="18.75" customHeight="1" x14ac:dyDescent="0.25">
      <c r="A297" s="25"/>
      <c r="B297" s="26"/>
      <c r="C297" s="27"/>
      <c r="D297" s="28"/>
      <c r="E297" s="29"/>
      <c r="F297" s="30"/>
      <c r="G297" s="31"/>
      <c r="H297" s="32"/>
      <c r="I297" s="33"/>
      <c r="J297" s="34" t="str">
        <f>IF(AND(D297="",E297="",A297="",B297="",C297=""),"", IFERROR(IF(J296="",D2,J296),D2)+IF(E297="",0,E297)-IF(OR(G297="أبو اسحاق",G297="أبو آدم",G297="أبو اسحاق ",G297="أبو آدم "),0,IF(D297="",0,D297)))</f>
        <v/>
      </c>
      <c r="K297" s="35"/>
      <c r="L297" t="str">
        <f>IF(E296&gt;0,COUNTIF($E$4:E296,"&gt;0"),"")</f>
        <v/>
      </c>
      <c r="M297" t="str">
        <f>IF(AND(D296&gt;0,G296="المحفظة"),COUNTIFS($D$4:D296,"&gt;"&amp;0,$G$4:G296,"المحفظة"),"")</f>
        <v/>
      </c>
      <c r="N297" t="str">
        <f>IF(AND(OR('طباعة كشف الحساب'!$C$2="الكل",MONTH(A297)=IFERROR(MATCH('طباعة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الحساب'!$F$2="الكل",YEAR(A297)=IFERROR(VALUE('طباعة كشف الحساب'!$F$2),0)),A297&lt;&gt;""),IFERROR(MAX($N$4:N296),0)+1,"")</f>
        <v/>
      </c>
      <c r="O297" t="str">
        <f>IF(AND(D296&gt;0,F296="أحد الشركاء"),COUNTIFS($D$4:D296,"&gt;"&amp;0,$F$4:F296,"أحد الشركاء"),"")</f>
        <v/>
      </c>
      <c r="P297" t="str">
        <f>IF(OR($A297="",$F297="أحد الشركاء",AND($D297="",$E297="")),"",SUMPRODUCT(($A$4:$A297&lt;&gt;"")*($F$4:$F297&lt;&gt;"أحد الشركاء")*((($D$4:$D297&lt;&gt;"")+($E$4:$E297&lt;&gt;""))&gt;0)))</f>
        <v/>
      </c>
      <c r="Q297" t="str">
        <f>IF(OR($A297="",$F297&lt;&gt;"أحد الشركاء"),"",COUNTIFS($A$4:A297,"&lt;&gt;",$F$4:F297,"أحد الشركاء"))</f>
        <v/>
      </c>
    </row>
    <row r="298" spans="1:17" ht="18.75" customHeight="1" x14ac:dyDescent="0.25">
      <c r="A298" s="25"/>
      <c r="B298" s="36"/>
      <c r="C298" s="37"/>
      <c r="D298" s="38"/>
      <c r="E298" s="39"/>
      <c r="F298" s="136"/>
      <c r="G298" s="40"/>
      <c r="H298" s="41"/>
      <c r="I298" s="42"/>
      <c r="J298" s="43" t="str">
        <f>IF(AND(D298="",E298="",A298="",B298="",C298=""),"", IFERROR(IF(J297="",D2,J297),D2)+IF(E298="",0,E298)-IF(OR(G298="أبو اسحاق",G298="أبو آدم",G298="أبو اسحاق ",G298="أبو آدم "),0,IF(D298="",0,D298)))</f>
        <v/>
      </c>
      <c r="K298" s="44"/>
      <c r="L298" t="str">
        <f>IF(E297&gt;0,COUNTIF($E$4:E297,"&gt;0"),"")</f>
        <v/>
      </c>
      <c r="M298" t="str">
        <f>IF(AND(D297&gt;0,G297="المحفظة"),COUNTIFS($D$4:D297,"&gt;"&amp;0,$G$4:G297,"المحفظة"),"")</f>
        <v/>
      </c>
      <c r="N298" t="str">
        <f>IF(AND(OR('طباعة كشف الحساب'!$C$2="الكل",MONTH(A298)=IFERROR(MATCH('طباعة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الحساب'!$F$2="الكل",YEAR(A298)=IFERROR(VALUE('طباعة كشف الحساب'!$F$2),0)),A298&lt;&gt;""),IFERROR(MAX($N$4:N297),0)+1,"")</f>
        <v/>
      </c>
      <c r="O298" t="str">
        <f>IF(AND(D297&gt;0,F297="أحد الشركاء"),COUNTIFS($D$4:D297,"&gt;"&amp;0,$F$4:F297,"أحد الشركاء"),"")</f>
        <v/>
      </c>
      <c r="P298" t="str">
        <f>IF(OR($A298="",$F298="أحد الشركاء",AND($D298="",$E298="")),"",SUMPRODUCT(($A$4:$A298&lt;&gt;"")*($F$4:$F298&lt;&gt;"أحد الشركاء")*((($D$4:$D298&lt;&gt;"")+($E$4:$E298&lt;&gt;""))&gt;0)))</f>
        <v/>
      </c>
      <c r="Q298" t="str">
        <f>IF(OR($A298="",$F298&lt;&gt;"أحد الشركاء"),"",COUNTIFS($A$4:A298,"&lt;&gt;",$F$4:F298,"أحد الشركاء"))</f>
        <v/>
      </c>
    </row>
    <row r="299" spans="1:17" ht="18.75" customHeight="1" x14ac:dyDescent="0.25">
      <c r="A299" s="25"/>
      <c r="B299" s="26"/>
      <c r="C299" s="27"/>
      <c r="D299" s="28"/>
      <c r="E299" s="29"/>
      <c r="F299" s="30"/>
      <c r="G299" s="31"/>
      <c r="H299" s="32"/>
      <c r="I299" s="33"/>
      <c r="J299" s="34" t="str">
        <f>IF(AND(D299="",E299="",A299="",B299="",C299=""),"", IFERROR(IF(J298="",D2,J298),D2)+IF(E299="",0,E299)-IF(OR(G299="أبو اسحاق",G299="أبو آدم",G299="أبو اسحاق ",G299="أبو آدم "),0,IF(D299="",0,D299)))</f>
        <v/>
      </c>
      <c r="K299" s="35"/>
      <c r="L299" t="str">
        <f>IF(E298&gt;0,COUNTIF($E$4:E298,"&gt;0"),"")</f>
        <v/>
      </c>
      <c r="M299" t="str">
        <f>IF(AND(D298&gt;0,G298="المحفظة"),COUNTIFS($D$4:D298,"&gt;"&amp;0,$G$4:G298,"المحفظة"),"")</f>
        <v/>
      </c>
      <c r="N299" t="str">
        <f>IF(AND(OR('طباعة كشف الحساب'!$C$2="الكل",MONTH(A299)=IFERROR(MATCH('طباعة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الحساب'!$F$2="الكل",YEAR(A299)=IFERROR(VALUE('طباعة كشف الحساب'!$F$2),0)),A299&lt;&gt;""),IFERROR(MAX($N$4:N298),0)+1,"")</f>
        <v/>
      </c>
      <c r="O299" t="str">
        <f>IF(AND(D298&gt;0,F298="أحد الشركاء"),COUNTIFS($D$4:D298,"&gt;"&amp;0,$F$4:F298,"أحد الشركاء"),"")</f>
        <v/>
      </c>
      <c r="P299" t="str">
        <f>IF(OR($A299="",$F299="أحد الشركاء",AND($D299="",$E299="")),"",SUMPRODUCT(($A$4:$A299&lt;&gt;"")*($F$4:$F299&lt;&gt;"أحد الشركاء")*((($D$4:$D299&lt;&gt;"")+($E$4:$E299&lt;&gt;""))&gt;0)))</f>
        <v/>
      </c>
      <c r="Q299" t="str">
        <f>IF(OR($A299="",$F299&lt;&gt;"أحد الشركاء"),"",COUNTIFS($A$4:A299,"&lt;&gt;",$F$4:F299,"أحد الشركاء"))</f>
        <v/>
      </c>
    </row>
    <row r="300" spans="1:17" ht="18.75" customHeight="1" x14ac:dyDescent="0.25">
      <c r="A300" s="25"/>
      <c r="B300" s="36"/>
      <c r="C300" s="37"/>
      <c r="D300" s="38"/>
      <c r="E300" s="39"/>
      <c r="F300" s="136"/>
      <c r="G300" s="40"/>
      <c r="H300" s="41"/>
      <c r="I300" s="42"/>
      <c r="J300" s="43" t="str">
        <f>IF(AND(D300="",E300="",A300="",B300="",C300=""),"", IFERROR(IF(J299="",D2,J299),D2)+IF(E300="",0,E300)-IF(OR(G300="أبو اسحاق",G300="أبو آدم",G300="أبو اسحاق ",G300="أبو آدم "),0,IF(D300="",0,D300)))</f>
        <v/>
      </c>
      <c r="K300" s="44"/>
      <c r="L300" t="str">
        <f>IF(E299&gt;0,COUNTIF($E$4:E299,"&gt;0"),"")</f>
        <v/>
      </c>
      <c r="M300" t="str">
        <f>IF(AND(D299&gt;0,G299="المحفظة"),COUNTIFS($D$4:D299,"&gt;"&amp;0,$G$4:G299,"المحفظة"),"")</f>
        <v/>
      </c>
      <c r="N300" t="str">
        <f>IF(AND(OR('طباعة كشف الحساب'!$C$2="الكل",MONTH(A300)=IFERROR(MATCH('طباعة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الحساب'!$F$2="الكل",YEAR(A300)=IFERROR(VALUE('طباعة كشف الحساب'!$F$2),0)),A300&lt;&gt;""),IFERROR(MAX($N$4:N299),0)+1,"")</f>
        <v/>
      </c>
      <c r="O300" t="str">
        <f>IF(AND(D299&gt;0,F299="أحد الشركاء"),COUNTIFS($D$4:D299,"&gt;"&amp;0,$F$4:F299,"أحد الشركاء"),"")</f>
        <v/>
      </c>
      <c r="P300" t="str">
        <f>IF(OR($A300="",$F300="أحد الشركاء",AND($D300="",$E300="")),"",SUMPRODUCT(($A$4:$A300&lt;&gt;"")*($F$4:$F300&lt;&gt;"أحد الشركاء")*((($D$4:$D300&lt;&gt;"")+($E$4:$E300&lt;&gt;""))&gt;0)))</f>
        <v/>
      </c>
      <c r="Q300" t="str">
        <f>IF(OR($A300="",$F300&lt;&gt;"أحد الشركاء"),"",COUNTIFS($A$4:A300,"&lt;&gt;",$F$4:F300,"أحد الشركاء"))</f>
        <v/>
      </c>
    </row>
    <row r="301" spans="1:17" ht="18.75" customHeight="1" x14ac:dyDescent="0.25">
      <c r="A301" s="25"/>
      <c r="B301" s="26"/>
      <c r="C301" s="27"/>
      <c r="D301" s="28"/>
      <c r="E301" s="29"/>
      <c r="F301" s="30"/>
      <c r="G301" s="31"/>
      <c r="H301" s="32"/>
      <c r="I301" s="33"/>
      <c r="J301" s="34" t="str">
        <f>IF(AND(D301="",E301="",A301="",B301="",C301=""),"", IFERROR(IF(J300="",D2,J300),D2)+IF(E301="",0,E301)-IF(OR(G301="أبو اسحاق",G301="أبو آدم",G301="أبو اسحاق ",G301="أبو آدم "),0,IF(D301="",0,D301)))</f>
        <v/>
      </c>
      <c r="K301" s="35"/>
      <c r="L301" t="str">
        <f>IF(E300&gt;0,COUNTIF($E$4:E300,"&gt;0"),"")</f>
        <v/>
      </c>
      <c r="M301" t="str">
        <f>IF(AND(D300&gt;0,G300="المحفظة"),COUNTIFS($D$4:D300,"&gt;"&amp;0,$G$4:G300,"المحفظة"),"")</f>
        <v/>
      </c>
      <c r="N301" t="str">
        <f>IF(AND(OR('طباعة كشف الحساب'!$C$2="الكل",MONTH(A301)=IFERROR(MATCH('طباعة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الحساب'!$F$2="الكل",YEAR(A301)=IFERROR(VALUE('طباعة كشف الحساب'!$F$2),0)),A301&lt;&gt;""),IFERROR(MAX($N$4:N300),0)+1,"")</f>
        <v/>
      </c>
      <c r="O301" t="str">
        <f>IF(AND(D300&gt;0,F300="أحد الشركاء"),COUNTIFS($D$4:D300,"&gt;"&amp;0,$F$4:F300,"أحد الشركاء"),"")</f>
        <v/>
      </c>
      <c r="P301" t="str">
        <f>IF(OR($A301="",$F301="أحد الشركاء",AND($D301="",$E301="")),"",SUMPRODUCT(($A$4:$A301&lt;&gt;"")*($F$4:$F301&lt;&gt;"أحد الشركاء")*((($D$4:$D301&lt;&gt;"")+($E$4:$E301&lt;&gt;""))&gt;0)))</f>
        <v/>
      </c>
      <c r="Q301" t="str">
        <f>IF(OR($A301="",$F301&lt;&gt;"أحد الشركاء"),"",COUNTIFS($A$4:A301,"&lt;&gt;",$F$4:F301,"أحد الشركاء"))</f>
        <v/>
      </c>
    </row>
    <row r="302" spans="1:17" ht="18.75" customHeight="1" x14ac:dyDescent="0.25">
      <c r="A302" s="25"/>
      <c r="B302" s="36"/>
      <c r="C302" s="37"/>
      <c r="D302" s="38"/>
      <c r="E302" s="39"/>
      <c r="F302" s="136"/>
      <c r="G302" s="40"/>
      <c r="H302" s="41"/>
      <c r="I302" s="42"/>
      <c r="J302" s="43" t="str">
        <f>IF(AND(D302="",E302="",A302="",B302="",C302=""),"", IFERROR(IF(J301="",D2,J301),D2)+IF(E302="",0,E302)-IF(OR(G302="أبو اسحاق",G302="أبو آدم",G302="أبو اسحاق ",G302="أبو آدم "),0,IF(D302="",0,D302)))</f>
        <v/>
      </c>
      <c r="K302" s="44"/>
      <c r="L302" t="str">
        <f>IF(E301&gt;0,COUNTIF($E$4:E301,"&gt;0"),"")</f>
        <v/>
      </c>
      <c r="M302" t="str">
        <f>IF(AND(D301&gt;0,G301="المحفظة"),COUNTIFS($D$4:D301,"&gt;"&amp;0,$G$4:G301,"المحفظة"),"")</f>
        <v/>
      </c>
      <c r="N302" t="str">
        <f>IF(AND(OR('طباعة كشف الحساب'!$C$2="الكل",MONTH(A302)=IFERROR(MATCH('طباعة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الحساب'!$F$2="الكل",YEAR(A302)=IFERROR(VALUE('طباعة كشف الحساب'!$F$2),0)),A302&lt;&gt;""),IFERROR(MAX($N$4:N301),0)+1,"")</f>
        <v/>
      </c>
      <c r="O302" t="str">
        <f>IF(AND(D301&gt;0,F301="أحد الشركاء"),COUNTIFS($D$4:D301,"&gt;"&amp;0,$F$4:F301,"أحد الشركاء"),"")</f>
        <v/>
      </c>
      <c r="P302" t="str">
        <f>IF(OR($A302="",$F302="أحد الشركاء",AND($D302="",$E302="")),"",SUMPRODUCT(($A$4:$A302&lt;&gt;"")*($F$4:$F302&lt;&gt;"أحد الشركاء")*((($D$4:$D302&lt;&gt;"")+($E$4:$E302&lt;&gt;""))&gt;0)))</f>
        <v/>
      </c>
      <c r="Q302" t="str">
        <f>IF(OR($A302="",$F302&lt;&gt;"أحد الشركاء"),"",COUNTIFS($A$4:A302,"&lt;&gt;",$F$4:F302,"أحد الشركاء"))</f>
        <v/>
      </c>
    </row>
    <row r="303" spans="1:17" ht="18.75" customHeight="1" x14ac:dyDescent="0.25">
      <c r="A303" s="25"/>
      <c r="B303" s="26"/>
      <c r="C303" s="27"/>
      <c r="D303" s="28"/>
      <c r="E303" s="29"/>
      <c r="F303" s="30"/>
      <c r="G303" s="31"/>
      <c r="H303" s="32"/>
      <c r="I303" s="33"/>
      <c r="J303" s="34" t="str">
        <f>IF(AND(D303="",E303="",A303="",B303="",C303=""),"", IFERROR(IF(J302="",D2,J302),D2)+IF(E303="",0,E303)-IF(OR(G303="أبو اسحاق",G303="أبو آدم",G303="أبو اسحاق ",G303="أبو آدم "),0,IF(D303="",0,D303)))</f>
        <v/>
      </c>
      <c r="K303" s="35"/>
      <c r="L303" t="str">
        <f>IF(E302&gt;0,COUNTIF($E$4:E302,"&gt;0"),"")</f>
        <v/>
      </c>
      <c r="M303" t="str">
        <f>IF(AND(D302&gt;0,G302="المحفظة"),COUNTIFS($D$4:D302,"&gt;"&amp;0,$G$4:G302,"المحفظة"),"")</f>
        <v/>
      </c>
      <c r="N303" t="str">
        <f>IF(AND(OR('طباعة كشف الحساب'!$C$2="الكل",MONTH(A303)=IFERROR(MATCH('طباعة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الحساب'!$F$2="الكل",YEAR(A303)=IFERROR(VALUE('طباعة كشف الحساب'!$F$2),0)),A303&lt;&gt;""),IFERROR(MAX($N$4:N302),0)+1,"")</f>
        <v/>
      </c>
      <c r="O303" t="str">
        <f>IF(AND(D302&gt;0,F302="أحد الشركاء"),COUNTIFS($D$4:D302,"&gt;"&amp;0,$F$4:F302,"أحد الشركاء"),"")</f>
        <v/>
      </c>
      <c r="P303" t="str">
        <f>IF(OR($A303="",$F303="أحد الشركاء",AND($D303="",$E303="")),"",SUMPRODUCT(($A$4:$A303&lt;&gt;"")*($F$4:$F303&lt;&gt;"أحد الشركاء")*((($D$4:$D303&lt;&gt;"")+($E$4:$E303&lt;&gt;""))&gt;0)))</f>
        <v/>
      </c>
      <c r="Q303" t="str">
        <f>IF(OR($A303="",$F303&lt;&gt;"أحد الشركاء"),"",COUNTIFS($A$4:A303,"&lt;&gt;",$F$4:F303,"أحد الشركاء"))</f>
        <v/>
      </c>
    </row>
    <row r="304" spans="1:17" ht="18.75" customHeight="1" x14ac:dyDescent="0.25">
      <c r="A304" s="25"/>
      <c r="B304" s="36"/>
      <c r="C304" s="37"/>
      <c r="D304" s="38"/>
      <c r="E304" s="39"/>
      <c r="F304" s="136"/>
      <c r="G304" s="40"/>
      <c r="H304" s="41"/>
      <c r="I304" s="42"/>
      <c r="J304" s="43" t="str">
        <f>IF(AND(D304="",E304="",A304="",B304="",C304=""),"", IFERROR(IF(J303="",D2,J303),D2)+IF(E304="",0,E304)-IF(OR(G304="أبو اسحاق",G304="أبو آدم",G304="أبو اسحاق ",G304="أبو آدم "),0,IF(D304="",0,D304)))</f>
        <v/>
      </c>
      <c r="K304" s="44"/>
      <c r="L304" t="str">
        <f>IF(E303&gt;0,COUNTIF($E$4:E303,"&gt;0"),"")</f>
        <v/>
      </c>
      <c r="M304" t="str">
        <f>IF(AND(D303&gt;0,G303="المحفظة"),COUNTIFS($D$4:D303,"&gt;"&amp;0,$G$4:G303,"المحفظة"),"")</f>
        <v/>
      </c>
      <c r="N304" t="str">
        <f>IF(AND(OR('طباعة كشف الحساب'!$C$2="الكل",MONTH(A304)=IFERROR(MATCH('طباعة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الحساب'!$F$2="الكل",YEAR(A304)=IFERROR(VALUE('طباعة كشف الحساب'!$F$2),0)),A304&lt;&gt;""),IFERROR(MAX($N$4:N303),0)+1,"")</f>
        <v/>
      </c>
      <c r="O304" t="str">
        <f>IF(AND(D303&gt;0,F303="أحد الشركاء"),COUNTIFS($D$4:D303,"&gt;"&amp;0,$F$4:F303,"أحد الشركاء"),"")</f>
        <v/>
      </c>
      <c r="P304" t="str">
        <f>IF(OR($A304="",$F304="أحد الشركاء",AND($D304="",$E304="")),"",SUMPRODUCT(($A$4:$A304&lt;&gt;"")*($F$4:$F304&lt;&gt;"أحد الشركاء")*((($D$4:$D304&lt;&gt;"")+($E$4:$E304&lt;&gt;""))&gt;0)))</f>
        <v/>
      </c>
      <c r="Q304" t="str">
        <f>IF(OR($A304="",$F304&lt;&gt;"أحد الشركاء"),"",COUNTIFS($A$4:A304,"&lt;&gt;",$F$4:F304,"أحد الشركاء"))</f>
        <v/>
      </c>
    </row>
    <row r="305" spans="1:17" ht="18.75" customHeight="1" x14ac:dyDescent="0.25">
      <c r="A305" s="25"/>
      <c r="B305" s="26"/>
      <c r="C305" s="27"/>
      <c r="D305" s="28"/>
      <c r="E305" s="29"/>
      <c r="F305" s="30"/>
      <c r="G305" s="31"/>
      <c r="H305" s="32"/>
      <c r="I305" s="33"/>
      <c r="J305" s="34" t="str">
        <f>IF(AND(D305="",E305="",A305="",B305="",C305=""),"", IFERROR(IF(J304="",D2,J304),D2)+IF(E305="",0,E305)-IF(OR(G305="أبو اسحاق",G305="أبو آدم",G305="أبو اسحاق ",G305="أبو آدم "),0,IF(D305="",0,D305)))</f>
        <v/>
      </c>
      <c r="K305" s="35"/>
      <c r="L305" t="str">
        <f>IF(E304&gt;0,COUNTIF($E$4:E304,"&gt;0"),"")</f>
        <v/>
      </c>
      <c r="M305" t="str">
        <f>IF(AND(D304&gt;0,G304="المحفظة"),COUNTIFS($D$4:D304,"&gt;"&amp;0,$G$4:G304,"المحفظة"),"")</f>
        <v/>
      </c>
      <c r="N305" t="str">
        <f>IF(AND(OR('طباعة كشف الحساب'!$C$2="الكل",MONTH(A305)=IFERROR(MATCH('طباعة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الحساب'!$F$2="الكل",YEAR(A305)=IFERROR(VALUE('طباعة كشف الحساب'!$F$2),0)),A305&lt;&gt;""),IFERROR(MAX($N$4:N304),0)+1,"")</f>
        <v/>
      </c>
      <c r="O305" t="str">
        <f>IF(AND(D304&gt;0,F304="أحد الشركاء"),COUNTIFS($D$4:D304,"&gt;"&amp;0,$F$4:F304,"أحد الشركاء"),"")</f>
        <v/>
      </c>
      <c r="P305" t="str">
        <f>IF(OR($A305="",$F305="أحد الشركاء",AND($D305="",$E305="")),"",SUMPRODUCT(($A$4:$A305&lt;&gt;"")*($F$4:$F305&lt;&gt;"أحد الشركاء")*((($D$4:$D305&lt;&gt;"")+($E$4:$E305&lt;&gt;""))&gt;0)))</f>
        <v/>
      </c>
      <c r="Q305" t="str">
        <f>IF(OR($A305="",$F305&lt;&gt;"أحد الشركاء"),"",COUNTIFS($A$4:A305,"&lt;&gt;",$F$4:F305,"أحد الشركاء"))</f>
        <v/>
      </c>
    </row>
    <row r="306" spans="1:17" ht="18.75" customHeight="1" x14ac:dyDescent="0.25">
      <c r="A306" s="25"/>
      <c r="B306" s="36"/>
      <c r="C306" s="37"/>
      <c r="D306" s="38"/>
      <c r="E306" s="39"/>
      <c r="F306" s="136"/>
      <c r="G306" s="40"/>
      <c r="H306" s="41"/>
      <c r="I306" s="42"/>
      <c r="J306" s="43" t="str">
        <f>IF(AND(D306="",E306="",A306="",B306="",C306=""),"", IFERROR(IF(J305="",D2,J305),D2)+IF(E306="",0,E306)-IF(OR(G306="أبو اسحاق",G306="أبو آدم",G306="أبو اسحاق ",G306="أبو آدم "),0,IF(D306="",0,D306)))</f>
        <v/>
      </c>
      <c r="K306" s="44"/>
      <c r="L306" t="str">
        <f>IF(E305&gt;0,COUNTIF($E$4:E305,"&gt;0"),"")</f>
        <v/>
      </c>
      <c r="M306" t="str">
        <f>IF(AND(D305&gt;0,G305="المحفظة"),COUNTIFS($D$4:D305,"&gt;"&amp;0,$G$4:G305,"المحفظة"),"")</f>
        <v/>
      </c>
      <c r="N306" t="str">
        <f>IF(AND(OR('طباعة كشف الحساب'!$C$2="الكل",MONTH(A306)=IFERROR(MATCH('طباعة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الحساب'!$F$2="الكل",YEAR(A306)=IFERROR(VALUE('طباعة كشف الحساب'!$F$2),0)),A306&lt;&gt;""),IFERROR(MAX($N$4:N305),0)+1,"")</f>
        <v/>
      </c>
      <c r="O306" t="str">
        <f>IF(AND(D305&gt;0,F305="أحد الشركاء"),COUNTIFS($D$4:D305,"&gt;"&amp;0,$F$4:F305,"أحد الشركاء"),"")</f>
        <v/>
      </c>
      <c r="P306" t="str">
        <f>IF(OR($A306="",$F306="أحد الشركاء",AND($D306="",$E306="")),"",SUMPRODUCT(($A$4:$A306&lt;&gt;"")*($F$4:$F306&lt;&gt;"أحد الشركاء")*((($D$4:$D306&lt;&gt;"")+($E$4:$E306&lt;&gt;""))&gt;0)))</f>
        <v/>
      </c>
      <c r="Q306" t="str">
        <f>IF(OR($A306="",$F306&lt;&gt;"أحد الشركاء"),"",COUNTIFS($A$4:A306,"&lt;&gt;",$F$4:F306,"أحد الشركاء"))</f>
        <v/>
      </c>
    </row>
    <row r="307" spans="1:17" ht="18.75" customHeight="1" x14ac:dyDescent="0.25">
      <c r="A307" s="25"/>
      <c r="B307" s="26"/>
      <c r="C307" s="27"/>
      <c r="D307" s="28"/>
      <c r="E307" s="29"/>
      <c r="F307" s="30"/>
      <c r="G307" s="31"/>
      <c r="H307" s="32"/>
      <c r="I307" s="33"/>
      <c r="J307" s="34" t="str">
        <f>IF(AND(D307="",E307="",A307="",B307="",C307=""),"", IFERROR(IF(J306="",D2,J306),D2)+IF(E307="",0,E307)-IF(OR(G307="أبو اسحاق",G307="أبو آدم",G307="أبو اسحاق ",G307="أبو آدم "),0,IF(D307="",0,D307)))</f>
        <v/>
      </c>
      <c r="K307" s="35"/>
      <c r="L307" t="str">
        <f>IF(E306&gt;0,COUNTIF($E$4:E306,"&gt;0"),"")</f>
        <v/>
      </c>
      <c r="M307" t="str">
        <f>IF(AND(D306&gt;0,G306="المحفظة"),COUNTIFS($D$4:D306,"&gt;"&amp;0,$G$4:G306,"المحفظة"),"")</f>
        <v/>
      </c>
      <c r="N307" t="str">
        <f>IF(AND(OR('طباعة كشف الحساب'!$C$2="الكل",MONTH(A307)=IFERROR(MATCH('طباعة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الحساب'!$F$2="الكل",YEAR(A307)=IFERROR(VALUE('طباعة كشف الحساب'!$F$2),0)),A307&lt;&gt;""),IFERROR(MAX($N$4:N306),0)+1,"")</f>
        <v/>
      </c>
      <c r="O307" t="str">
        <f>IF(AND(D306&gt;0,F306="أحد الشركاء"),COUNTIFS($D$4:D306,"&gt;"&amp;0,$F$4:F306,"أحد الشركاء"),"")</f>
        <v/>
      </c>
      <c r="P307" t="str">
        <f>IF(OR($A307="",$F307="أحد الشركاء",AND($D307="",$E307="")),"",SUMPRODUCT(($A$4:$A307&lt;&gt;"")*($F$4:$F307&lt;&gt;"أحد الشركاء")*((($D$4:$D307&lt;&gt;"")+($E$4:$E307&lt;&gt;""))&gt;0)))</f>
        <v/>
      </c>
      <c r="Q307" t="str">
        <f>IF(OR($A307="",$F307&lt;&gt;"أحد الشركاء"),"",COUNTIFS($A$4:A307,"&lt;&gt;",$F$4:F307,"أحد الشركاء"))</f>
        <v/>
      </c>
    </row>
    <row r="308" spans="1:17" ht="18.75" customHeight="1" x14ac:dyDescent="0.25">
      <c r="A308" s="25"/>
      <c r="B308" s="36"/>
      <c r="C308" s="37"/>
      <c r="D308" s="38"/>
      <c r="E308" s="39"/>
      <c r="F308" s="136"/>
      <c r="G308" s="40"/>
      <c r="H308" s="41"/>
      <c r="I308" s="42"/>
      <c r="J308" s="43" t="str">
        <f>IF(AND(D308="",E308="",A308="",B308="",C308=""),"", IFERROR(IF(J307="",D2,J307),D2)+IF(E308="",0,E308)-IF(OR(G308="أبو اسحاق",G308="أبو آدم",G308="أبو اسحاق ",G308="أبو آدم "),0,IF(D308="",0,D308)))</f>
        <v/>
      </c>
      <c r="K308" s="44"/>
      <c r="L308" t="str">
        <f>IF(E307&gt;0,COUNTIF($E$4:E307,"&gt;0"),"")</f>
        <v/>
      </c>
      <c r="M308" t="str">
        <f>IF(AND(D307&gt;0,G307="المحفظة"),COUNTIFS($D$4:D307,"&gt;"&amp;0,$G$4:G307,"المحفظة"),"")</f>
        <v/>
      </c>
      <c r="N308" t="str">
        <f>IF(AND(OR('طباعة كشف الحساب'!$C$2="الكل",MONTH(A308)=IFERROR(MATCH('طباعة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الحساب'!$F$2="الكل",YEAR(A308)=IFERROR(VALUE('طباعة كشف الحساب'!$F$2),0)),A308&lt;&gt;""),IFERROR(MAX($N$4:N307),0)+1,"")</f>
        <v/>
      </c>
      <c r="O308" t="str">
        <f>IF(AND(D307&gt;0,F307="أحد الشركاء"),COUNTIFS($D$4:D307,"&gt;"&amp;0,$F$4:F307,"أحد الشركاء"),"")</f>
        <v/>
      </c>
      <c r="P308" t="str">
        <f>IF(OR($A308="",$F308="أحد الشركاء",AND($D308="",$E308="")),"",SUMPRODUCT(($A$4:$A308&lt;&gt;"")*($F$4:$F308&lt;&gt;"أحد الشركاء")*((($D$4:$D308&lt;&gt;"")+($E$4:$E308&lt;&gt;""))&gt;0)))</f>
        <v/>
      </c>
      <c r="Q308" t="str">
        <f>IF(OR($A308="",$F308&lt;&gt;"أحد الشركاء"),"",COUNTIFS($A$4:A308,"&lt;&gt;",$F$4:F308,"أحد الشركاء"))</f>
        <v/>
      </c>
    </row>
    <row r="309" spans="1:17" ht="18.75" customHeight="1" x14ac:dyDescent="0.25">
      <c r="A309" s="25"/>
      <c r="B309" s="26"/>
      <c r="C309" s="27"/>
      <c r="D309" s="28"/>
      <c r="E309" s="29"/>
      <c r="F309" s="30"/>
      <c r="G309" s="31"/>
      <c r="H309" s="32"/>
      <c r="I309" s="33"/>
      <c r="J309" s="34" t="str">
        <f>IF(AND(D309="",E309="",A309="",B309="",C309=""),"", IFERROR(IF(J308="",D2,J308),D2)+IF(E309="",0,E309)-IF(OR(G309="أبو اسحاق",G309="أبو آدم",G309="أبو اسحاق ",G309="أبو آدم "),0,IF(D309="",0,D309)))</f>
        <v/>
      </c>
      <c r="K309" s="35"/>
      <c r="L309" t="str">
        <f>IF(E308&gt;0,COUNTIF($E$4:E308,"&gt;0"),"")</f>
        <v/>
      </c>
      <c r="M309" t="str">
        <f>IF(AND(D308&gt;0,G308="المحفظة"),COUNTIFS($D$4:D308,"&gt;"&amp;0,$G$4:G308,"المحفظة"),"")</f>
        <v/>
      </c>
      <c r="N309" t="str">
        <f>IF(AND(OR('طباعة كشف الحساب'!$C$2="الكل",MONTH(A309)=IFERROR(MATCH('طباعة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الحساب'!$F$2="الكل",YEAR(A309)=IFERROR(VALUE('طباعة كشف الحساب'!$F$2),0)),A309&lt;&gt;""),IFERROR(MAX($N$4:N308),0)+1,"")</f>
        <v/>
      </c>
      <c r="O309" t="str">
        <f>IF(AND(D308&gt;0,F308="أحد الشركاء"),COUNTIFS($D$4:D308,"&gt;"&amp;0,$F$4:F308,"أحد الشركاء"),"")</f>
        <v/>
      </c>
      <c r="P309" t="str">
        <f>IF(OR($A309="",$F309="أحد الشركاء",AND($D309="",$E309="")),"",SUMPRODUCT(($A$4:$A309&lt;&gt;"")*($F$4:$F309&lt;&gt;"أحد الشركاء")*((($D$4:$D309&lt;&gt;"")+($E$4:$E309&lt;&gt;""))&gt;0)))</f>
        <v/>
      </c>
      <c r="Q309" t="str">
        <f>IF(OR($A309="",$F309&lt;&gt;"أحد الشركاء"),"",COUNTIFS($A$4:A309,"&lt;&gt;",$F$4:F309,"أحد الشركاء"))</f>
        <v/>
      </c>
    </row>
    <row r="310" spans="1:17" ht="18.75" customHeight="1" x14ac:dyDescent="0.25">
      <c r="A310" s="25"/>
      <c r="B310" s="36"/>
      <c r="C310" s="37"/>
      <c r="D310" s="38"/>
      <c r="E310" s="39"/>
      <c r="F310" s="136"/>
      <c r="G310" s="40"/>
      <c r="H310" s="41"/>
      <c r="I310" s="42"/>
      <c r="J310" s="43" t="str">
        <f>IF(AND(D310="",E310="",A310="",B310="",C310=""),"", IFERROR(IF(J309="",D2,J309),D2)+IF(E310="",0,E310)-IF(OR(G310="أبو اسحاق",G310="أبو آدم",G310="أبو اسحاق ",G310="أبو آدم "),0,IF(D310="",0,D310)))</f>
        <v/>
      </c>
      <c r="K310" s="44"/>
      <c r="L310" t="str">
        <f>IF(E309&gt;0,COUNTIF($E$4:E309,"&gt;0"),"")</f>
        <v/>
      </c>
      <c r="M310" t="str">
        <f>IF(AND(D309&gt;0,G309="المحفظة"),COUNTIFS($D$4:D309,"&gt;"&amp;0,$G$4:G309,"المحفظة"),"")</f>
        <v/>
      </c>
      <c r="N310" t="str">
        <f>IF(AND(OR('طباعة كشف الحساب'!$C$2="الكل",MONTH(A310)=IFERROR(MATCH('طباعة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الحساب'!$F$2="الكل",YEAR(A310)=IFERROR(VALUE('طباعة كشف الحساب'!$F$2),0)),A310&lt;&gt;""),IFERROR(MAX($N$4:N309),0)+1,"")</f>
        <v/>
      </c>
      <c r="O310" t="str">
        <f>IF(AND(D309&gt;0,F309="أحد الشركاء"),COUNTIFS($D$4:D309,"&gt;"&amp;0,$F$4:F309,"أحد الشركاء"),"")</f>
        <v/>
      </c>
      <c r="P310" t="str">
        <f>IF(OR($A310="",$F310="أحد الشركاء",AND($D310="",$E310="")),"",SUMPRODUCT(($A$4:$A310&lt;&gt;"")*($F$4:$F310&lt;&gt;"أحد الشركاء")*((($D$4:$D310&lt;&gt;"")+($E$4:$E310&lt;&gt;""))&gt;0)))</f>
        <v/>
      </c>
      <c r="Q310" t="str">
        <f>IF(OR($A310="",$F310&lt;&gt;"أحد الشركاء"),"",COUNTIFS($A$4:A310,"&lt;&gt;",$F$4:F310,"أحد الشركاء"))</f>
        <v/>
      </c>
    </row>
    <row r="311" spans="1:17" ht="18.75" customHeight="1" x14ac:dyDescent="0.25">
      <c r="A311" s="25"/>
      <c r="B311" s="26"/>
      <c r="C311" s="27"/>
      <c r="D311" s="28"/>
      <c r="E311" s="29"/>
      <c r="F311" s="30"/>
      <c r="G311" s="31"/>
      <c r="H311" s="32"/>
      <c r="I311" s="33"/>
      <c r="J311" s="34" t="str">
        <f>IF(AND(D311="",E311="",A311="",B311="",C311=""),"", IFERROR(IF(J310="",D2,J310),D2)+IF(E311="",0,E311)-IF(OR(G311="أبو اسحاق",G311="أبو آدم",G311="أبو اسحاق ",G311="أبو آدم "),0,IF(D311="",0,D311)))</f>
        <v/>
      </c>
      <c r="K311" s="35"/>
      <c r="L311" t="str">
        <f>IF(E310&gt;0,COUNTIF($E$4:E310,"&gt;0"),"")</f>
        <v/>
      </c>
      <c r="M311" t="str">
        <f>IF(AND(D310&gt;0,G310="المحفظة"),COUNTIFS($D$4:D310,"&gt;"&amp;0,$G$4:G310,"المحفظة"),"")</f>
        <v/>
      </c>
      <c r="N311" t="str">
        <f>IF(AND(OR('طباعة كشف الحساب'!$C$2="الكل",MONTH(A311)=IFERROR(MATCH('طباعة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الحساب'!$F$2="الكل",YEAR(A311)=IFERROR(VALUE('طباعة كشف الحساب'!$F$2),0)),A311&lt;&gt;""),IFERROR(MAX($N$4:N310),0)+1,"")</f>
        <v/>
      </c>
      <c r="O311" t="str">
        <f>IF(AND(D310&gt;0,F310="أحد الشركاء"),COUNTIFS($D$4:D310,"&gt;"&amp;0,$F$4:F310,"أحد الشركاء"),"")</f>
        <v/>
      </c>
      <c r="P311" t="str">
        <f>IF(OR($A311="",$F311="أحد الشركاء",AND($D311="",$E311="")),"",SUMPRODUCT(($A$4:$A311&lt;&gt;"")*($F$4:$F311&lt;&gt;"أحد الشركاء")*((($D$4:$D311&lt;&gt;"")+($E$4:$E311&lt;&gt;""))&gt;0)))</f>
        <v/>
      </c>
      <c r="Q311" t="str">
        <f>IF(OR($A311="",$F311&lt;&gt;"أحد الشركاء"),"",COUNTIFS($A$4:A311,"&lt;&gt;",$F$4:F311,"أحد الشركاء"))</f>
        <v/>
      </c>
    </row>
    <row r="312" spans="1:17" ht="18.75" customHeight="1" x14ac:dyDescent="0.25">
      <c r="A312" s="25"/>
      <c r="B312" s="36"/>
      <c r="C312" s="37"/>
      <c r="D312" s="38"/>
      <c r="E312" s="39"/>
      <c r="F312" s="136"/>
      <c r="G312" s="40"/>
      <c r="H312" s="41"/>
      <c r="I312" s="42"/>
      <c r="J312" s="43" t="str">
        <f>IF(AND(D312="",E312="",A312="",B312="",C312=""),"", IFERROR(IF(J311="",D2,J311),D2)+IF(E312="",0,E312)-IF(OR(G312="أبو اسحاق",G312="أبو آدم",G312="أبو اسحاق ",G312="أبو آدم "),0,IF(D312="",0,D312)))</f>
        <v/>
      </c>
      <c r="K312" s="44"/>
      <c r="L312" t="str">
        <f>IF(E311&gt;0,COUNTIF($E$4:E311,"&gt;0"),"")</f>
        <v/>
      </c>
      <c r="M312" t="str">
        <f>IF(AND(D311&gt;0,G311="المحفظة"),COUNTIFS($D$4:D311,"&gt;"&amp;0,$G$4:G311,"المحفظة"),"")</f>
        <v/>
      </c>
      <c r="N312" t="str">
        <f>IF(AND(OR('طباعة كشف الحساب'!$C$2="الكل",MONTH(A312)=IFERROR(MATCH('طباعة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الحساب'!$F$2="الكل",YEAR(A312)=IFERROR(VALUE('طباعة كشف الحساب'!$F$2),0)),A312&lt;&gt;""),IFERROR(MAX($N$4:N311),0)+1,"")</f>
        <v/>
      </c>
      <c r="O312" t="str">
        <f>IF(AND(D311&gt;0,F311="أحد الشركاء"),COUNTIFS($D$4:D311,"&gt;"&amp;0,$F$4:F311,"أحد الشركاء"),"")</f>
        <v/>
      </c>
      <c r="P312" t="str">
        <f>IF(OR($A312="",$F312="أحد الشركاء",AND($D312="",$E312="")),"",SUMPRODUCT(($A$4:$A312&lt;&gt;"")*($F$4:$F312&lt;&gt;"أحد الشركاء")*((($D$4:$D312&lt;&gt;"")+($E$4:$E312&lt;&gt;""))&gt;0)))</f>
        <v/>
      </c>
      <c r="Q312" t="str">
        <f>IF(OR($A312="",$F312&lt;&gt;"أحد الشركاء"),"",COUNTIFS($A$4:A312,"&lt;&gt;",$F$4:F312,"أحد الشركاء"))</f>
        <v/>
      </c>
    </row>
    <row r="313" spans="1:17" ht="18.75" customHeight="1" x14ac:dyDescent="0.25">
      <c r="A313" s="25"/>
      <c r="B313" s="26"/>
      <c r="C313" s="27"/>
      <c r="D313" s="28"/>
      <c r="E313" s="29"/>
      <c r="F313" s="30"/>
      <c r="G313" s="31"/>
      <c r="H313" s="32"/>
      <c r="I313" s="33"/>
      <c r="J313" s="34" t="str">
        <f>IF(AND(D313="",E313="",A313="",B313="",C313=""),"", IFERROR(IF(J312="",D2,J312),D2)+IF(E313="",0,E313)-IF(OR(G313="أبو اسحاق",G313="أبو آدم",G313="أبو اسحاق ",G313="أبو آدم "),0,IF(D313="",0,D313)))</f>
        <v/>
      </c>
      <c r="K313" s="35"/>
      <c r="L313" t="str">
        <f>IF(E312&gt;0,COUNTIF($E$4:E312,"&gt;0"),"")</f>
        <v/>
      </c>
      <c r="M313" t="str">
        <f>IF(AND(D312&gt;0,G312="المحفظة"),COUNTIFS($D$4:D312,"&gt;"&amp;0,$G$4:G312,"المحفظة"),"")</f>
        <v/>
      </c>
      <c r="N313" t="str">
        <f>IF(AND(OR('طباعة كشف الحساب'!$C$2="الكل",MONTH(A313)=IFERROR(MATCH('طباعة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الحساب'!$F$2="الكل",YEAR(A313)=IFERROR(VALUE('طباعة كشف الحساب'!$F$2),0)),A313&lt;&gt;""),IFERROR(MAX($N$4:N312),0)+1,"")</f>
        <v/>
      </c>
      <c r="O313" t="str">
        <f>IF(AND(D312&gt;0,F312="أحد الشركاء"),COUNTIFS($D$4:D312,"&gt;"&amp;0,$F$4:F312,"أحد الشركاء"),"")</f>
        <v/>
      </c>
      <c r="P313" t="str">
        <f>IF(OR($A313="",$F313="أحد الشركاء",AND($D313="",$E313="")),"",SUMPRODUCT(($A$4:$A313&lt;&gt;"")*($F$4:$F313&lt;&gt;"أحد الشركاء")*((($D$4:$D313&lt;&gt;"")+($E$4:$E313&lt;&gt;""))&gt;0)))</f>
        <v/>
      </c>
      <c r="Q313" t="str">
        <f>IF(OR($A313="",$F313&lt;&gt;"أحد الشركاء"),"",COUNTIFS($A$4:A313,"&lt;&gt;",$F$4:F313,"أحد الشركاء"))</f>
        <v/>
      </c>
    </row>
    <row r="314" spans="1:17" ht="18.75" customHeight="1" x14ac:dyDescent="0.25">
      <c r="A314" s="25"/>
      <c r="B314" s="36"/>
      <c r="C314" s="37"/>
      <c r="D314" s="38"/>
      <c r="E314" s="39"/>
      <c r="F314" s="136"/>
      <c r="G314" s="40"/>
      <c r="H314" s="41"/>
      <c r="I314" s="42"/>
      <c r="J314" s="43" t="str">
        <f>IF(AND(D314="",E314="",A314="",B314="",C314=""),"", IFERROR(IF(J313="",D2,J313),D2)+IF(E314="",0,E314)-IF(OR(G314="أبو اسحاق",G314="أبو آدم",G314="أبو اسحاق ",G314="أبو آدم "),0,IF(D314="",0,D314)))</f>
        <v/>
      </c>
      <c r="K314" s="44"/>
      <c r="L314" t="str">
        <f>IF(E313&gt;0,COUNTIF($E$4:E313,"&gt;0"),"")</f>
        <v/>
      </c>
      <c r="M314" t="str">
        <f>IF(AND(D313&gt;0,G313="المحفظة"),COUNTIFS($D$4:D313,"&gt;"&amp;0,$G$4:G313,"المحفظة"),"")</f>
        <v/>
      </c>
      <c r="N314" t="str">
        <f>IF(AND(OR('طباعة كشف الحساب'!$C$2="الكل",MONTH(A314)=IFERROR(MATCH('طباعة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الحساب'!$F$2="الكل",YEAR(A314)=IFERROR(VALUE('طباعة كشف الحساب'!$F$2),0)),A314&lt;&gt;""),IFERROR(MAX($N$4:N313),0)+1,"")</f>
        <v/>
      </c>
      <c r="O314" t="str">
        <f>IF(AND(D313&gt;0,F313="أحد الشركاء"),COUNTIFS($D$4:D313,"&gt;"&amp;0,$F$4:F313,"أحد الشركاء"),"")</f>
        <v/>
      </c>
      <c r="P314" t="str">
        <f>IF(OR($A314="",$F314="أحد الشركاء",AND($D314="",$E314="")),"",SUMPRODUCT(($A$4:$A314&lt;&gt;"")*($F$4:$F314&lt;&gt;"أحد الشركاء")*((($D$4:$D314&lt;&gt;"")+($E$4:$E314&lt;&gt;""))&gt;0)))</f>
        <v/>
      </c>
      <c r="Q314" t="str">
        <f>IF(OR($A314="",$F314&lt;&gt;"أحد الشركاء"),"",COUNTIFS($A$4:A314,"&lt;&gt;",$F$4:F314,"أحد الشركاء"))</f>
        <v/>
      </c>
    </row>
    <row r="315" spans="1:17" ht="18.75" customHeight="1" x14ac:dyDescent="0.25">
      <c r="A315" s="25"/>
      <c r="B315" s="26"/>
      <c r="C315" s="27"/>
      <c r="D315" s="28"/>
      <c r="E315" s="29"/>
      <c r="F315" s="30"/>
      <c r="G315" s="31"/>
      <c r="H315" s="32"/>
      <c r="I315" s="33"/>
      <c r="J315" s="34" t="str">
        <f>IF(AND(D315="",E315="",A315="",B315="",C315=""),"", IFERROR(IF(J314="",D2,J314),D2)+IF(E315="",0,E315)-IF(OR(G315="أبو اسحاق",G315="أبو آدم",G315="أبو اسحاق ",G315="أبو آدم "),0,IF(D315="",0,D315)))</f>
        <v/>
      </c>
      <c r="K315" s="35"/>
      <c r="L315" t="str">
        <f>IF(E314&gt;0,COUNTIF($E$4:E314,"&gt;0"),"")</f>
        <v/>
      </c>
      <c r="M315" t="str">
        <f>IF(AND(D314&gt;0,G314="المحفظة"),COUNTIFS($D$4:D314,"&gt;"&amp;0,$G$4:G314,"المحفظة"),"")</f>
        <v/>
      </c>
      <c r="N315" t="str">
        <f>IF(AND(OR('طباعة كشف الحساب'!$C$2="الكل",MONTH(A315)=IFERROR(MATCH('طباعة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الحساب'!$F$2="الكل",YEAR(A315)=IFERROR(VALUE('طباعة كشف الحساب'!$F$2),0)),A315&lt;&gt;""),IFERROR(MAX($N$4:N314),0)+1,"")</f>
        <v/>
      </c>
      <c r="O315" t="str">
        <f>IF(AND(D314&gt;0,F314="أحد الشركاء"),COUNTIFS($D$4:D314,"&gt;"&amp;0,$F$4:F314,"أحد الشركاء"),"")</f>
        <v/>
      </c>
      <c r="P315" t="str">
        <f>IF(OR($A315="",$F315="أحد الشركاء",AND($D315="",$E315="")),"",SUMPRODUCT(($A$4:$A315&lt;&gt;"")*($F$4:$F315&lt;&gt;"أحد الشركاء")*((($D$4:$D315&lt;&gt;"")+($E$4:$E315&lt;&gt;""))&gt;0)))</f>
        <v/>
      </c>
      <c r="Q315" t="str">
        <f>IF(OR($A315="",$F315&lt;&gt;"أحد الشركاء"),"",COUNTIFS($A$4:A315,"&lt;&gt;",$F$4:F315,"أحد الشركاء"))</f>
        <v/>
      </c>
    </row>
    <row r="316" spans="1:17" ht="18.75" customHeight="1" x14ac:dyDescent="0.25">
      <c r="A316" s="25"/>
      <c r="B316" s="36"/>
      <c r="C316" s="37"/>
      <c r="D316" s="38"/>
      <c r="E316" s="39"/>
      <c r="F316" s="136"/>
      <c r="G316" s="40"/>
      <c r="H316" s="41"/>
      <c r="I316" s="42"/>
      <c r="J316" s="43" t="str">
        <f>IF(AND(D316="",E316="",A316="",B316="",C316=""),"", IFERROR(IF(J315="",D2,J315),D2)+IF(E316="",0,E316)-IF(OR(G316="أبو اسحاق",G316="أبو آدم",G316="أبو اسحاق ",G316="أبو آدم "),0,IF(D316="",0,D316)))</f>
        <v/>
      </c>
      <c r="K316" s="44"/>
      <c r="L316" t="str">
        <f>IF(E315&gt;0,COUNTIF($E$4:E315,"&gt;0"),"")</f>
        <v/>
      </c>
      <c r="M316" t="str">
        <f>IF(AND(D315&gt;0,G315="المحفظة"),COUNTIFS($D$4:D315,"&gt;"&amp;0,$G$4:G315,"المحفظة"),"")</f>
        <v/>
      </c>
      <c r="N316" t="str">
        <f>IF(AND(OR('طباعة كشف الحساب'!$C$2="الكل",MONTH(A316)=IFERROR(MATCH('طباعة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الحساب'!$F$2="الكل",YEAR(A316)=IFERROR(VALUE('طباعة كشف الحساب'!$F$2),0)),A316&lt;&gt;""),IFERROR(MAX($N$4:N315),0)+1,"")</f>
        <v/>
      </c>
      <c r="O316" t="str">
        <f>IF(AND(D315&gt;0,F315="أحد الشركاء"),COUNTIFS($D$4:D315,"&gt;"&amp;0,$F$4:F315,"أحد الشركاء"),"")</f>
        <v/>
      </c>
      <c r="P316" t="str">
        <f>IF(OR($A316="",$F316="أحد الشركاء",AND($D316="",$E316="")),"",SUMPRODUCT(($A$4:$A316&lt;&gt;"")*($F$4:$F316&lt;&gt;"أحد الشركاء")*((($D$4:$D316&lt;&gt;"")+($E$4:$E316&lt;&gt;""))&gt;0)))</f>
        <v/>
      </c>
      <c r="Q316" t="str">
        <f>IF(OR($A316="",$F316&lt;&gt;"أحد الشركاء"),"",COUNTIFS($A$4:A316,"&lt;&gt;",$F$4:F316,"أحد الشركاء"))</f>
        <v/>
      </c>
    </row>
    <row r="317" spans="1:17" ht="18.75" customHeight="1" x14ac:dyDescent="0.25">
      <c r="A317" s="25"/>
      <c r="B317" s="26"/>
      <c r="C317" s="27"/>
      <c r="D317" s="28"/>
      <c r="E317" s="29"/>
      <c r="F317" s="30"/>
      <c r="G317" s="31"/>
      <c r="H317" s="32"/>
      <c r="I317" s="33"/>
      <c r="J317" s="34" t="str">
        <f>IF(AND(D317="",E317="",A317="",B317="",C317=""),"", IFERROR(IF(J316="",D2,J316),D2)+IF(E317="",0,E317)-IF(OR(G317="أبو اسحاق",G317="أبو آدم",G317="أبو اسحاق ",G317="أبو آدم "),0,IF(D317="",0,D317)))</f>
        <v/>
      </c>
      <c r="K317" s="35"/>
      <c r="L317" t="str">
        <f>IF(E316&gt;0,COUNTIF($E$4:E316,"&gt;0"),"")</f>
        <v/>
      </c>
      <c r="M317" t="str">
        <f>IF(AND(D316&gt;0,G316="المحفظة"),COUNTIFS($D$4:D316,"&gt;"&amp;0,$G$4:G316,"المحفظة"),"")</f>
        <v/>
      </c>
      <c r="N317" t="str">
        <f>IF(AND(OR('طباعة كشف الحساب'!$C$2="الكل",MONTH(A317)=IFERROR(MATCH('طباعة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الحساب'!$F$2="الكل",YEAR(A317)=IFERROR(VALUE('طباعة كشف الحساب'!$F$2),0)),A317&lt;&gt;""),IFERROR(MAX($N$4:N316),0)+1,"")</f>
        <v/>
      </c>
      <c r="O317" t="str">
        <f>IF(AND(D316&gt;0,F316="أحد الشركاء"),COUNTIFS($D$4:D316,"&gt;"&amp;0,$F$4:F316,"أحد الشركاء"),"")</f>
        <v/>
      </c>
      <c r="P317" t="str">
        <f>IF(OR($A317="",$F317="أحد الشركاء",AND($D317="",$E317="")),"",SUMPRODUCT(($A$4:$A317&lt;&gt;"")*($F$4:$F317&lt;&gt;"أحد الشركاء")*((($D$4:$D317&lt;&gt;"")+($E$4:$E317&lt;&gt;""))&gt;0)))</f>
        <v/>
      </c>
      <c r="Q317" t="str">
        <f>IF(OR($A317="",$F317&lt;&gt;"أحد الشركاء"),"",COUNTIFS($A$4:A317,"&lt;&gt;",$F$4:F317,"أحد الشركاء"))</f>
        <v/>
      </c>
    </row>
    <row r="318" spans="1:17" ht="18.75" customHeight="1" x14ac:dyDescent="0.25">
      <c r="A318" s="25"/>
      <c r="B318" s="36"/>
      <c r="C318" s="37"/>
      <c r="D318" s="38"/>
      <c r="E318" s="39"/>
      <c r="F318" s="136"/>
      <c r="G318" s="40"/>
      <c r="H318" s="41"/>
      <c r="I318" s="42"/>
      <c r="J318" s="43" t="str">
        <f>IF(AND(D318="",E318="",A318="",B318="",C318=""),"", IFERROR(IF(J317="",D2,J317),D2)+IF(E318="",0,E318)-IF(OR(G318="أبو اسحاق",G318="أبو آدم",G318="أبو اسحاق ",G318="أبو آدم "),0,IF(D318="",0,D318)))</f>
        <v/>
      </c>
      <c r="K318" s="44"/>
      <c r="L318" t="str">
        <f>IF(E317&gt;0,COUNTIF($E$4:E317,"&gt;0"),"")</f>
        <v/>
      </c>
      <c r="M318" t="str">
        <f>IF(AND(D317&gt;0,G317="المحفظة"),COUNTIFS($D$4:D317,"&gt;"&amp;0,$G$4:G317,"المحفظة"),"")</f>
        <v/>
      </c>
      <c r="N318" t="str">
        <f>IF(AND(OR('طباعة كشف الحساب'!$C$2="الكل",MONTH(A318)=IFERROR(MATCH('طباعة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الحساب'!$F$2="الكل",YEAR(A318)=IFERROR(VALUE('طباعة كشف الحساب'!$F$2),0)),A318&lt;&gt;""),IFERROR(MAX($N$4:N317),0)+1,"")</f>
        <v/>
      </c>
      <c r="O318" t="str">
        <f>IF(AND(D317&gt;0,F317="أحد الشركاء"),COUNTIFS($D$4:D317,"&gt;"&amp;0,$F$4:F317,"أحد الشركاء"),"")</f>
        <v/>
      </c>
      <c r="P318" t="str">
        <f>IF(OR($A318="",$F318="أحد الشركاء",AND($D318="",$E318="")),"",SUMPRODUCT(($A$4:$A318&lt;&gt;"")*($F$4:$F318&lt;&gt;"أحد الشركاء")*((($D$4:$D318&lt;&gt;"")+($E$4:$E318&lt;&gt;""))&gt;0)))</f>
        <v/>
      </c>
      <c r="Q318" t="str">
        <f>IF(OR($A318="",$F318&lt;&gt;"أحد الشركاء"),"",COUNTIFS($A$4:A318,"&lt;&gt;",$F$4:F318,"أحد الشركاء"))</f>
        <v/>
      </c>
    </row>
    <row r="319" spans="1:17" ht="18.75" customHeight="1" x14ac:dyDescent="0.25">
      <c r="A319" s="25"/>
      <c r="B319" s="26"/>
      <c r="C319" s="27"/>
      <c r="D319" s="28"/>
      <c r="E319" s="29"/>
      <c r="F319" s="30"/>
      <c r="G319" s="31"/>
      <c r="H319" s="32"/>
      <c r="I319" s="33"/>
      <c r="J319" s="34" t="str">
        <f>IF(AND(D319="",E319="",A319="",B319="",C319=""),"", IFERROR(IF(J318="",D2,J318),D2)+IF(E319="",0,E319)-IF(OR(G319="أبو اسحاق",G319="أبو آدم",G319="أبو اسحاق ",G319="أبو آدم "),0,IF(D319="",0,D319)))</f>
        <v/>
      </c>
      <c r="K319" s="35"/>
      <c r="L319" t="str">
        <f>IF(E318&gt;0,COUNTIF($E$4:E318,"&gt;0"),"")</f>
        <v/>
      </c>
      <c r="M319" t="str">
        <f>IF(AND(D318&gt;0,G318="المحفظة"),COUNTIFS($D$4:D318,"&gt;"&amp;0,$G$4:G318,"المحفظة"),"")</f>
        <v/>
      </c>
      <c r="N319" t="str">
        <f>IF(AND(OR('طباعة كشف الحساب'!$C$2="الكل",MONTH(A319)=IFERROR(MATCH('طباعة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الحساب'!$F$2="الكل",YEAR(A319)=IFERROR(VALUE('طباعة كشف الحساب'!$F$2),0)),A319&lt;&gt;""),IFERROR(MAX($N$4:N318),0)+1,"")</f>
        <v/>
      </c>
      <c r="O319" t="str">
        <f>IF(AND(D318&gt;0,F318="أحد الشركاء"),COUNTIFS($D$4:D318,"&gt;"&amp;0,$F$4:F318,"أحد الشركاء"),"")</f>
        <v/>
      </c>
      <c r="P319" t="str">
        <f>IF(OR($A319="",$F319="أحد الشركاء",AND($D319="",$E319="")),"",SUMPRODUCT(($A$4:$A319&lt;&gt;"")*($F$4:$F319&lt;&gt;"أحد الشركاء")*((($D$4:$D319&lt;&gt;"")+($E$4:$E319&lt;&gt;""))&gt;0)))</f>
        <v/>
      </c>
      <c r="Q319" t="str">
        <f>IF(OR($A319="",$F319&lt;&gt;"أحد الشركاء"),"",COUNTIFS($A$4:A319,"&lt;&gt;",$F$4:F319,"أحد الشركاء"))</f>
        <v/>
      </c>
    </row>
    <row r="320" spans="1:17" ht="18.75" customHeight="1" x14ac:dyDescent="0.25">
      <c r="A320" s="25"/>
      <c r="B320" s="36"/>
      <c r="C320" s="37"/>
      <c r="D320" s="38"/>
      <c r="E320" s="39"/>
      <c r="F320" s="136"/>
      <c r="G320" s="40"/>
      <c r="H320" s="41"/>
      <c r="I320" s="42"/>
      <c r="J320" s="43" t="str">
        <f>IF(AND(D320="",E320="",A320="",B320="",C320=""),"", IFERROR(IF(J319="",D2,J319),D2)+IF(E320="",0,E320)-IF(OR(G320="أبو اسحاق",G320="أبو آدم",G320="أبو اسحاق ",G320="أبو آدم "),0,IF(D320="",0,D320)))</f>
        <v/>
      </c>
      <c r="K320" s="44"/>
      <c r="L320" t="str">
        <f>IF(E319&gt;0,COUNTIF($E$4:E319,"&gt;0"),"")</f>
        <v/>
      </c>
      <c r="M320" t="str">
        <f>IF(AND(D319&gt;0,G319="المحفظة"),COUNTIFS($D$4:D319,"&gt;"&amp;0,$G$4:G319,"المحفظة"),"")</f>
        <v/>
      </c>
      <c r="N320" t="str">
        <f>IF(AND(OR('طباعة كشف الحساب'!$C$2="الكل",MONTH(A320)=IFERROR(MATCH('طباعة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الحساب'!$F$2="الكل",YEAR(A320)=IFERROR(VALUE('طباعة كشف الحساب'!$F$2),0)),A320&lt;&gt;""),IFERROR(MAX($N$4:N319),0)+1,"")</f>
        <v/>
      </c>
      <c r="O320" t="str">
        <f>IF(AND(D319&gt;0,F319="أحد الشركاء"),COUNTIFS($D$4:D319,"&gt;"&amp;0,$F$4:F319,"أحد الشركاء"),"")</f>
        <v/>
      </c>
      <c r="P320" t="str">
        <f>IF(OR($A320="",$F320="أحد الشركاء",AND($D320="",$E320="")),"",SUMPRODUCT(($A$4:$A320&lt;&gt;"")*($F$4:$F320&lt;&gt;"أحد الشركاء")*((($D$4:$D320&lt;&gt;"")+($E$4:$E320&lt;&gt;""))&gt;0)))</f>
        <v/>
      </c>
      <c r="Q320" t="str">
        <f>IF(OR($A320="",$F320&lt;&gt;"أحد الشركاء"),"",COUNTIFS($A$4:A320,"&lt;&gt;",$F$4:F320,"أحد الشركاء"))</f>
        <v/>
      </c>
    </row>
    <row r="321" spans="1:17" ht="18.75" customHeight="1" x14ac:dyDescent="0.25">
      <c r="A321" s="25"/>
      <c r="B321" s="26"/>
      <c r="C321" s="27"/>
      <c r="D321" s="28"/>
      <c r="E321" s="29"/>
      <c r="F321" s="30"/>
      <c r="G321" s="31"/>
      <c r="H321" s="32"/>
      <c r="I321" s="33"/>
      <c r="J321" s="34" t="str">
        <f>IF(AND(D321="",E321="",A321="",B321="",C321=""),"", IFERROR(IF(J320="",D2,J320),D2)+IF(E321="",0,E321)-IF(OR(G321="أبو اسحاق",G321="أبو آدم",G321="أبو اسحاق ",G321="أبو آدم "),0,IF(D321="",0,D321)))</f>
        <v/>
      </c>
      <c r="K321" s="35"/>
      <c r="L321" t="str">
        <f>IF(E320&gt;0,COUNTIF($E$4:E320,"&gt;0"),"")</f>
        <v/>
      </c>
      <c r="M321" t="str">
        <f>IF(AND(D320&gt;0,G320="المحفظة"),COUNTIFS($D$4:D320,"&gt;"&amp;0,$G$4:G320,"المحفظة"),"")</f>
        <v/>
      </c>
      <c r="N321" t="str">
        <f>IF(AND(OR('طباعة كشف الحساب'!$C$2="الكل",MONTH(A321)=IFERROR(MATCH('طباعة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الحساب'!$F$2="الكل",YEAR(A321)=IFERROR(VALUE('طباعة كشف الحساب'!$F$2),0)),A321&lt;&gt;""),IFERROR(MAX($N$4:N320),0)+1,"")</f>
        <v/>
      </c>
      <c r="O321" t="str">
        <f>IF(AND(D320&gt;0,F320="أحد الشركاء"),COUNTIFS($D$4:D320,"&gt;"&amp;0,$F$4:F320,"أحد الشركاء"),"")</f>
        <v/>
      </c>
      <c r="P321" t="str">
        <f>IF(OR($A321="",$F321="أحد الشركاء",AND($D321="",$E321="")),"",SUMPRODUCT(($A$4:$A321&lt;&gt;"")*($F$4:$F321&lt;&gt;"أحد الشركاء")*((($D$4:$D321&lt;&gt;"")+($E$4:$E321&lt;&gt;""))&gt;0)))</f>
        <v/>
      </c>
      <c r="Q321" t="str">
        <f>IF(OR($A321="",$F321&lt;&gt;"أحد الشركاء"),"",COUNTIFS($A$4:A321,"&lt;&gt;",$F$4:F321,"أحد الشركاء"))</f>
        <v/>
      </c>
    </row>
    <row r="322" spans="1:17" ht="18.75" customHeight="1" x14ac:dyDescent="0.25">
      <c r="A322" s="25"/>
      <c r="B322" s="36"/>
      <c r="C322" s="37"/>
      <c r="D322" s="38"/>
      <c r="E322" s="39"/>
      <c r="F322" s="136"/>
      <c r="G322" s="40"/>
      <c r="H322" s="41"/>
      <c r="I322" s="42"/>
      <c r="J322" s="43" t="str">
        <f>IF(AND(D322="",E322="",A322="",B322="",C322=""),"", IFERROR(IF(J321="",D2,J321),D2)+IF(E322="",0,E322)-IF(OR(G322="أبو اسحاق",G322="أبو آدم",G322="أبو اسحاق ",G322="أبو آدم "),0,IF(D322="",0,D322)))</f>
        <v/>
      </c>
      <c r="K322" s="44"/>
      <c r="L322" t="str">
        <f>IF(E321&gt;0,COUNTIF($E$4:E321,"&gt;0"),"")</f>
        <v/>
      </c>
      <c r="M322" t="str">
        <f>IF(AND(D321&gt;0,G321="المحفظة"),COUNTIFS($D$4:D321,"&gt;"&amp;0,$G$4:G321,"المحفظة"),"")</f>
        <v/>
      </c>
      <c r="N322" t="str">
        <f>IF(AND(OR('طباعة كشف الحساب'!$C$2="الكل",MONTH(A322)=IFERROR(MATCH('طباعة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الحساب'!$F$2="الكل",YEAR(A322)=IFERROR(VALUE('طباعة كشف الحساب'!$F$2),0)),A322&lt;&gt;""),IFERROR(MAX($N$4:N321),0)+1,"")</f>
        <v/>
      </c>
      <c r="O322" t="str">
        <f>IF(AND(D321&gt;0,F321="أحد الشركاء"),COUNTIFS($D$4:D321,"&gt;"&amp;0,$F$4:F321,"أحد الشركاء"),"")</f>
        <v/>
      </c>
      <c r="P322" t="str">
        <f>IF(OR($A322="",$F322="أحد الشركاء",AND($D322="",$E322="")),"",SUMPRODUCT(($A$4:$A322&lt;&gt;"")*($F$4:$F322&lt;&gt;"أحد الشركاء")*((($D$4:$D322&lt;&gt;"")+($E$4:$E322&lt;&gt;""))&gt;0)))</f>
        <v/>
      </c>
      <c r="Q322" t="str">
        <f>IF(OR($A322="",$F322&lt;&gt;"أحد الشركاء"),"",COUNTIFS($A$4:A322,"&lt;&gt;",$F$4:F322,"أحد الشركاء"))</f>
        <v/>
      </c>
    </row>
    <row r="323" spans="1:17" ht="18.75" customHeight="1" x14ac:dyDescent="0.25">
      <c r="A323" s="25"/>
      <c r="B323" s="26"/>
      <c r="C323" s="27"/>
      <c r="D323" s="28"/>
      <c r="E323" s="29"/>
      <c r="F323" s="30"/>
      <c r="G323" s="31"/>
      <c r="H323" s="32"/>
      <c r="I323" s="33"/>
      <c r="J323" s="34" t="str">
        <f>IF(AND(D323="",E323="",A323="",B323="",C323=""),"", IFERROR(IF(J322="",D2,J322),D2)+IF(E323="",0,E323)-IF(OR(G323="أبو اسحاق",G323="أبو آدم",G323="أبو اسحاق ",G323="أبو آدم "),0,IF(D323="",0,D323)))</f>
        <v/>
      </c>
      <c r="K323" s="35"/>
      <c r="L323" t="str">
        <f>IF(E322&gt;0,COUNTIF($E$4:E322,"&gt;0"),"")</f>
        <v/>
      </c>
      <c r="M323" t="str">
        <f>IF(AND(D322&gt;0,G322="المحفظة"),COUNTIFS($D$4:D322,"&gt;"&amp;0,$G$4:G322,"المحفظة"),"")</f>
        <v/>
      </c>
      <c r="N323" t="str">
        <f>IF(AND(OR('طباعة كشف الحساب'!$C$2="الكل",MONTH(A323)=IFERROR(MATCH('طباعة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الحساب'!$F$2="الكل",YEAR(A323)=IFERROR(VALUE('طباعة كشف الحساب'!$F$2),0)),A323&lt;&gt;""),IFERROR(MAX($N$4:N322),0)+1,"")</f>
        <v/>
      </c>
      <c r="O323" t="str">
        <f>IF(AND(D322&gt;0,F322="أحد الشركاء"),COUNTIFS($D$4:D322,"&gt;"&amp;0,$F$4:F322,"أحد الشركاء"),"")</f>
        <v/>
      </c>
      <c r="P323" t="str">
        <f>IF(OR($A323="",$F323="أحد الشركاء",AND($D323="",$E323="")),"",SUMPRODUCT(($A$4:$A323&lt;&gt;"")*($F$4:$F323&lt;&gt;"أحد الشركاء")*((($D$4:$D323&lt;&gt;"")+($E$4:$E323&lt;&gt;""))&gt;0)))</f>
        <v/>
      </c>
      <c r="Q323" t="str">
        <f>IF(OR($A323="",$F323&lt;&gt;"أحد الشركاء"),"",COUNTIFS($A$4:A323,"&lt;&gt;",$F$4:F323,"أحد الشركاء"))</f>
        <v/>
      </c>
    </row>
    <row r="324" spans="1:17" ht="18.75" customHeight="1" x14ac:dyDescent="0.25">
      <c r="A324" s="25"/>
      <c r="B324" s="36"/>
      <c r="C324" s="37"/>
      <c r="D324" s="38"/>
      <c r="E324" s="39"/>
      <c r="F324" s="136"/>
      <c r="G324" s="40"/>
      <c r="H324" s="41"/>
      <c r="I324" s="42"/>
      <c r="J324" s="43" t="str">
        <f>IF(AND(D324="",E324="",A324="",B324="",C324=""),"", IFERROR(IF(J323="",D2,J323),D2)+IF(E324="",0,E324)-IF(OR(G324="أبو اسحاق",G324="أبو آدم",G324="أبو اسحاق ",G324="أبو آدم "),0,IF(D324="",0,D324)))</f>
        <v/>
      </c>
      <c r="K324" s="44"/>
      <c r="L324" t="str">
        <f>IF(E323&gt;0,COUNTIF($E$4:E323,"&gt;0"),"")</f>
        <v/>
      </c>
      <c r="M324" t="str">
        <f>IF(AND(D323&gt;0,G323="المحفظة"),COUNTIFS($D$4:D323,"&gt;"&amp;0,$G$4:G323,"المحفظة"),"")</f>
        <v/>
      </c>
      <c r="N324" t="str">
        <f>IF(AND(OR('طباعة كشف الحساب'!$C$2="الكل",MONTH(A324)=IFERROR(MATCH('طباعة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الحساب'!$F$2="الكل",YEAR(A324)=IFERROR(VALUE('طباعة كشف الحساب'!$F$2),0)),A324&lt;&gt;""),IFERROR(MAX($N$4:N323),0)+1,"")</f>
        <v/>
      </c>
      <c r="O324" t="str">
        <f>IF(AND(D323&gt;0,F323="أحد الشركاء"),COUNTIFS($D$4:D323,"&gt;"&amp;0,$F$4:F323,"أحد الشركاء"),"")</f>
        <v/>
      </c>
      <c r="P324" t="str">
        <f>IF(OR($A324="",$F324="أحد الشركاء",AND($D324="",$E324="")),"",SUMPRODUCT(($A$4:$A324&lt;&gt;"")*($F$4:$F324&lt;&gt;"أحد الشركاء")*((($D$4:$D324&lt;&gt;"")+($E$4:$E324&lt;&gt;""))&gt;0)))</f>
        <v/>
      </c>
      <c r="Q324" t="str">
        <f>IF(OR($A324="",$F324&lt;&gt;"أحد الشركاء"),"",COUNTIFS($A$4:A324,"&lt;&gt;",$F$4:F324,"أحد الشركاء"))</f>
        <v/>
      </c>
    </row>
    <row r="325" spans="1:17" ht="18.75" customHeight="1" x14ac:dyDescent="0.25">
      <c r="A325" s="25"/>
      <c r="B325" s="26"/>
      <c r="C325" s="27"/>
      <c r="D325" s="28"/>
      <c r="E325" s="29"/>
      <c r="F325" s="30"/>
      <c r="G325" s="31"/>
      <c r="H325" s="32"/>
      <c r="I325" s="33"/>
      <c r="J325" s="34" t="str">
        <f>IF(AND(D325="",E325="",A325="",B325="",C325=""),"", IFERROR(IF(J324="",D2,J324),D2)+IF(E325="",0,E325)-IF(OR(G325="أبو اسحاق",G325="أبو آدم",G325="أبو اسحاق ",G325="أبو آدم "),0,IF(D325="",0,D325)))</f>
        <v/>
      </c>
      <c r="K325" s="35"/>
      <c r="L325" t="str">
        <f>IF(E324&gt;0,COUNTIF($E$4:E324,"&gt;0"),"")</f>
        <v/>
      </c>
      <c r="M325" t="str">
        <f>IF(AND(D324&gt;0,G324="المحفظة"),COUNTIFS($D$4:D324,"&gt;"&amp;0,$G$4:G324,"المحفظة"),"")</f>
        <v/>
      </c>
      <c r="N325" t="str">
        <f>IF(AND(OR('طباعة كشف الحساب'!$C$2="الكل",MONTH(A325)=IFERROR(MATCH('طباعة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الحساب'!$F$2="الكل",YEAR(A325)=IFERROR(VALUE('طباعة كشف الحساب'!$F$2),0)),A325&lt;&gt;""),IFERROR(MAX($N$4:N324),0)+1,"")</f>
        <v/>
      </c>
      <c r="O325" t="str">
        <f>IF(AND(D324&gt;0,F324="أحد الشركاء"),COUNTIFS($D$4:D324,"&gt;"&amp;0,$F$4:F324,"أحد الشركاء"),"")</f>
        <v/>
      </c>
      <c r="P325" t="str">
        <f>IF(OR($A325="",$F325="أحد الشركاء",AND($D325="",$E325="")),"",SUMPRODUCT(($A$4:$A325&lt;&gt;"")*($F$4:$F325&lt;&gt;"أحد الشركاء")*((($D$4:$D325&lt;&gt;"")+($E$4:$E325&lt;&gt;""))&gt;0)))</f>
        <v/>
      </c>
      <c r="Q325" t="str">
        <f>IF(OR($A325="",$F325&lt;&gt;"أحد الشركاء"),"",COUNTIFS($A$4:A325,"&lt;&gt;",$F$4:F325,"أحد الشركاء"))</f>
        <v/>
      </c>
    </row>
    <row r="326" spans="1:17" ht="18.75" customHeight="1" x14ac:dyDescent="0.25">
      <c r="A326" s="25"/>
      <c r="B326" s="36"/>
      <c r="C326" s="37"/>
      <c r="D326" s="38"/>
      <c r="E326" s="39"/>
      <c r="F326" s="136"/>
      <c r="G326" s="40"/>
      <c r="H326" s="41"/>
      <c r="I326" s="42"/>
      <c r="J326" s="43" t="str">
        <f>IF(AND(D326="",E326="",A326="",B326="",C326=""),"", IFERROR(IF(J325="",D2,J325),D2)+IF(E326="",0,E326)-IF(OR(G326="أبو اسحاق",G326="أبو آدم",G326="أبو اسحاق ",G326="أبو آدم "),0,IF(D326="",0,D326)))</f>
        <v/>
      </c>
      <c r="K326" s="44"/>
      <c r="L326" t="str">
        <f>IF(E325&gt;0,COUNTIF($E$4:E325,"&gt;0"),"")</f>
        <v/>
      </c>
      <c r="M326" t="str">
        <f>IF(AND(D325&gt;0,G325="المحفظة"),COUNTIFS($D$4:D325,"&gt;"&amp;0,$G$4:G325,"المحفظة"),"")</f>
        <v/>
      </c>
      <c r="N326" t="str">
        <f>IF(AND(OR('طباعة كشف الحساب'!$C$2="الكل",MONTH(A326)=IFERROR(MATCH('طباعة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الحساب'!$F$2="الكل",YEAR(A326)=IFERROR(VALUE('طباعة كشف الحساب'!$F$2),0)),A326&lt;&gt;""),IFERROR(MAX($N$4:N325),0)+1,"")</f>
        <v/>
      </c>
      <c r="O326" t="str">
        <f>IF(AND(D325&gt;0,F325="أحد الشركاء"),COUNTIFS($D$4:D325,"&gt;"&amp;0,$F$4:F325,"أحد الشركاء"),"")</f>
        <v/>
      </c>
      <c r="P326" t="str">
        <f>IF(OR($A326="",$F326="أحد الشركاء",AND($D326="",$E326="")),"",SUMPRODUCT(($A$4:$A326&lt;&gt;"")*($F$4:$F326&lt;&gt;"أحد الشركاء")*((($D$4:$D326&lt;&gt;"")+($E$4:$E326&lt;&gt;""))&gt;0)))</f>
        <v/>
      </c>
      <c r="Q326" t="str">
        <f>IF(OR($A326="",$F326&lt;&gt;"أحد الشركاء"),"",COUNTIFS($A$4:A326,"&lt;&gt;",$F$4:F326,"أحد الشركاء"))</f>
        <v/>
      </c>
    </row>
    <row r="327" spans="1:17" ht="18.75" customHeight="1" x14ac:dyDescent="0.25">
      <c r="A327" s="25"/>
      <c r="B327" s="26"/>
      <c r="C327" s="27"/>
      <c r="D327" s="28"/>
      <c r="E327" s="29"/>
      <c r="F327" s="30"/>
      <c r="G327" s="31"/>
      <c r="H327" s="32"/>
      <c r="I327" s="33"/>
      <c r="J327" s="34" t="str">
        <f>IF(AND(D327="",E327="",A327="",B327="",C327=""),"", IFERROR(IF(J326="",D2,J326),D2)+IF(E327="",0,E327)-IF(OR(G327="أبو اسحاق",G327="أبو آدم",G327="أبو اسحاق ",G327="أبو آدم "),0,IF(D327="",0,D327)))</f>
        <v/>
      </c>
      <c r="K327" s="35"/>
      <c r="L327" t="str">
        <f>IF(E326&gt;0,COUNTIF($E$4:E326,"&gt;0"),"")</f>
        <v/>
      </c>
      <c r="M327" t="str">
        <f>IF(AND(D326&gt;0,G326="المحفظة"),COUNTIFS($D$4:D326,"&gt;"&amp;0,$G$4:G326,"المحفظة"),"")</f>
        <v/>
      </c>
      <c r="N327" t="str">
        <f>IF(AND(OR('طباعة كشف الحساب'!$C$2="الكل",MONTH(A327)=IFERROR(MATCH('طباعة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الحساب'!$F$2="الكل",YEAR(A327)=IFERROR(VALUE('طباعة كشف الحساب'!$F$2),0)),A327&lt;&gt;""),IFERROR(MAX($N$4:N326),0)+1,"")</f>
        <v/>
      </c>
      <c r="O327" t="str">
        <f>IF(AND(D326&gt;0,F326="أحد الشركاء"),COUNTIFS($D$4:D326,"&gt;"&amp;0,$F$4:F326,"أحد الشركاء"),"")</f>
        <v/>
      </c>
      <c r="P327" t="str">
        <f>IF(OR($A327="",$F327="أحد الشركاء",AND($D327="",$E327="")),"",SUMPRODUCT(($A$4:$A327&lt;&gt;"")*($F$4:$F327&lt;&gt;"أحد الشركاء")*((($D$4:$D327&lt;&gt;"")+($E$4:$E327&lt;&gt;""))&gt;0)))</f>
        <v/>
      </c>
      <c r="Q327" t="str">
        <f>IF(OR($A327="",$F327&lt;&gt;"أحد الشركاء"),"",COUNTIFS($A$4:A327,"&lt;&gt;",$F$4:F327,"أحد الشركاء"))</f>
        <v/>
      </c>
    </row>
    <row r="328" spans="1:17" ht="18.75" customHeight="1" x14ac:dyDescent="0.25">
      <c r="A328" s="25"/>
      <c r="B328" s="36"/>
      <c r="C328" s="37"/>
      <c r="D328" s="38"/>
      <c r="E328" s="39"/>
      <c r="F328" s="136"/>
      <c r="G328" s="40"/>
      <c r="H328" s="41"/>
      <c r="I328" s="42"/>
      <c r="J328" s="43" t="str">
        <f>IF(AND(D328="",E328="",A328="",B328="",C328=""),"", IFERROR(IF(J327="",D2,J327),D2)+IF(E328="",0,E328)-IF(OR(G328="أبو اسحاق",G328="أبو آدم",G328="أبو اسحاق ",G328="أبو آدم "),0,IF(D328="",0,D328)))</f>
        <v/>
      </c>
      <c r="K328" s="44"/>
      <c r="L328" t="str">
        <f>IF(E327&gt;0,COUNTIF($E$4:E327,"&gt;0"),"")</f>
        <v/>
      </c>
      <c r="M328" t="str">
        <f>IF(AND(D327&gt;0,G327="المحفظة"),COUNTIFS($D$4:D327,"&gt;"&amp;0,$G$4:G327,"المحفظة"),"")</f>
        <v/>
      </c>
      <c r="N328" t="str">
        <f>IF(AND(OR('طباعة كشف الحساب'!$C$2="الكل",MONTH(A328)=IFERROR(MATCH('طباعة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الحساب'!$F$2="الكل",YEAR(A328)=IFERROR(VALUE('طباعة كشف الحساب'!$F$2),0)),A328&lt;&gt;""),IFERROR(MAX($N$4:N327),0)+1,"")</f>
        <v/>
      </c>
      <c r="O328" t="str">
        <f>IF(AND(D327&gt;0,F327="أحد الشركاء"),COUNTIFS($D$4:D327,"&gt;"&amp;0,$F$4:F327,"أحد الشركاء"),"")</f>
        <v/>
      </c>
      <c r="P328" t="str">
        <f>IF(OR($A328="",$F328="أحد الشركاء",AND($D328="",$E328="")),"",SUMPRODUCT(($A$4:$A328&lt;&gt;"")*($F$4:$F328&lt;&gt;"أحد الشركاء")*((($D$4:$D328&lt;&gt;"")+($E$4:$E328&lt;&gt;""))&gt;0)))</f>
        <v/>
      </c>
      <c r="Q328" t="str">
        <f>IF(OR($A328="",$F328&lt;&gt;"أحد الشركاء"),"",COUNTIFS($A$4:A328,"&lt;&gt;",$F$4:F328,"أحد الشركاء"))</f>
        <v/>
      </c>
    </row>
    <row r="329" spans="1:17" ht="18.75" customHeight="1" x14ac:dyDescent="0.25">
      <c r="A329" s="25"/>
      <c r="B329" s="26"/>
      <c r="C329" s="27"/>
      <c r="D329" s="28"/>
      <c r="E329" s="29"/>
      <c r="F329" s="30"/>
      <c r="G329" s="31"/>
      <c r="H329" s="32"/>
      <c r="I329" s="33"/>
      <c r="J329" s="34" t="str">
        <f>IF(AND(D329="",E329="",A329="",B329="",C329=""),"", IFERROR(IF(J328="",D2,J328),D2)+IF(E329="",0,E329)-IF(OR(G329="أبو اسحاق",G329="أبو آدم",G329="أبو اسحاق ",G329="أبو آدم "),0,IF(D329="",0,D329)))</f>
        <v/>
      </c>
      <c r="K329" s="35"/>
      <c r="L329" t="str">
        <f>IF(E328&gt;0,COUNTIF($E$4:E328,"&gt;0"),"")</f>
        <v/>
      </c>
      <c r="M329" t="str">
        <f>IF(AND(D328&gt;0,G328="المحفظة"),COUNTIFS($D$4:D328,"&gt;"&amp;0,$G$4:G328,"المحفظة"),"")</f>
        <v/>
      </c>
      <c r="N329" t="str">
        <f>IF(AND(OR('طباعة كشف الحساب'!$C$2="الكل",MONTH(A329)=IFERROR(MATCH('طباعة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الحساب'!$F$2="الكل",YEAR(A329)=IFERROR(VALUE('طباعة كشف الحساب'!$F$2),0)),A329&lt;&gt;""),IFERROR(MAX($N$4:N328),0)+1,"")</f>
        <v/>
      </c>
      <c r="O329" t="str">
        <f>IF(AND(D328&gt;0,F328="أحد الشركاء"),COUNTIFS($D$4:D328,"&gt;"&amp;0,$F$4:F328,"أحد الشركاء"),"")</f>
        <v/>
      </c>
      <c r="P329" t="str">
        <f>IF(OR($A329="",$F329="أحد الشركاء",AND($D329="",$E329="")),"",SUMPRODUCT(($A$4:$A329&lt;&gt;"")*($F$4:$F329&lt;&gt;"أحد الشركاء")*((($D$4:$D329&lt;&gt;"")+($E$4:$E329&lt;&gt;""))&gt;0)))</f>
        <v/>
      </c>
      <c r="Q329" t="str">
        <f>IF(OR($A329="",$F329&lt;&gt;"أحد الشركاء"),"",COUNTIFS($A$4:A329,"&lt;&gt;",$F$4:F329,"أحد الشركاء"))</f>
        <v/>
      </c>
    </row>
    <row r="330" spans="1:17" ht="18.75" customHeight="1" x14ac:dyDescent="0.25">
      <c r="A330" s="25"/>
      <c r="B330" s="36"/>
      <c r="C330" s="37"/>
      <c r="D330" s="38"/>
      <c r="E330" s="39"/>
      <c r="F330" s="136"/>
      <c r="G330" s="40"/>
      <c r="H330" s="41"/>
      <c r="I330" s="42"/>
      <c r="J330" s="43" t="str">
        <f>IF(AND(D330="",E330="",A330="",B330="",C330=""),"", IFERROR(IF(J329="",D2,J329),D2)+IF(E330="",0,E330)-IF(OR(G330="أبو اسحاق",G330="أبو آدم",G330="أبو اسحاق ",G330="أبو آدم "),0,IF(D330="",0,D330)))</f>
        <v/>
      </c>
      <c r="K330" s="44"/>
      <c r="L330" t="str">
        <f>IF(E329&gt;0,COUNTIF($E$4:E329,"&gt;0"),"")</f>
        <v/>
      </c>
      <c r="M330" t="str">
        <f>IF(AND(D329&gt;0,G329="المحفظة"),COUNTIFS($D$4:D329,"&gt;"&amp;0,$G$4:G329,"المحفظة"),"")</f>
        <v/>
      </c>
      <c r="N330" t="str">
        <f>IF(AND(OR('طباعة كشف الحساب'!$C$2="الكل",MONTH(A330)=IFERROR(MATCH('طباعة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الحساب'!$F$2="الكل",YEAR(A330)=IFERROR(VALUE('طباعة كشف الحساب'!$F$2),0)),A330&lt;&gt;""),IFERROR(MAX($N$4:N329),0)+1,"")</f>
        <v/>
      </c>
      <c r="O330" t="str">
        <f>IF(AND(D329&gt;0,F329="أحد الشركاء"),COUNTIFS($D$4:D329,"&gt;"&amp;0,$F$4:F329,"أحد الشركاء"),"")</f>
        <v/>
      </c>
      <c r="P330" t="str">
        <f>IF(OR($A330="",$F330="أحد الشركاء",AND($D330="",$E330="")),"",SUMPRODUCT(($A$4:$A330&lt;&gt;"")*($F$4:$F330&lt;&gt;"أحد الشركاء")*((($D$4:$D330&lt;&gt;"")+($E$4:$E330&lt;&gt;""))&gt;0)))</f>
        <v/>
      </c>
      <c r="Q330" t="str">
        <f>IF(OR($A330="",$F330&lt;&gt;"أحد الشركاء"),"",COUNTIFS($A$4:A330,"&lt;&gt;",$F$4:F330,"أحد الشركاء"))</f>
        <v/>
      </c>
    </row>
    <row r="331" spans="1:17" ht="18.75" customHeight="1" x14ac:dyDescent="0.25">
      <c r="A331" s="25"/>
      <c r="B331" s="26"/>
      <c r="C331" s="27"/>
      <c r="D331" s="28"/>
      <c r="E331" s="29"/>
      <c r="F331" s="30"/>
      <c r="G331" s="31"/>
      <c r="H331" s="32"/>
      <c r="I331" s="33"/>
      <c r="J331" s="34" t="str">
        <f>IF(AND(D331="",E331="",A331="",B331="",C331=""),"", IFERROR(IF(J330="",D2,J330),D2)+IF(E331="",0,E331)-IF(OR(G331="أبو اسحاق",G331="أبو آدم",G331="أبو اسحاق ",G331="أبو آدم "),0,IF(D331="",0,D331)))</f>
        <v/>
      </c>
      <c r="K331" s="35"/>
      <c r="L331" t="str">
        <f>IF(E330&gt;0,COUNTIF($E$4:E330,"&gt;0"),"")</f>
        <v/>
      </c>
      <c r="M331" t="str">
        <f>IF(AND(D330&gt;0,G330="المحفظة"),COUNTIFS($D$4:D330,"&gt;"&amp;0,$G$4:G330,"المحفظة"),"")</f>
        <v/>
      </c>
      <c r="N331" t="str">
        <f>IF(AND(OR('طباعة كشف الحساب'!$C$2="الكل",MONTH(A331)=IFERROR(MATCH('طباعة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الحساب'!$F$2="الكل",YEAR(A331)=IFERROR(VALUE('طباعة كشف الحساب'!$F$2),0)),A331&lt;&gt;""),IFERROR(MAX($N$4:N330),0)+1,"")</f>
        <v/>
      </c>
      <c r="O331" t="str">
        <f>IF(AND(D330&gt;0,F330="أحد الشركاء"),COUNTIFS($D$4:D330,"&gt;"&amp;0,$F$4:F330,"أحد الشركاء"),"")</f>
        <v/>
      </c>
      <c r="P331" t="str">
        <f>IF(OR($A331="",$F331="أحد الشركاء",AND($D331="",$E331="")),"",SUMPRODUCT(($A$4:$A331&lt;&gt;"")*($F$4:$F331&lt;&gt;"أحد الشركاء")*((($D$4:$D331&lt;&gt;"")+($E$4:$E331&lt;&gt;""))&gt;0)))</f>
        <v/>
      </c>
      <c r="Q331" t="str">
        <f>IF(OR($A331="",$F331&lt;&gt;"أحد الشركاء"),"",COUNTIFS($A$4:A331,"&lt;&gt;",$F$4:F331,"أحد الشركاء"))</f>
        <v/>
      </c>
    </row>
    <row r="332" spans="1:17" ht="18.75" customHeight="1" x14ac:dyDescent="0.25">
      <c r="A332" s="25"/>
      <c r="B332" s="36"/>
      <c r="C332" s="37"/>
      <c r="D332" s="38"/>
      <c r="E332" s="39"/>
      <c r="F332" s="136"/>
      <c r="G332" s="40"/>
      <c r="H332" s="41"/>
      <c r="I332" s="42"/>
      <c r="J332" s="43" t="str">
        <f>IF(AND(D332="",E332="",A332="",B332="",C332=""),"", IFERROR(IF(J331="",D2,J331),D2)+IF(E332="",0,E332)-IF(OR(G332="أبو اسحاق",G332="أبو آدم",G332="أبو اسحاق ",G332="أبو آدم "),0,IF(D332="",0,D332)))</f>
        <v/>
      </c>
      <c r="K332" s="44"/>
      <c r="L332" t="str">
        <f>IF(E331&gt;0,COUNTIF($E$4:E331,"&gt;0"),"")</f>
        <v/>
      </c>
      <c r="M332" t="str">
        <f>IF(AND(D331&gt;0,G331="المحفظة"),COUNTIFS($D$4:D331,"&gt;"&amp;0,$G$4:G331,"المحفظة"),"")</f>
        <v/>
      </c>
      <c r="N332" t="str">
        <f>IF(AND(OR('طباعة كشف الحساب'!$C$2="الكل",MONTH(A332)=IFERROR(MATCH('طباعة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الحساب'!$F$2="الكل",YEAR(A332)=IFERROR(VALUE('طباعة كشف الحساب'!$F$2),0)),A332&lt;&gt;""),IFERROR(MAX($N$4:N331),0)+1,"")</f>
        <v/>
      </c>
      <c r="O332" t="str">
        <f>IF(AND(D331&gt;0,F331="أحد الشركاء"),COUNTIFS($D$4:D331,"&gt;"&amp;0,$F$4:F331,"أحد الشركاء"),"")</f>
        <v/>
      </c>
      <c r="P332" t="str">
        <f>IF(OR($A332="",$F332="أحد الشركاء",AND($D332="",$E332="")),"",SUMPRODUCT(($A$4:$A332&lt;&gt;"")*($F$4:$F332&lt;&gt;"أحد الشركاء")*((($D$4:$D332&lt;&gt;"")+($E$4:$E332&lt;&gt;""))&gt;0)))</f>
        <v/>
      </c>
      <c r="Q332" t="str">
        <f>IF(OR($A332="",$F332&lt;&gt;"أحد الشركاء"),"",COUNTIFS($A$4:A332,"&lt;&gt;",$F$4:F332,"أحد الشركاء"))</f>
        <v/>
      </c>
    </row>
    <row r="333" spans="1:17" ht="18.75" customHeight="1" x14ac:dyDescent="0.25">
      <c r="A333" s="25"/>
      <c r="B333" s="26"/>
      <c r="C333" s="27"/>
      <c r="D333" s="28"/>
      <c r="E333" s="29"/>
      <c r="F333" s="30"/>
      <c r="G333" s="31"/>
      <c r="H333" s="32"/>
      <c r="I333" s="33"/>
      <c r="J333" s="34" t="str">
        <f>IF(AND(D333="",E333="",A333="",B333="",C333=""),"", IFERROR(IF(J332="",D2,J332),D2)+IF(E333="",0,E333)-IF(OR(G333="أبو اسحاق",G333="أبو آدم",G333="أبو اسحاق ",G333="أبو آدم "),0,IF(D333="",0,D333)))</f>
        <v/>
      </c>
      <c r="K333" s="35"/>
      <c r="L333" t="str">
        <f>IF(E332&gt;0,COUNTIF($E$4:E332,"&gt;0"),"")</f>
        <v/>
      </c>
      <c r="M333" t="str">
        <f>IF(AND(D332&gt;0,G332="المحفظة"),COUNTIFS($D$4:D332,"&gt;"&amp;0,$G$4:G332,"المحفظة"),"")</f>
        <v/>
      </c>
      <c r="N333" t="str">
        <f>IF(AND(OR('طباعة كشف الحساب'!$C$2="الكل",MONTH(A333)=IFERROR(MATCH('طباعة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الحساب'!$F$2="الكل",YEAR(A333)=IFERROR(VALUE('طباعة كشف الحساب'!$F$2),0)),A333&lt;&gt;""),IFERROR(MAX($N$4:N332),0)+1,"")</f>
        <v/>
      </c>
      <c r="O333" t="str">
        <f>IF(AND(D332&gt;0,F332="أحد الشركاء"),COUNTIFS($D$4:D332,"&gt;"&amp;0,$F$4:F332,"أحد الشركاء"),"")</f>
        <v/>
      </c>
      <c r="P333" t="str">
        <f>IF(OR($A333="",$F333="أحد الشركاء",AND($D333="",$E333="")),"",SUMPRODUCT(($A$4:$A333&lt;&gt;"")*($F$4:$F333&lt;&gt;"أحد الشركاء")*((($D$4:$D333&lt;&gt;"")+($E$4:$E333&lt;&gt;""))&gt;0)))</f>
        <v/>
      </c>
      <c r="Q333" t="str">
        <f>IF(OR($A333="",$F333&lt;&gt;"أحد الشركاء"),"",COUNTIFS($A$4:A333,"&lt;&gt;",$F$4:F333,"أحد الشركاء"))</f>
        <v/>
      </c>
    </row>
    <row r="334" spans="1:17" ht="18.75" customHeight="1" x14ac:dyDescent="0.25">
      <c r="A334" s="25"/>
      <c r="B334" s="36"/>
      <c r="C334" s="37"/>
      <c r="D334" s="38"/>
      <c r="E334" s="39"/>
      <c r="F334" s="136"/>
      <c r="G334" s="40"/>
      <c r="H334" s="41"/>
      <c r="I334" s="42"/>
      <c r="J334" s="43" t="str">
        <f>IF(AND(D334="",E334="",A334="",B334="",C334=""),"", IFERROR(IF(J333="",D2,J333),D2)+IF(E334="",0,E334)-IF(OR(G334="أبو اسحاق",G334="أبو آدم",G334="أبو اسحاق ",G334="أبو آدم "),0,IF(D334="",0,D334)))</f>
        <v/>
      </c>
      <c r="K334" s="44"/>
      <c r="L334" t="str">
        <f>IF(E333&gt;0,COUNTIF($E$4:E333,"&gt;0"),"")</f>
        <v/>
      </c>
      <c r="M334" t="str">
        <f>IF(AND(D333&gt;0,G333="المحفظة"),COUNTIFS($D$4:D333,"&gt;"&amp;0,$G$4:G333,"المحفظة"),"")</f>
        <v/>
      </c>
      <c r="N334" t="str">
        <f>IF(AND(OR('طباعة كشف الحساب'!$C$2="الكل",MONTH(A334)=IFERROR(MATCH('طباعة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الحساب'!$F$2="الكل",YEAR(A334)=IFERROR(VALUE('طباعة كشف الحساب'!$F$2),0)),A334&lt;&gt;""),IFERROR(MAX($N$4:N333),0)+1,"")</f>
        <v/>
      </c>
      <c r="O334" t="str">
        <f>IF(AND(D333&gt;0,F333="أحد الشركاء"),COUNTIFS($D$4:D333,"&gt;"&amp;0,$F$4:F333,"أحد الشركاء"),"")</f>
        <v/>
      </c>
      <c r="P334" t="str">
        <f>IF(OR($A334="",$F334="أحد الشركاء",AND($D334="",$E334="")),"",SUMPRODUCT(($A$4:$A334&lt;&gt;"")*($F$4:$F334&lt;&gt;"أحد الشركاء")*((($D$4:$D334&lt;&gt;"")+($E$4:$E334&lt;&gt;""))&gt;0)))</f>
        <v/>
      </c>
      <c r="Q334" t="str">
        <f>IF(OR($A334="",$F334&lt;&gt;"أحد الشركاء"),"",COUNTIFS($A$4:A334,"&lt;&gt;",$F$4:F334,"أحد الشركاء"))</f>
        <v/>
      </c>
    </row>
    <row r="335" spans="1:17" ht="18.75" customHeight="1" x14ac:dyDescent="0.25">
      <c r="A335" s="25"/>
      <c r="B335" s="26"/>
      <c r="C335" s="27"/>
      <c r="D335" s="28"/>
      <c r="E335" s="29"/>
      <c r="F335" s="30"/>
      <c r="G335" s="31"/>
      <c r="H335" s="32"/>
      <c r="I335" s="33"/>
      <c r="J335" s="34" t="str">
        <f>IF(AND(D335="",E335="",A335="",B335="",C335=""),"", IFERROR(IF(J334="",D2,J334),D2)+IF(E335="",0,E335)-IF(OR(G335="أبو اسحاق",G335="أبو آدم",G335="أبو اسحاق ",G335="أبو آدم "),0,IF(D335="",0,D335)))</f>
        <v/>
      </c>
      <c r="K335" s="35"/>
      <c r="L335" t="str">
        <f>IF(E334&gt;0,COUNTIF($E$4:E334,"&gt;0"),"")</f>
        <v/>
      </c>
      <c r="M335" t="str">
        <f>IF(AND(D334&gt;0,G334="المحفظة"),COUNTIFS($D$4:D334,"&gt;"&amp;0,$G$4:G334,"المحفظة"),"")</f>
        <v/>
      </c>
      <c r="N335" t="str">
        <f>IF(AND(OR('طباعة كشف الحساب'!$C$2="الكل",MONTH(A335)=IFERROR(MATCH('طباعة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الحساب'!$F$2="الكل",YEAR(A335)=IFERROR(VALUE('طباعة كشف الحساب'!$F$2),0)),A335&lt;&gt;""),IFERROR(MAX($N$4:N334),0)+1,"")</f>
        <v/>
      </c>
      <c r="O335" t="str">
        <f>IF(AND(D334&gt;0,F334="أحد الشركاء"),COUNTIFS($D$4:D334,"&gt;"&amp;0,$F$4:F334,"أحد الشركاء"),"")</f>
        <v/>
      </c>
      <c r="P335" t="str">
        <f>IF(OR($A335="",$F335="أحد الشركاء",AND($D335="",$E335="")),"",SUMPRODUCT(($A$4:$A335&lt;&gt;"")*($F$4:$F335&lt;&gt;"أحد الشركاء")*((($D$4:$D335&lt;&gt;"")+($E$4:$E335&lt;&gt;""))&gt;0)))</f>
        <v/>
      </c>
      <c r="Q335" t="str">
        <f>IF(OR($A335="",$F335&lt;&gt;"أحد الشركاء"),"",COUNTIFS($A$4:A335,"&lt;&gt;",$F$4:F335,"أحد الشركاء"))</f>
        <v/>
      </c>
    </row>
    <row r="336" spans="1:17" ht="18.75" customHeight="1" x14ac:dyDescent="0.25">
      <c r="A336" s="25"/>
      <c r="B336" s="36"/>
      <c r="C336" s="37"/>
      <c r="D336" s="38"/>
      <c r="E336" s="39"/>
      <c r="F336" s="136"/>
      <c r="G336" s="40"/>
      <c r="H336" s="41"/>
      <c r="I336" s="42"/>
      <c r="J336" s="43" t="str">
        <f>IF(AND(D336="",E336="",A336="",B336="",C336=""),"", IFERROR(IF(J335="",D2,J335),D2)+IF(E336="",0,E336)-IF(OR(G336="أبو اسحاق",G336="أبو آدم",G336="أبو اسحاق ",G336="أبو آدم "),0,IF(D336="",0,D336)))</f>
        <v/>
      </c>
      <c r="K336" s="44"/>
      <c r="L336" t="str">
        <f>IF(E335&gt;0,COUNTIF($E$4:E335,"&gt;0"),"")</f>
        <v/>
      </c>
      <c r="M336" t="str">
        <f>IF(AND(D335&gt;0,G335="المحفظة"),COUNTIFS($D$4:D335,"&gt;"&amp;0,$G$4:G335,"المحفظة"),"")</f>
        <v/>
      </c>
      <c r="N336" t="str">
        <f>IF(AND(OR('طباعة كشف الحساب'!$C$2="الكل",MONTH(A336)=IFERROR(MATCH('طباعة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الحساب'!$F$2="الكل",YEAR(A336)=IFERROR(VALUE('طباعة كشف الحساب'!$F$2),0)),A336&lt;&gt;""),IFERROR(MAX($N$4:N335),0)+1,"")</f>
        <v/>
      </c>
      <c r="O336" t="str">
        <f>IF(AND(D335&gt;0,F335="أحد الشركاء"),COUNTIFS($D$4:D335,"&gt;"&amp;0,$F$4:F335,"أحد الشركاء"),"")</f>
        <v/>
      </c>
      <c r="P336" t="str">
        <f>IF(OR($A336="",$F336="أحد الشركاء",AND($D336="",$E336="")),"",SUMPRODUCT(($A$4:$A336&lt;&gt;"")*($F$4:$F336&lt;&gt;"أحد الشركاء")*((($D$4:$D336&lt;&gt;"")+($E$4:$E336&lt;&gt;""))&gt;0)))</f>
        <v/>
      </c>
      <c r="Q336" t="str">
        <f>IF(OR($A336="",$F336&lt;&gt;"أحد الشركاء"),"",COUNTIFS($A$4:A336,"&lt;&gt;",$F$4:F336,"أحد الشركاء"))</f>
        <v/>
      </c>
    </row>
    <row r="337" spans="1:17" ht="18.75" customHeight="1" x14ac:dyDescent="0.25">
      <c r="A337" s="25"/>
      <c r="B337" s="26"/>
      <c r="C337" s="27"/>
      <c r="D337" s="28"/>
      <c r="E337" s="29"/>
      <c r="F337" s="30"/>
      <c r="G337" s="31"/>
      <c r="H337" s="32"/>
      <c r="I337" s="33"/>
      <c r="J337" s="34" t="str">
        <f>IF(AND(D337="",E337="",A337="",B337="",C337=""),"", IFERROR(IF(J336="",D2,J336),D2)+IF(E337="",0,E337)-IF(OR(G337="أبو اسحاق",G337="أبو آدم",G337="أبو اسحاق ",G337="أبو آدم "),0,IF(D337="",0,D337)))</f>
        <v/>
      </c>
      <c r="K337" s="35"/>
      <c r="L337" t="str">
        <f>IF(E336&gt;0,COUNTIF($E$4:E336,"&gt;0"),"")</f>
        <v/>
      </c>
      <c r="M337" t="str">
        <f>IF(AND(D336&gt;0,G336="المحفظة"),COUNTIFS($D$4:D336,"&gt;"&amp;0,$G$4:G336,"المحفظة"),"")</f>
        <v/>
      </c>
      <c r="N337" t="str">
        <f>IF(AND(OR('طباعة كشف الحساب'!$C$2="الكل",MONTH(A337)=IFERROR(MATCH('طباعة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الحساب'!$F$2="الكل",YEAR(A337)=IFERROR(VALUE('طباعة كشف الحساب'!$F$2),0)),A337&lt;&gt;""),IFERROR(MAX($N$4:N336),0)+1,"")</f>
        <v/>
      </c>
      <c r="O337" t="str">
        <f>IF(AND(D336&gt;0,F336="أحد الشركاء"),COUNTIFS($D$4:D336,"&gt;"&amp;0,$F$4:F336,"أحد الشركاء"),"")</f>
        <v/>
      </c>
      <c r="P337" t="str">
        <f>IF(OR($A337="",$F337="أحد الشركاء",AND($D337="",$E337="")),"",SUMPRODUCT(($A$4:$A337&lt;&gt;"")*($F$4:$F337&lt;&gt;"أحد الشركاء")*((($D$4:$D337&lt;&gt;"")+($E$4:$E337&lt;&gt;""))&gt;0)))</f>
        <v/>
      </c>
      <c r="Q337" t="str">
        <f>IF(OR($A337="",$F337&lt;&gt;"أحد الشركاء"),"",COUNTIFS($A$4:A337,"&lt;&gt;",$F$4:F337,"أحد الشركاء"))</f>
        <v/>
      </c>
    </row>
    <row r="338" spans="1:17" ht="18.75" customHeight="1" x14ac:dyDescent="0.25">
      <c r="A338" s="25"/>
      <c r="B338" s="36"/>
      <c r="C338" s="37"/>
      <c r="D338" s="38"/>
      <c r="E338" s="39"/>
      <c r="F338" s="136"/>
      <c r="G338" s="40"/>
      <c r="H338" s="41"/>
      <c r="I338" s="42"/>
      <c r="J338" s="43" t="str">
        <f>IF(AND(D338="",E338="",A338="",B338="",C338=""),"", IFERROR(IF(J337="",D2,J337),D2)+IF(E338="",0,E338)-IF(OR(G338="أبو اسحاق",G338="أبو آدم",G338="أبو اسحاق ",G338="أبو آدم "),0,IF(D338="",0,D338)))</f>
        <v/>
      </c>
      <c r="K338" s="44"/>
      <c r="L338" t="str">
        <f>IF(E337&gt;0,COUNTIF($E$4:E337,"&gt;0"),"")</f>
        <v/>
      </c>
      <c r="M338" t="str">
        <f>IF(AND(D337&gt;0,G337="المحفظة"),COUNTIFS($D$4:D337,"&gt;"&amp;0,$G$4:G337,"المحفظة"),"")</f>
        <v/>
      </c>
      <c r="N338" t="str">
        <f>IF(AND(OR('طباعة كشف الحساب'!$C$2="الكل",MONTH(A338)=IFERROR(MATCH('طباعة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الحساب'!$F$2="الكل",YEAR(A338)=IFERROR(VALUE('طباعة كشف الحساب'!$F$2),0)),A338&lt;&gt;""),IFERROR(MAX($N$4:N337),0)+1,"")</f>
        <v/>
      </c>
      <c r="O338" t="str">
        <f>IF(AND(D337&gt;0,F337="أحد الشركاء"),COUNTIFS($D$4:D337,"&gt;"&amp;0,$F$4:F337,"أحد الشركاء"),"")</f>
        <v/>
      </c>
      <c r="P338" t="str">
        <f>IF(OR($A338="",$F338="أحد الشركاء",AND($D338="",$E338="")),"",SUMPRODUCT(($A$4:$A338&lt;&gt;"")*($F$4:$F338&lt;&gt;"أحد الشركاء")*((($D$4:$D338&lt;&gt;"")+($E$4:$E338&lt;&gt;""))&gt;0)))</f>
        <v/>
      </c>
      <c r="Q338" t="str">
        <f>IF(OR($A338="",$F338&lt;&gt;"أحد الشركاء"),"",COUNTIFS($A$4:A338,"&lt;&gt;",$F$4:F338,"أحد الشركاء"))</f>
        <v/>
      </c>
    </row>
    <row r="339" spans="1:17" ht="18.75" customHeight="1" x14ac:dyDescent="0.25">
      <c r="A339" s="25"/>
      <c r="B339" s="26"/>
      <c r="C339" s="27"/>
      <c r="D339" s="28"/>
      <c r="E339" s="29"/>
      <c r="F339" s="30"/>
      <c r="G339" s="31"/>
      <c r="H339" s="32"/>
      <c r="I339" s="33"/>
      <c r="J339" s="34" t="str">
        <f>IF(AND(D339="",E339="",A339="",B339="",C339=""),"", IFERROR(IF(J338="",D2,J338),D2)+IF(E339="",0,E339)-IF(OR(G339="أبو اسحاق",G339="أبو آدم",G339="أبو اسحاق ",G339="أبو آدم "),0,IF(D339="",0,D339)))</f>
        <v/>
      </c>
      <c r="K339" s="35"/>
      <c r="L339" t="str">
        <f>IF(E338&gt;0,COUNTIF($E$4:E338,"&gt;0"),"")</f>
        <v/>
      </c>
      <c r="M339" t="str">
        <f>IF(AND(D338&gt;0,G338="المحفظة"),COUNTIFS($D$4:D338,"&gt;"&amp;0,$G$4:G338,"المحفظة"),"")</f>
        <v/>
      </c>
      <c r="N339" t="str">
        <f>IF(AND(OR('طباعة كشف الحساب'!$C$2="الكل",MONTH(A339)=IFERROR(MATCH('طباعة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الحساب'!$F$2="الكل",YEAR(A339)=IFERROR(VALUE('طباعة كشف الحساب'!$F$2),0)),A339&lt;&gt;""),IFERROR(MAX($N$4:N338),0)+1,"")</f>
        <v/>
      </c>
      <c r="O339" t="str">
        <f>IF(AND(D338&gt;0,F338="أحد الشركاء"),COUNTIFS($D$4:D338,"&gt;"&amp;0,$F$4:F338,"أحد الشركاء"),"")</f>
        <v/>
      </c>
      <c r="P339" t="str">
        <f>IF(OR($A339="",$F339="أحد الشركاء",AND($D339="",$E339="")),"",SUMPRODUCT(($A$4:$A339&lt;&gt;"")*($F$4:$F339&lt;&gt;"أحد الشركاء")*((($D$4:$D339&lt;&gt;"")+($E$4:$E339&lt;&gt;""))&gt;0)))</f>
        <v/>
      </c>
      <c r="Q339" t="str">
        <f>IF(OR($A339="",$F339&lt;&gt;"أحد الشركاء"),"",COUNTIFS($A$4:A339,"&lt;&gt;",$F$4:F339,"أحد الشركاء"))</f>
        <v/>
      </c>
    </row>
    <row r="340" spans="1:17" ht="18.75" customHeight="1" x14ac:dyDescent="0.25">
      <c r="A340" s="25"/>
      <c r="B340" s="36"/>
      <c r="C340" s="37"/>
      <c r="D340" s="38"/>
      <c r="E340" s="39"/>
      <c r="F340" s="136"/>
      <c r="G340" s="40"/>
      <c r="H340" s="41"/>
      <c r="I340" s="42"/>
      <c r="J340" s="43" t="str">
        <f>IF(AND(D340="",E340="",A340="",B340="",C340=""),"", IFERROR(IF(J339="",D2,J339),D2)+IF(E340="",0,E340)-IF(OR(G340="أبو اسحاق",G340="أبو آدم",G340="أبو اسحاق ",G340="أبو آدم "),0,IF(D340="",0,D340)))</f>
        <v/>
      </c>
      <c r="K340" s="44"/>
      <c r="L340" t="str">
        <f>IF(E339&gt;0,COUNTIF($E$4:E339,"&gt;0"),"")</f>
        <v/>
      </c>
      <c r="M340" t="str">
        <f>IF(AND(D339&gt;0,G339="المحفظة"),COUNTIFS($D$4:D339,"&gt;"&amp;0,$G$4:G339,"المحفظة"),"")</f>
        <v/>
      </c>
      <c r="N340" t="str">
        <f>IF(AND(OR('طباعة كشف الحساب'!$C$2="الكل",MONTH(A340)=IFERROR(MATCH('طباعة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الحساب'!$F$2="الكل",YEAR(A340)=IFERROR(VALUE('طباعة كشف الحساب'!$F$2),0)),A340&lt;&gt;""),IFERROR(MAX($N$4:N339),0)+1,"")</f>
        <v/>
      </c>
      <c r="O340" t="str">
        <f>IF(AND(D339&gt;0,F339="أحد الشركاء"),COUNTIFS($D$4:D339,"&gt;"&amp;0,$F$4:F339,"أحد الشركاء"),"")</f>
        <v/>
      </c>
      <c r="P340" t="str">
        <f>IF(OR($A340="",$F340="أحد الشركاء",AND($D340="",$E340="")),"",SUMPRODUCT(($A$4:$A340&lt;&gt;"")*($F$4:$F340&lt;&gt;"أحد الشركاء")*((($D$4:$D340&lt;&gt;"")+($E$4:$E340&lt;&gt;""))&gt;0)))</f>
        <v/>
      </c>
      <c r="Q340" t="str">
        <f>IF(OR($A340="",$F340&lt;&gt;"أحد الشركاء"),"",COUNTIFS($A$4:A340,"&lt;&gt;",$F$4:F340,"أحد الشركاء"))</f>
        <v/>
      </c>
    </row>
    <row r="341" spans="1:17" ht="18.75" customHeight="1" x14ac:dyDescent="0.25">
      <c r="A341" s="25"/>
      <c r="B341" s="26"/>
      <c r="C341" s="27"/>
      <c r="D341" s="28"/>
      <c r="E341" s="29"/>
      <c r="F341" s="30"/>
      <c r="G341" s="31"/>
      <c r="H341" s="32"/>
      <c r="I341" s="33"/>
      <c r="J341" s="34" t="str">
        <f>IF(AND(D341="",E341="",A341="",B341="",C341=""),"", IFERROR(IF(J340="",D2,J340),D2)+IF(E341="",0,E341)-IF(OR(G341="أبو اسحاق",G341="أبو آدم",G341="أبو اسحاق ",G341="أبو آدم "),0,IF(D341="",0,D341)))</f>
        <v/>
      </c>
      <c r="K341" s="35"/>
      <c r="L341" t="str">
        <f>IF(E340&gt;0,COUNTIF($E$4:E340,"&gt;0"),"")</f>
        <v/>
      </c>
      <c r="M341" t="str">
        <f>IF(AND(D340&gt;0,G340="المحفظة"),COUNTIFS($D$4:D340,"&gt;"&amp;0,$G$4:G340,"المحفظة"),"")</f>
        <v/>
      </c>
      <c r="N341" t="str">
        <f>IF(AND(OR('طباعة كشف الحساب'!$C$2="الكل",MONTH(A341)=IFERROR(MATCH('طباعة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الحساب'!$F$2="الكل",YEAR(A341)=IFERROR(VALUE('طباعة كشف الحساب'!$F$2),0)),A341&lt;&gt;""),IFERROR(MAX($N$4:N340),0)+1,"")</f>
        <v/>
      </c>
      <c r="O341" t="str">
        <f>IF(AND(D340&gt;0,F340="أحد الشركاء"),COUNTIFS($D$4:D340,"&gt;"&amp;0,$F$4:F340,"أحد الشركاء"),"")</f>
        <v/>
      </c>
      <c r="P341" t="str">
        <f>IF(OR($A341="",$F341="أحد الشركاء",AND($D341="",$E341="")),"",SUMPRODUCT(($A$4:$A341&lt;&gt;"")*($F$4:$F341&lt;&gt;"أحد الشركاء")*((($D$4:$D341&lt;&gt;"")+($E$4:$E341&lt;&gt;""))&gt;0)))</f>
        <v/>
      </c>
      <c r="Q341" t="str">
        <f>IF(OR($A341="",$F341&lt;&gt;"أحد الشركاء"),"",COUNTIFS($A$4:A341,"&lt;&gt;",$F$4:F341,"أحد الشركاء"))</f>
        <v/>
      </c>
    </row>
    <row r="342" spans="1:17" ht="18.75" customHeight="1" x14ac:dyDescent="0.25">
      <c r="A342" s="25"/>
      <c r="B342" s="36"/>
      <c r="C342" s="37"/>
      <c r="D342" s="38"/>
      <c r="E342" s="39"/>
      <c r="F342" s="136"/>
      <c r="G342" s="40"/>
      <c r="H342" s="41"/>
      <c r="I342" s="42"/>
      <c r="J342" s="43" t="str">
        <f>IF(AND(D342="",E342="",A342="",B342="",C342=""),"", IFERROR(IF(J341="",D2,J341),D2)+IF(E342="",0,E342)-IF(OR(G342="أبو اسحاق",G342="أبو آدم",G342="أبو اسحاق ",G342="أبو آدم "),0,IF(D342="",0,D342)))</f>
        <v/>
      </c>
      <c r="K342" s="44"/>
      <c r="L342" t="str">
        <f>IF(E341&gt;0,COUNTIF($E$4:E341,"&gt;0"),"")</f>
        <v/>
      </c>
      <c r="M342" t="str">
        <f>IF(AND(D341&gt;0,G341="المحفظة"),COUNTIFS($D$4:D341,"&gt;"&amp;0,$G$4:G341,"المحفظة"),"")</f>
        <v/>
      </c>
      <c r="N342" t="str">
        <f>IF(AND(OR('طباعة كشف الحساب'!$C$2="الكل",MONTH(A342)=IFERROR(MATCH('طباعة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الحساب'!$F$2="الكل",YEAR(A342)=IFERROR(VALUE('طباعة كشف الحساب'!$F$2),0)),A342&lt;&gt;""),IFERROR(MAX($N$4:N341),0)+1,"")</f>
        <v/>
      </c>
      <c r="O342" t="str">
        <f>IF(AND(D341&gt;0,F341="أحد الشركاء"),COUNTIFS($D$4:D341,"&gt;"&amp;0,$F$4:F341,"أحد الشركاء"),"")</f>
        <v/>
      </c>
      <c r="P342" t="str">
        <f>IF(OR($A342="",$F342="أحد الشركاء",AND($D342="",$E342="")),"",SUMPRODUCT(($A$4:$A342&lt;&gt;"")*($F$4:$F342&lt;&gt;"أحد الشركاء")*((($D$4:$D342&lt;&gt;"")+($E$4:$E342&lt;&gt;""))&gt;0)))</f>
        <v/>
      </c>
      <c r="Q342" t="str">
        <f>IF(OR($A342="",$F342&lt;&gt;"أحد الشركاء"),"",COUNTIFS($A$4:A342,"&lt;&gt;",$F$4:F342,"أحد الشركاء"))</f>
        <v/>
      </c>
    </row>
    <row r="343" spans="1:17" ht="18.75" customHeight="1" x14ac:dyDescent="0.25">
      <c r="A343" s="25"/>
      <c r="B343" s="26"/>
      <c r="C343" s="27"/>
      <c r="D343" s="28"/>
      <c r="E343" s="29"/>
      <c r="F343" s="30"/>
      <c r="G343" s="31"/>
      <c r="H343" s="32"/>
      <c r="I343" s="33"/>
      <c r="J343" s="34" t="str">
        <f>IF(AND(D343="",E343="",A343="",B343="",C343=""),"", IFERROR(IF(J342="",D2,J342),D2)+IF(E343="",0,E343)-IF(OR(G343="أبو اسحاق",G343="أبو آدم",G343="أبو اسحاق ",G343="أبو آدم "),0,IF(D343="",0,D343)))</f>
        <v/>
      </c>
      <c r="K343" s="35"/>
      <c r="L343" t="str">
        <f>IF(E342&gt;0,COUNTIF($E$4:E342,"&gt;0"),"")</f>
        <v/>
      </c>
      <c r="M343" t="str">
        <f>IF(AND(D342&gt;0,G342="المحفظة"),COUNTIFS($D$4:D342,"&gt;"&amp;0,$G$4:G342,"المحفظة"),"")</f>
        <v/>
      </c>
      <c r="N343" t="str">
        <f>IF(AND(OR('طباعة كشف الحساب'!$C$2="الكل",MONTH(A343)=IFERROR(MATCH('طباعة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الحساب'!$F$2="الكل",YEAR(A343)=IFERROR(VALUE('طباعة كشف الحساب'!$F$2),0)),A343&lt;&gt;""),IFERROR(MAX($N$4:N342),0)+1,"")</f>
        <v/>
      </c>
      <c r="O343" t="str">
        <f>IF(AND(D342&gt;0,F342="أحد الشركاء"),COUNTIFS($D$4:D342,"&gt;"&amp;0,$F$4:F342,"أحد الشركاء"),"")</f>
        <v/>
      </c>
      <c r="P343" t="str">
        <f>IF(OR($A343="",$F343="أحد الشركاء",AND($D343="",$E343="")),"",SUMPRODUCT(($A$4:$A343&lt;&gt;"")*($F$4:$F343&lt;&gt;"أحد الشركاء")*((($D$4:$D343&lt;&gt;"")+($E$4:$E343&lt;&gt;""))&gt;0)))</f>
        <v/>
      </c>
      <c r="Q343" t="str">
        <f>IF(OR($A343="",$F343&lt;&gt;"أحد الشركاء"),"",COUNTIFS($A$4:A343,"&lt;&gt;",$F$4:F343,"أحد الشركاء"))</f>
        <v/>
      </c>
    </row>
    <row r="344" spans="1:17" ht="18.75" customHeight="1" x14ac:dyDescent="0.25">
      <c r="A344" s="25"/>
      <c r="B344" s="36"/>
      <c r="C344" s="37"/>
      <c r="D344" s="38"/>
      <c r="E344" s="39"/>
      <c r="F344" s="136"/>
      <c r="G344" s="40"/>
      <c r="H344" s="41"/>
      <c r="I344" s="42"/>
      <c r="J344" s="43" t="str">
        <f>IF(AND(D344="",E344="",A344="",B344="",C344=""),"", IFERROR(IF(J343="",D2,J343),D2)+IF(E344="",0,E344)-IF(OR(G344="أبو اسحاق",G344="أبو آدم",G344="أبو اسحاق ",G344="أبو آدم "),0,IF(D344="",0,D344)))</f>
        <v/>
      </c>
      <c r="K344" s="44"/>
      <c r="L344" t="str">
        <f>IF(E343&gt;0,COUNTIF($E$4:E343,"&gt;0"),"")</f>
        <v/>
      </c>
      <c r="M344" t="str">
        <f>IF(AND(D343&gt;0,G343="المحفظة"),COUNTIFS($D$4:D343,"&gt;"&amp;0,$G$4:G343,"المحفظة"),"")</f>
        <v/>
      </c>
      <c r="N344" t="str">
        <f>IF(AND(OR('طباعة كشف الحساب'!$C$2="الكل",MONTH(A344)=IFERROR(MATCH('طباعة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الحساب'!$F$2="الكل",YEAR(A344)=IFERROR(VALUE('طباعة كشف الحساب'!$F$2),0)),A344&lt;&gt;""),IFERROR(MAX($N$4:N343),0)+1,"")</f>
        <v/>
      </c>
      <c r="O344" t="str">
        <f>IF(AND(D343&gt;0,F343="أحد الشركاء"),COUNTIFS($D$4:D343,"&gt;"&amp;0,$F$4:F343,"أحد الشركاء"),"")</f>
        <v/>
      </c>
      <c r="P344" t="str">
        <f>IF(OR($A344="",$F344="أحد الشركاء",AND($D344="",$E344="")),"",SUMPRODUCT(($A$4:$A344&lt;&gt;"")*($F$4:$F344&lt;&gt;"أحد الشركاء")*((($D$4:$D344&lt;&gt;"")+($E$4:$E344&lt;&gt;""))&gt;0)))</f>
        <v/>
      </c>
      <c r="Q344" t="str">
        <f>IF(OR($A344="",$F344&lt;&gt;"أحد الشركاء"),"",COUNTIFS($A$4:A344,"&lt;&gt;",$F$4:F344,"أحد الشركاء"))</f>
        <v/>
      </c>
    </row>
    <row r="345" spans="1:17" ht="18.75" customHeight="1" x14ac:dyDescent="0.25">
      <c r="A345" s="25"/>
      <c r="B345" s="26"/>
      <c r="C345" s="27"/>
      <c r="D345" s="28"/>
      <c r="E345" s="29"/>
      <c r="F345" s="30"/>
      <c r="G345" s="31"/>
      <c r="H345" s="32"/>
      <c r="I345" s="33"/>
      <c r="J345" s="34" t="str">
        <f>IF(AND(D345="",E345="",A345="",B345="",C345=""),"", IFERROR(IF(J344="",D2,J344),D2)+IF(E345="",0,E345)-IF(OR(G345="أبو اسحاق",G345="أبو آدم",G345="أبو اسحاق ",G345="أبو آدم "),0,IF(D345="",0,D345)))</f>
        <v/>
      </c>
      <c r="K345" s="35"/>
      <c r="L345" t="str">
        <f>IF(E344&gt;0,COUNTIF($E$4:E344,"&gt;0"),"")</f>
        <v/>
      </c>
      <c r="M345" t="str">
        <f>IF(AND(D344&gt;0,G344="المحفظة"),COUNTIFS($D$4:D344,"&gt;"&amp;0,$G$4:G344,"المحفظة"),"")</f>
        <v/>
      </c>
      <c r="N345" t="str">
        <f>IF(AND(OR('طباعة كشف الحساب'!$C$2="الكل",MONTH(A345)=IFERROR(MATCH('طباعة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الحساب'!$F$2="الكل",YEAR(A345)=IFERROR(VALUE('طباعة كشف الحساب'!$F$2),0)),A345&lt;&gt;""),IFERROR(MAX($N$4:N344),0)+1,"")</f>
        <v/>
      </c>
      <c r="O345" t="str">
        <f>IF(AND(D344&gt;0,F344="أحد الشركاء"),COUNTIFS($D$4:D344,"&gt;"&amp;0,$F$4:F344,"أحد الشركاء"),"")</f>
        <v/>
      </c>
      <c r="P345" t="str">
        <f>IF(OR($A345="",$F345="أحد الشركاء",AND($D345="",$E345="")),"",SUMPRODUCT(($A$4:$A345&lt;&gt;"")*($F$4:$F345&lt;&gt;"أحد الشركاء")*((($D$4:$D345&lt;&gt;"")+($E$4:$E345&lt;&gt;""))&gt;0)))</f>
        <v/>
      </c>
      <c r="Q345" t="str">
        <f>IF(OR($A345="",$F345&lt;&gt;"أحد الشركاء"),"",COUNTIFS($A$4:A345,"&lt;&gt;",$F$4:F345,"أحد الشركاء"))</f>
        <v/>
      </c>
    </row>
    <row r="346" spans="1:17" ht="18.75" customHeight="1" x14ac:dyDescent="0.25">
      <c r="A346" s="25"/>
      <c r="B346" s="36"/>
      <c r="C346" s="37"/>
      <c r="D346" s="38"/>
      <c r="E346" s="39"/>
      <c r="F346" s="136"/>
      <c r="G346" s="40"/>
      <c r="H346" s="41"/>
      <c r="I346" s="42"/>
      <c r="J346" s="43" t="str">
        <f>IF(AND(D346="",E346="",A346="",B346="",C346=""),"", IFERROR(IF(J345="",D2,J345),D2)+IF(E346="",0,E346)-IF(OR(G346="أبو اسحاق",G346="أبو آدم",G346="أبو اسحاق ",G346="أبو آدم "),0,IF(D346="",0,D346)))</f>
        <v/>
      </c>
      <c r="K346" s="44"/>
      <c r="L346" t="str">
        <f>IF(E345&gt;0,COUNTIF($E$4:E345,"&gt;0"),"")</f>
        <v/>
      </c>
      <c r="M346" t="str">
        <f>IF(AND(D345&gt;0,G345="المحفظة"),COUNTIFS($D$4:D345,"&gt;"&amp;0,$G$4:G345,"المحفظة"),"")</f>
        <v/>
      </c>
      <c r="N346" t="str">
        <f>IF(AND(OR('طباعة كشف الحساب'!$C$2="الكل",MONTH(A346)=IFERROR(MATCH('طباعة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الحساب'!$F$2="الكل",YEAR(A346)=IFERROR(VALUE('طباعة كشف الحساب'!$F$2),0)),A346&lt;&gt;""),IFERROR(MAX($N$4:N345),0)+1,"")</f>
        <v/>
      </c>
      <c r="O346" t="str">
        <f>IF(AND(D345&gt;0,F345="أحد الشركاء"),COUNTIFS($D$4:D345,"&gt;"&amp;0,$F$4:F345,"أحد الشركاء"),"")</f>
        <v/>
      </c>
      <c r="P346" t="str">
        <f>IF(OR($A346="",$F346="أحد الشركاء",AND($D346="",$E346="")),"",SUMPRODUCT(($A$4:$A346&lt;&gt;"")*($F$4:$F346&lt;&gt;"أحد الشركاء")*((($D$4:$D346&lt;&gt;"")+($E$4:$E346&lt;&gt;""))&gt;0)))</f>
        <v/>
      </c>
      <c r="Q346" t="str">
        <f>IF(OR($A346="",$F346&lt;&gt;"أحد الشركاء"),"",COUNTIFS($A$4:A346,"&lt;&gt;",$F$4:F346,"أحد الشركاء"))</f>
        <v/>
      </c>
    </row>
    <row r="347" spans="1:17" ht="18.75" customHeight="1" x14ac:dyDescent="0.25">
      <c r="A347" s="25"/>
      <c r="B347" s="26"/>
      <c r="C347" s="27"/>
      <c r="D347" s="28"/>
      <c r="E347" s="29"/>
      <c r="F347" s="30"/>
      <c r="G347" s="31"/>
      <c r="H347" s="32"/>
      <c r="I347" s="33"/>
      <c r="J347" s="34" t="str">
        <f>IF(AND(D347="",E347="",A347="",B347="",C347=""),"", IFERROR(IF(J346="",D2,J346),D2)+IF(E347="",0,E347)-IF(OR(G347="أبو اسحاق",G347="أبو آدم",G347="أبو اسحاق ",G347="أبو آدم "),0,IF(D347="",0,D347)))</f>
        <v/>
      </c>
      <c r="K347" s="35"/>
      <c r="L347" t="str">
        <f>IF(E346&gt;0,COUNTIF($E$4:E346,"&gt;0"),"")</f>
        <v/>
      </c>
      <c r="M347" t="str">
        <f>IF(AND(D346&gt;0,G346="المحفظة"),COUNTIFS($D$4:D346,"&gt;"&amp;0,$G$4:G346,"المحفظة"),"")</f>
        <v/>
      </c>
      <c r="N347" t="str">
        <f>IF(AND(OR('طباعة كشف الحساب'!$C$2="الكل",MONTH(A347)=IFERROR(MATCH('طباعة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الحساب'!$F$2="الكل",YEAR(A347)=IFERROR(VALUE('طباعة كشف الحساب'!$F$2),0)),A347&lt;&gt;""),IFERROR(MAX($N$4:N346),0)+1,"")</f>
        <v/>
      </c>
      <c r="O347" t="str">
        <f>IF(AND(D346&gt;0,F346="أحد الشركاء"),COUNTIFS($D$4:D346,"&gt;"&amp;0,$F$4:F346,"أحد الشركاء"),"")</f>
        <v/>
      </c>
      <c r="P347" t="str">
        <f>IF(OR($A347="",$F347="أحد الشركاء",AND($D347="",$E347="")),"",SUMPRODUCT(($A$4:$A347&lt;&gt;"")*($F$4:$F347&lt;&gt;"أحد الشركاء")*((($D$4:$D347&lt;&gt;"")+($E$4:$E347&lt;&gt;""))&gt;0)))</f>
        <v/>
      </c>
      <c r="Q347" t="str">
        <f>IF(OR($A347="",$F347&lt;&gt;"أحد الشركاء"),"",COUNTIFS($A$4:A347,"&lt;&gt;",$F$4:F347,"أحد الشركاء"))</f>
        <v/>
      </c>
    </row>
    <row r="348" spans="1:17" ht="18.75" customHeight="1" x14ac:dyDescent="0.25">
      <c r="A348" s="25"/>
      <c r="B348" s="36"/>
      <c r="C348" s="37"/>
      <c r="D348" s="38"/>
      <c r="E348" s="39"/>
      <c r="F348" s="136"/>
      <c r="G348" s="40"/>
      <c r="H348" s="41"/>
      <c r="I348" s="42"/>
      <c r="J348" s="43" t="str">
        <f>IF(AND(D348="",E348="",A348="",B348="",C348=""),"", IFERROR(IF(J347="",D2,J347),D2)+IF(E348="",0,E348)-IF(OR(G348="أبو اسحاق",G348="أبو آدم",G348="أبو اسحاق ",G348="أبو آدم "),0,IF(D348="",0,D348)))</f>
        <v/>
      </c>
      <c r="K348" s="44"/>
      <c r="L348" t="str">
        <f>IF(E347&gt;0,COUNTIF($E$4:E347,"&gt;0"),"")</f>
        <v/>
      </c>
      <c r="M348" t="str">
        <f>IF(AND(D347&gt;0,G347="المحفظة"),COUNTIFS($D$4:D347,"&gt;"&amp;0,$G$4:G347,"المحفظة"),"")</f>
        <v/>
      </c>
      <c r="N348" t="str">
        <f>IF(AND(OR('طباعة كشف الحساب'!$C$2="الكل",MONTH(A348)=IFERROR(MATCH('طباعة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الحساب'!$F$2="الكل",YEAR(A348)=IFERROR(VALUE('طباعة كشف الحساب'!$F$2),0)),A348&lt;&gt;""),IFERROR(MAX($N$4:N347),0)+1,"")</f>
        <v/>
      </c>
      <c r="O348" t="str">
        <f>IF(AND(D347&gt;0,F347="أحد الشركاء"),COUNTIFS($D$4:D347,"&gt;"&amp;0,$F$4:F347,"أحد الشركاء"),"")</f>
        <v/>
      </c>
      <c r="P348" t="str">
        <f>IF(OR($A348="",$F348="أحد الشركاء",AND($D348="",$E348="")),"",SUMPRODUCT(($A$4:$A348&lt;&gt;"")*($F$4:$F348&lt;&gt;"أحد الشركاء")*((($D$4:$D348&lt;&gt;"")+($E$4:$E348&lt;&gt;""))&gt;0)))</f>
        <v/>
      </c>
      <c r="Q348" t="str">
        <f>IF(OR($A348="",$F348&lt;&gt;"أحد الشركاء"),"",COUNTIFS($A$4:A348,"&lt;&gt;",$F$4:F348,"أحد الشركاء"))</f>
        <v/>
      </c>
    </row>
    <row r="349" spans="1:17" ht="18.75" customHeight="1" x14ac:dyDescent="0.25">
      <c r="A349" s="25"/>
      <c r="B349" s="26"/>
      <c r="C349" s="27"/>
      <c r="D349" s="28"/>
      <c r="E349" s="29"/>
      <c r="F349" s="30"/>
      <c r="G349" s="31"/>
      <c r="H349" s="32"/>
      <c r="I349" s="33"/>
      <c r="J349" s="34" t="str">
        <f>IF(AND(D349="",E349="",A349="",B349="",C349=""),"", IFERROR(IF(J348="",D2,J348),D2)+IF(E349="",0,E349)-IF(OR(G349="أبو اسحاق",G349="أبو آدم",G349="أبو اسحاق ",G349="أبو آدم "),0,IF(D349="",0,D349)))</f>
        <v/>
      </c>
      <c r="K349" s="35"/>
      <c r="L349" t="str">
        <f>IF(E348&gt;0,COUNTIF($E$4:E348,"&gt;0"),"")</f>
        <v/>
      </c>
      <c r="M349" t="str">
        <f>IF(AND(D348&gt;0,G348="المحفظة"),COUNTIFS($D$4:D348,"&gt;"&amp;0,$G$4:G348,"المحفظة"),"")</f>
        <v/>
      </c>
      <c r="N349" t="str">
        <f>IF(AND(OR('طباعة كشف الحساب'!$C$2="الكل",MONTH(A349)=IFERROR(MATCH('طباعة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الحساب'!$F$2="الكل",YEAR(A349)=IFERROR(VALUE('طباعة كشف الحساب'!$F$2),0)),A349&lt;&gt;""),IFERROR(MAX($N$4:N348),0)+1,"")</f>
        <v/>
      </c>
      <c r="O349" t="str">
        <f>IF(AND(D348&gt;0,F348="أحد الشركاء"),COUNTIFS($D$4:D348,"&gt;"&amp;0,$F$4:F348,"أحد الشركاء"),"")</f>
        <v/>
      </c>
      <c r="P349" t="str">
        <f>IF(OR($A349="",$F349="أحد الشركاء",AND($D349="",$E349="")),"",SUMPRODUCT(($A$4:$A349&lt;&gt;"")*($F$4:$F349&lt;&gt;"أحد الشركاء")*((($D$4:$D349&lt;&gt;"")+($E$4:$E349&lt;&gt;""))&gt;0)))</f>
        <v/>
      </c>
      <c r="Q349" t="str">
        <f>IF(OR($A349="",$F349&lt;&gt;"أحد الشركاء"),"",COUNTIFS($A$4:A349,"&lt;&gt;",$F$4:F349,"أحد الشركاء"))</f>
        <v/>
      </c>
    </row>
    <row r="350" spans="1:17" ht="18.75" customHeight="1" x14ac:dyDescent="0.25">
      <c r="A350" s="25"/>
      <c r="B350" s="36"/>
      <c r="C350" s="37"/>
      <c r="D350" s="38"/>
      <c r="E350" s="39"/>
      <c r="F350" s="136"/>
      <c r="G350" s="40"/>
      <c r="H350" s="41"/>
      <c r="I350" s="42"/>
      <c r="J350" s="43" t="str">
        <f>IF(AND(D350="",E350="",A350="",B350="",C350=""),"", IFERROR(IF(J349="",D2,J349),D2)+IF(E350="",0,E350)-IF(OR(G350="أبو اسحاق",G350="أبو آدم",G350="أبو اسحاق ",G350="أبو آدم "),0,IF(D350="",0,D350)))</f>
        <v/>
      </c>
      <c r="K350" s="44"/>
      <c r="L350" t="str">
        <f>IF(E349&gt;0,COUNTIF($E$4:E349,"&gt;0"),"")</f>
        <v/>
      </c>
      <c r="M350" t="str">
        <f>IF(AND(D349&gt;0,G349="المحفظة"),COUNTIFS($D$4:D349,"&gt;"&amp;0,$G$4:G349,"المحفظة"),"")</f>
        <v/>
      </c>
      <c r="N350" t="str">
        <f>IF(AND(OR('طباعة كشف الحساب'!$C$2="الكل",MONTH(A350)=IFERROR(MATCH('طباعة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الحساب'!$F$2="الكل",YEAR(A350)=IFERROR(VALUE('طباعة كشف الحساب'!$F$2),0)),A350&lt;&gt;""),IFERROR(MAX($N$4:N349),0)+1,"")</f>
        <v/>
      </c>
      <c r="O350" t="str">
        <f>IF(AND(D349&gt;0,F349="أحد الشركاء"),COUNTIFS($D$4:D349,"&gt;"&amp;0,$F$4:F349,"أحد الشركاء"),"")</f>
        <v/>
      </c>
      <c r="P350" t="str">
        <f>IF(OR($A350="",$F350="أحد الشركاء",AND($D350="",$E350="")),"",SUMPRODUCT(($A$4:$A350&lt;&gt;"")*($F$4:$F350&lt;&gt;"أحد الشركاء")*((($D$4:$D350&lt;&gt;"")+($E$4:$E350&lt;&gt;""))&gt;0)))</f>
        <v/>
      </c>
      <c r="Q350" t="str">
        <f>IF(OR($A350="",$F350&lt;&gt;"أحد الشركاء"),"",COUNTIFS($A$4:A350,"&lt;&gt;",$F$4:F350,"أحد الشركاء"))</f>
        <v/>
      </c>
    </row>
    <row r="351" spans="1:17" ht="18.75" customHeight="1" x14ac:dyDescent="0.25">
      <c r="A351" s="25"/>
      <c r="B351" s="26"/>
      <c r="C351" s="27"/>
      <c r="D351" s="28"/>
      <c r="E351" s="29"/>
      <c r="F351" s="30"/>
      <c r="G351" s="31"/>
      <c r="H351" s="32"/>
      <c r="I351" s="33"/>
      <c r="J351" s="34" t="str">
        <f>IF(AND(D351="",E351="",A351="",B351="",C351=""),"", IFERROR(IF(J350="",D2,J350),D2)+IF(E351="",0,E351)-IF(OR(G351="أبو اسحاق",G351="أبو آدم",G351="أبو اسحاق ",G351="أبو آدم "),0,IF(D351="",0,D351)))</f>
        <v/>
      </c>
      <c r="K351" s="35"/>
      <c r="L351" t="str">
        <f>IF(E350&gt;0,COUNTIF($E$4:E350,"&gt;0"),"")</f>
        <v/>
      </c>
      <c r="M351" t="str">
        <f>IF(AND(D350&gt;0,G350="المحفظة"),COUNTIFS($D$4:D350,"&gt;"&amp;0,$G$4:G350,"المحفظة"),"")</f>
        <v/>
      </c>
      <c r="N351" t="str">
        <f>IF(AND(OR('طباعة كشف الحساب'!$C$2="الكل",MONTH(A351)=IFERROR(MATCH('طباعة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الحساب'!$F$2="الكل",YEAR(A351)=IFERROR(VALUE('طباعة كشف الحساب'!$F$2),0)),A351&lt;&gt;""),IFERROR(MAX($N$4:N350),0)+1,"")</f>
        <v/>
      </c>
      <c r="O351" t="str">
        <f>IF(AND(D350&gt;0,F350="أحد الشركاء"),COUNTIFS($D$4:D350,"&gt;"&amp;0,$F$4:F350,"أحد الشركاء"),"")</f>
        <v/>
      </c>
      <c r="P351" t="str">
        <f>IF(OR($A351="",$F351="أحد الشركاء",AND($D351="",$E351="")),"",SUMPRODUCT(($A$4:$A351&lt;&gt;"")*($F$4:$F351&lt;&gt;"أحد الشركاء")*((($D$4:$D351&lt;&gt;"")+($E$4:$E351&lt;&gt;""))&gt;0)))</f>
        <v/>
      </c>
      <c r="Q351" t="str">
        <f>IF(OR($A351="",$F351&lt;&gt;"أحد الشركاء"),"",COUNTIFS($A$4:A351,"&lt;&gt;",$F$4:F351,"أحد الشركاء"))</f>
        <v/>
      </c>
    </row>
    <row r="352" spans="1:17" ht="18.75" customHeight="1" x14ac:dyDescent="0.25">
      <c r="A352" s="25"/>
      <c r="B352" s="36"/>
      <c r="C352" s="37"/>
      <c r="D352" s="38"/>
      <c r="E352" s="39"/>
      <c r="F352" s="136"/>
      <c r="G352" s="40"/>
      <c r="H352" s="41"/>
      <c r="I352" s="42"/>
      <c r="J352" s="43" t="str">
        <f>IF(AND(D352="",E352="",A352="",B352="",C352=""),"", IFERROR(IF(J351="",D2,J351),D2)+IF(E352="",0,E352)-IF(OR(G352="أبو اسحاق",G352="أبو آدم",G352="أبو اسحاق ",G352="أبو آدم "),0,IF(D352="",0,D352)))</f>
        <v/>
      </c>
      <c r="K352" s="44"/>
      <c r="L352" t="str">
        <f>IF(E351&gt;0,COUNTIF($E$4:E351,"&gt;0"),"")</f>
        <v/>
      </c>
      <c r="M352" t="str">
        <f>IF(AND(D351&gt;0,G351="المحفظة"),COUNTIFS($D$4:D351,"&gt;"&amp;0,$G$4:G351,"المحفظة"),"")</f>
        <v/>
      </c>
      <c r="N352" t="str">
        <f>IF(AND(OR('طباعة كشف الحساب'!$C$2="الكل",MONTH(A352)=IFERROR(MATCH('طباعة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الحساب'!$F$2="الكل",YEAR(A352)=IFERROR(VALUE('طباعة كشف الحساب'!$F$2),0)),A352&lt;&gt;""),IFERROR(MAX($N$4:N351),0)+1,"")</f>
        <v/>
      </c>
      <c r="O352" t="str">
        <f>IF(AND(D351&gt;0,F351="أحد الشركاء"),COUNTIFS($D$4:D351,"&gt;"&amp;0,$F$4:F351,"أحد الشركاء"),"")</f>
        <v/>
      </c>
      <c r="P352" t="str">
        <f>IF(OR($A352="",$F352="أحد الشركاء",AND($D352="",$E352="")),"",SUMPRODUCT(($A$4:$A352&lt;&gt;"")*($F$4:$F352&lt;&gt;"أحد الشركاء")*((($D$4:$D352&lt;&gt;"")+($E$4:$E352&lt;&gt;""))&gt;0)))</f>
        <v/>
      </c>
      <c r="Q352" t="str">
        <f>IF(OR($A352="",$F352&lt;&gt;"أحد الشركاء"),"",COUNTIFS($A$4:A352,"&lt;&gt;",$F$4:F352,"أحد الشركاء"))</f>
        <v/>
      </c>
    </row>
    <row r="353" spans="1:17" ht="18.75" customHeight="1" x14ac:dyDescent="0.25">
      <c r="A353" s="25"/>
      <c r="B353" s="26"/>
      <c r="C353" s="27"/>
      <c r="D353" s="28"/>
      <c r="E353" s="29"/>
      <c r="F353" s="30"/>
      <c r="G353" s="31"/>
      <c r="H353" s="32"/>
      <c r="I353" s="33"/>
      <c r="J353" s="34" t="str">
        <f>IF(AND(D353="",E353="",A353="",B353="",C353=""),"", IFERROR(IF(J352="",D2,J352),D2)+IF(E353="",0,E353)-IF(OR(G353="أبو اسحاق",G353="أبو آدم",G353="أبو اسحاق ",G353="أبو آدم "),0,IF(D353="",0,D353)))</f>
        <v/>
      </c>
      <c r="K353" s="35"/>
      <c r="L353" t="str">
        <f>IF(E352&gt;0,COUNTIF($E$4:E352,"&gt;0"),"")</f>
        <v/>
      </c>
      <c r="M353" t="str">
        <f>IF(AND(D352&gt;0,G352="المحفظة"),COUNTIFS($D$4:D352,"&gt;"&amp;0,$G$4:G352,"المحفظة"),"")</f>
        <v/>
      </c>
      <c r="N353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3" t="str">
        <f>IF(AND(D352&gt;0,F352="أحد الشركاء"),COUNTIFS($D$4:D352,"&gt;"&amp;0,$F$4:F352,"أحد الشركاء"),"")</f>
        <v/>
      </c>
      <c r="P353" t="str">
        <f>IF(OR($A353="",$F353="أحد الشركاء",AND($D353="",$E353="")),"",SUMPRODUCT(($A$4:$A353&lt;&gt;"")*($F$4:$F353&lt;&gt;"أحد الشركاء")*((($D$4:$D353&lt;&gt;"")+($E$4:$E353&lt;&gt;""))&gt;0)))</f>
        <v/>
      </c>
      <c r="Q353" t="str">
        <f>IF(OR($A353="",$F353&lt;&gt;"أحد الشركاء"),"",COUNTIFS($A$4:A353,"&lt;&gt;",$F$4:F353,"أحد الشركاء"))</f>
        <v/>
      </c>
    </row>
    <row r="354" spans="1:17" ht="25.5" customHeight="1" x14ac:dyDescent="0.25">
      <c r="A354" s="167"/>
      <c r="B354" s="161"/>
      <c r="C354" s="162"/>
      <c r="D354" s="38"/>
      <c r="E354" s="39"/>
      <c r="F354" s="160"/>
      <c r="G354" s="161"/>
      <c r="H354" s="162"/>
      <c r="I354" s="42"/>
      <c r="J354" s="43">
        <f t="array" ref="J354">IFERROR(LOOKUP(2,1/(J4:J353&lt;&gt;""),J4:J353),$D$2)</f>
        <v>1421.2950000000001</v>
      </c>
      <c r="K354" s="44"/>
      <c r="L354" t="str">
        <f>IF(E353&gt;0,COUNTIF($E$4:E353,"&gt;0"),"")</f>
        <v/>
      </c>
      <c r="M354" t="str">
        <f>IF(AND(D353&gt;0,G353="المحفظة"),COUNTIFS($D$4:D353,"&gt;"&amp;0,$G$4:G353,"المحفظة"),"")</f>
        <v/>
      </c>
      <c r="N354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4" t="str">
        <f>IF(AND(D353&gt;0,F353="أحد الشركاء"),COUNTIFS($D$4:D353,"&gt;"&amp;0,$F$4:F353,"أحد الشركاء"),"")</f>
        <v/>
      </c>
      <c r="P354" t="str">
        <f>IF(OR($A354="",$F354="أحد الشركاء",AND($D354="",$E354="")),"",SUMPRODUCT(($A$4:$A354&lt;&gt;"")*($F$4:$F354&lt;&gt;"أحد الشركاء")*((($D$4:$D354&lt;&gt;"")+($E$4:$E354&lt;&gt;""))&gt;0)))</f>
        <v/>
      </c>
      <c r="Q354" t="str">
        <f>IF(OR($A354="",$F354&lt;&gt;"أحد الشركاء"),"",COUNTIFS($A$4:A354,"&lt;&gt;",$F$4:F354,"أحد الشركاء"))</f>
        <v/>
      </c>
    </row>
    <row r="355" spans="1:17" ht="15.75" customHeight="1" x14ac:dyDescent="0.25">
      <c r="A355" s="108" t="s">
        <v>215</v>
      </c>
      <c r="B355" s="137"/>
      <c r="C355" s="137"/>
      <c r="D355" s="46">
        <f>SUBTOTAL(9,D4:D353)</f>
        <v>4443.8950000000004</v>
      </c>
      <c r="E355" s="46">
        <f>SUBTOTAL(9,E4:E353)</f>
        <v>4083.69</v>
      </c>
      <c r="F355" s="140">
        <f ca="1">SUMPRODUCT(SUBTOTAL(3,OFFSET(H4,ROW(H4:H353)-ROW(H4),0))*(H4:H353="معلق"))</f>
        <v>12</v>
      </c>
      <c r="G355" s="137"/>
      <c r="H355" s="137"/>
      <c r="J355" s="46">
        <f t="array" aca="1" ref="J355" ca="1">IFERROR(LOOKUP(2,1/((SUBTOTAL(3,OFFSET(J4,ROW(J4:J353)-ROW(J4),0))&gt;0)*(J4:J353&lt;&gt;"")),J4:J353),$D$2)</f>
        <v>1421.2950000000001</v>
      </c>
      <c r="N355" t="str">
        <f>IF(AND(OR('طباعة كشف الحساب'!$C$2="الكل",IFERROR(MONTH(A355),0)=IFERROR(MATCH('طباعة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الحساب'!$F$2="الكل",IFERROR(YEAR(A355),0)=IFERROR(VALUE('طباعة كشف الحساب'!$F$2),0)),A355&lt;&gt;""),IFERROR(MAX($N$4:N354),0)+1,"")</f>
        <v/>
      </c>
    </row>
    <row r="356" spans="1:17" ht="15" customHeight="1" x14ac:dyDescent="0.25">
      <c r="D356" s="47" t="s">
        <v>216</v>
      </c>
      <c r="E356" s="48" t="s">
        <v>217</v>
      </c>
      <c r="F356" s="49" t="s">
        <v>218</v>
      </c>
      <c r="J356" s="50" t="s">
        <v>219</v>
      </c>
    </row>
  </sheetData>
  <autoFilter ref="A3:K353" xr:uid="{00000000-0009-0000-0000-000001000000}"/>
  <mergeCells count="9">
    <mergeCell ref="F354:H354"/>
    <mergeCell ref="A2:C2"/>
    <mergeCell ref="E2:K2"/>
    <mergeCell ref="A1:K1"/>
    <mergeCell ref="A354:C354"/>
    <mergeCell ref="K189:K193"/>
    <mergeCell ref="K209:K214"/>
    <mergeCell ref="K219:K223"/>
    <mergeCell ref="K227:K230"/>
  </mergeCells>
  <conditionalFormatting sqref="J4:J3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353">
    <cfRule type="expression" dxfId="3" priority="4">
      <formula>H4="معلق"</formula>
    </cfRule>
  </conditionalFormatting>
  <conditionalFormatting sqref="G4:G3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3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3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3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3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الحساب'!$N$4:$N$353,0),0)=0,"",INDEX('كشف الحساب'!$A$4:$A$353,IFERROR(MATCH(1,'كشف الحساب'!$N$4:$N$353,0),0))),"")</f>
        <v>46235</v>
      </c>
      <c r="B5" s="59" t="str">
        <f>IFERROR(IF(IFERROR(MATCH(1,'كشف الحساب'!$N$4:$N$353,0),0)=0,"",INDEX('كشف الحساب'!$B$4:$B$353,IFERROR(MATCH(1,'كشف الحساب'!$N$4:$N$353,0),0))),"")</f>
        <v>Inv-106</v>
      </c>
      <c r="C5" s="37" t="str">
        <f>IFERROR(IF(IFERROR(MATCH(1,'كشف الحساب'!$N$4:$N$353,0),0)=0,"",INDEX('كشف الحساب'!$C$4:$C$353,IFERROR(MATCH(1,'كشف الحساب'!$N$4:$N$353,0),0))),"")</f>
        <v>ربل عدد 11 الحبه 2</v>
      </c>
      <c r="D5" s="38">
        <f>IFERROR(IF(IFERROR(MATCH(1,'كشف الحساب'!$N$4:$N$353,0),0)=0,"",INDEX('كشف الحساب'!$D$4:$D$353,IFERROR(MATCH(1,'كشف الحساب'!$N$4:$N$353,0),0))),"")</f>
        <v>0</v>
      </c>
      <c r="E5" s="60">
        <f>IFERROR(IF(IFERROR(MATCH(1,'كشف الحساب'!$N$4:$N$353,0),0)=0,"",INDEX('كشف الحساب'!$E$4:$E$353,IFERROR(MATCH(1,'كشف الحساب'!$N$4:$N$353,0),0))),"")</f>
        <v>22</v>
      </c>
      <c r="F5" s="59" t="str">
        <f>IFERROR(IF(IFERROR(MATCH(1,'كشف الحساب'!$N$4:$N$353,0),0)=0,"",INDEX('كشف الحساب'!$F$4:$F$353,IFERROR(MATCH(1,'كشف الحساب'!$N$4:$N$353,0),0))),"")</f>
        <v>نقداً</v>
      </c>
      <c r="G5" s="59">
        <f>IFERROR(IF(IFERROR(MATCH(1,'كشف الحساب'!$N$4:$N$353,0),0)=0,"",INDEX('كشف الحساب'!$G$4:$G$353,IFERROR(MATCH(1,'كشف الحساب'!$N$4:$N$353,0),0))),"")</f>
        <v>0</v>
      </c>
      <c r="H5" s="59" t="str">
        <f>IFERROR(IF(IFERROR(MATCH(1,'كشف الحساب'!$N$4:$N$353,0),0)=0,"",INDEX('كشف الحساب'!$H$4:$H$353,IFERROR(MATCH(1,'كشف الحساب'!$N$4:$N$353,0),0))),"")</f>
        <v>تم الدفع</v>
      </c>
      <c r="I5" s="59">
        <f>IFERROR(IF(IFERROR(MATCH(1,'كشف الحساب'!$N$4:$N$353,0),0)=0,"",INDEX('كشف الحساب'!$I$4:$I$353,IFERROR(MATCH(1,'كشف الحساب'!$N$4:$N$353,0),0))),"")</f>
        <v>0</v>
      </c>
      <c r="J5" s="43">
        <f>IFERROR(IF(IFERROR(MATCH(1,'كشف الحساب'!$N$4:$N$353,0),0)=0,"",INDEX('كشف الحساب'!$J$4:$J$353,IFERROR(MATCH(1,'كشف الحساب'!$N$4:$N$353,0),0))),"")</f>
        <v>44.39500000000001</v>
      </c>
      <c r="K5" s="59">
        <f>IFERROR(IF(IFERROR(MATCH(1,'كشف الحساب'!$N$4:$N$353,0),0)=0,"",INDEX('كشف الحساب'!$K$4:$K$353,IFERROR(MATCH(1,'كشف الحساب'!$N$4:$N$353,0),0))),"")</f>
        <v>0</v>
      </c>
    </row>
    <row r="6" spans="1:11" ht="16.5" customHeight="1" x14ac:dyDescent="0.25">
      <c r="A6" s="25">
        <f>IFERROR(IF(IFERROR(MATCH(2,'كشف الحساب'!$N$4:$N$353,0),0)=0,"",INDEX('كشف الحساب'!$A$4:$A$353,IFERROR(MATCH(2,'كشف الحساب'!$N$4:$N$353,0),0))),"")</f>
        <v>46235</v>
      </c>
      <c r="B6" s="61" t="str">
        <f>IFERROR(IF(IFERROR(MATCH(2,'كشف الحساب'!$N$4:$N$353,0),0)=0,"",INDEX('كشف الحساب'!$B$4:$B$353,IFERROR(MATCH(2,'كشف الحساب'!$N$4:$N$353,0),0))),"")</f>
        <v>Inv-107</v>
      </c>
      <c r="C6" s="27" t="str">
        <f>IFERROR(IF(IFERROR(MATCH(2,'كشف الحساب'!$N$4:$N$353,0),0)=0,"",INDEX('كشف الحساب'!$C$4:$C$353,IFERROR(MATCH(2,'كشف الحساب'!$N$4:$N$353,0),0))),"")</f>
        <v>متنوع عدد 1 بقيمه 2.500</v>
      </c>
      <c r="D6" s="28">
        <f>IFERROR(IF(IFERROR(MATCH(2,'كشف الحساب'!$N$4:$N$353,0),0)=0,"",INDEX('كشف الحساب'!$D$4:$D$353,IFERROR(MATCH(2,'كشف الحساب'!$N$4:$N$353,0),0))),"")</f>
        <v>0</v>
      </c>
      <c r="E6" s="62">
        <f>IFERROR(IF(IFERROR(MATCH(2,'كشف الحساب'!$N$4:$N$353,0),0)=0,"",INDEX('كشف الحساب'!$E$4:$E$353,IFERROR(MATCH(2,'كشف الحساب'!$N$4:$N$353,0),0))),"")</f>
        <v>2.5</v>
      </c>
      <c r="F6" s="61" t="str">
        <f>IFERROR(IF(IFERROR(MATCH(2,'كشف الحساب'!$N$4:$N$353,0),0)=0,"",INDEX('كشف الحساب'!$F$4:$F$353,IFERROR(MATCH(2,'كشف الحساب'!$N$4:$N$353,0),0))),"")</f>
        <v>أون لاين</v>
      </c>
      <c r="G6" s="61">
        <f>IFERROR(IF(IFERROR(MATCH(2,'كشف الحساب'!$N$4:$N$353,0),0)=0,"",INDEX('كشف الحساب'!$G$4:$G$353,IFERROR(MATCH(2,'كشف الحساب'!$N$4:$N$353,0),0))),"")</f>
        <v>0</v>
      </c>
      <c r="H6" s="61" t="str">
        <f>IFERROR(IF(IFERROR(MATCH(2,'كشف الحساب'!$N$4:$N$353,0),0)=0,"",INDEX('كشف الحساب'!$H$4:$H$353,IFERROR(MATCH(2,'كشف الحساب'!$N$4:$N$353,0),0))),"")</f>
        <v>تم الدفع</v>
      </c>
      <c r="I6" s="61">
        <f>IFERROR(IF(IFERROR(MATCH(2,'كشف الحساب'!$N$4:$N$353,0),0)=0,"",INDEX('كشف الحساب'!$I$4:$I$353,IFERROR(MATCH(2,'كشف الحساب'!$N$4:$N$353,0),0))),"")</f>
        <v>0</v>
      </c>
      <c r="J6" s="34">
        <f>IFERROR(IF(IFERROR(MATCH(2,'كشف الحساب'!$N$4:$N$353,0),0)=0,"",INDEX('كشف الحساب'!$J$4:$J$353,IFERROR(MATCH(2,'كشف الحساب'!$N$4:$N$353,0),0))),"")</f>
        <v>46.89500000000001</v>
      </c>
      <c r="K6" s="61">
        <f>IFERROR(IF(IFERROR(MATCH(2,'كشف الحساب'!$N$4:$N$353,0),0)=0,"",INDEX('كشف الحساب'!$K$4:$K$353,IFERROR(MATCH(2,'كشف الحساب'!$N$4:$N$353,0),0))),"")</f>
        <v>0</v>
      </c>
    </row>
    <row r="7" spans="1:11" ht="16.5" customHeight="1" x14ac:dyDescent="0.25">
      <c r="A7" s="139">
        <f>IFERROR(IF(IFERROR(MATCH(3,'كشف الحساب'!$N$4:$N$353,0),0)=0,"",INDEX('كشف الحساب'!$A$4:$A$353,IFERROR(MATCH(3,'كشف الحساب'!$N$4:$N$353,0),0))),"")</f>
        <v>46235</v>
      </c>
      <c r="B7" s="59" t="str">
        <f>IFERROR(IF(IFERROR(MATCH(3,'كشف الحساب'!$N$4:$N$353,0),0)=0,"",INDEX('كشف الحساب'!$B$4:$B$353,IFERROR(MATCH(3,'كشف الحساب'!$N$4:$N$353,0),0))),"")</f>
        <v>Inv-108</v>
      </c>
      <c r="C7" s="37" t="str">
        <f>IFERROR(IF(IFERROR(MATCH(3,'كشف الحساب'!$N$4:$N$353,0),0)=0,"",INDEX('كشف الحساب'!$C$4:$C$353,IFERROR(MATCH(3,'كشف الحساب'!$N$4:$N$353,0),0))),"")</f>
        <v>فل عدد 1 بقيمه .750</v>
      </c>
      <c r="D7" s="38">
        <f>IFERROR(IF(IFERROR(MATCH(3,'كشف الحساب'!$N$4:$N$353,0),0)=0,"",INDEX('كشف الحساب'!$D$4:$D$353,IFERROR(MATCH(3,'كشف الحساب'!$N$4:$N$353,0),0))),"")</f>
        <v>0</v>
      </c>
      <c r="E7" s="60">
        <f>IFERROR(IF(IFERROR(MATCH(3,'كشف الحساب'!$N$4:$N$353,0),0)=0,"",INDEX('كشف الحساب'!$E$4:$E$353,IFERROR(MATCH(3,'كشف الحساب'!$N$4:$N$353,0),0))),"")</f>
        <v>0.75</v>
      </c>
      <c r="F7" s="59" t="str">
        <f>IFERROR(IF(IFERROR(MATCH(3,'كشف الحساب'!$N$4:$N$353,0),0)=0,"",INDEX('كشف الحساب'!$F$4:$F$353,IFERROR(MATCH(3,'كشف الحساب'!$N$4:$N$353,0),0))),"")</f>
        <v>أون لاين</v>
      </c>
      <c r="G7" s="59">
        <f>IFERROR(IF(IFERROR(MATCH(3,'كشف الحساب'!$N$4:$N$353,0),0)=0,"",INDEX('كشف الحساب'!$G$4:$G$353,IFERROR(MATCH(3,'كشف الحساب'!$N$4:$N$353,0),0))),"")</f>
        <v>0</v>
      </c>
      <c r="H7" s="59" t="str">
        <f>IFERROR(IF(IFERROR(MATCH(3,'كشف الحساب'!$N$4:$N$353,0),0)=0,"",INDEX('كشف الحساب'!$H$4:$H$353,IFERROR(MATCH(3,'كشف الحساب'!$N$4:$N$353,0),0))),"")</f>
        <v>تم الدفع</v>
      </c>
      <c r="I7" s="59">
        <f>IFERROR(IF(IFERROR(MATCH(3,'كشف الحساب'!$N$4:$N$353,0),0)=0,"",INDEX('كشف الحساب'!$I$4:$I$353,IFERROR(MATCH(3,'كشف الحساب'!$N$4:$N$353,0),0))),"")</f>
        <v>0</v>
      </c>
      <c r="J7" s="43">
        <f>IFERROR(IF(IFERROR(MATCH(3,'كشف الحساب'!$N$4:$N$353,0),0)=0,"",INDEX('كشف الحساب'!$J$4:$J$353,IFERROR(MATCH(3,'كشف الحساب'!$N$4:$N$353,0),0))),"")</f>
        <v>47.64500000000001</v>
      </c>
      <c r="K7" s="59">
        <f>IFERROR(IF(IFERROR(MATCH(3,'كشف الحساب'!$N$4:$N$353,0),0)=0,"",INDEX('كشف الحساب'!$K$4:$K$353,IFERROR(MATCH(3,'كشف الحساب'!$N$4:$N$353,0),0))),"")</f>
        <v>0</v>
      </c>
    </row>
    <row r="8" spans="1:11" ht="16.5" customHeight="1" x14ac:dyDescent="0.25">
      <c r="A8" s="25">
        <f>IFERROR(IF(IFERROR(MATCH(4,'كشف الحساب'!$N$4:$N$353,0),0)=0,"",INDEX('كشف الحساب'!$A$4:$A$353,IFERROR(MATCH(4,'كشف الحساب'!$N$4:$N$353,0),0))),"")</f>
        <v>46235</v>
      </c>
      <c r="B8" s="61">
        <f>IFERROR(IF(IFERROR(MATCH(4,'كشف الحساب'!$N$4:$N$353,0),0)=0,"",INDEX('كشف الحساب'!$B$4:$B$353,IFERROR(MATCH(4,'كشف الحساب'!$N$4:$N$353,0),0))),"")</f>
        <v>0</v>
      </c>
      <c r="C8" s="27" t="str">
        <f>IFERROR(IF(IFERROR(MATCH(4,'كشف الحساب'!$N$4:$N$353,0),0)=0,"",INDEX('كشف الحساب'!$C$4:$C$353,IFERROR(MATCH(4,'كشف الحساب'!$N$4:$N$353,0),0))),"")</f>
        <v>بتموس عدد 2 الواحده 12</v>
      </c>
      <c r="D8" s="28">
        <f>IFERROR(IF(IFERROR(MATCH(4,'كشف الحساب'!$N$4:$N$353,0),0)=0,"",INDEX('كشف الحساب'!$D$4:$D$353,IFERROR(MATCH(4,'كشف الحساب'!$N$4:$N$353,0),0))),"")</f>
        <v>24</v>
      </c>
      <c r="E8" s="62">
        <f>IFERROR(IF(IFERROR(MATCH(4,'كشف الحساب'!$N$4:$N$353,0),0)=0,"",INDEX('كشف الحساب'!$E$4:$E$353,IFERROR(MATCH(4,'كشف الحساب'!$N$4:$N$353,0),0))),"")</f>
        <v>0</v>
      </c>
      <c r="F8" s="61" t="str">
        <f>IFERROR(IF(IFERROR(MATCH(4,'كشف الحساب'!$N$4:$N$353,0),0)=0,"",INDEX('كشف الحساب'!$F$4:$F$353,IFERROR(MATCH(4,'كشف الحساب'!$N$4:$N$353,0),0))),"")</f>
        <v>نقداً</v>
      </c>
      <c r="G8" s="61" t="str">
        <f>IFERROR(IF(IFERROR(MATCH(4,'كشف الحساب'!$N$4:$N$353,0),0)=0,"",INDEX('كشف الحساب'!$G$4:$G$353,IFERROR(MATCH(4,'كشف الحساب'!$N$4:$N$353,0),0))),"")</f>
        <v>المحفظة</v>
      </c>
      <c r="H8" s="61" t="str">
        <f>IFERROR(IF(IFERROR(MATCH(4,'كشف الحساب'!$N$4:$N$353,0),0)=0,"",INDEX('كشف الحساب'!$H$4:$H$353,IFERROR(MATCH(4,'كشف الحساب'!$N$4:$N$353,0),0))),"")</f>
        <v>تم الدفع</v>
      </c>
      <c r="I8" s="61">
        <f>IFERROR(IF(IFERROR(MATCH(4,'كشف الحساب'!$N$4:$N$353,0),0)=0,"",INDEX('كشف الحساب'!$I$4:$I$353,IFERROR(MATCH(4,'كشف الحساب'!$N$4:$N$353,0),0))),"")</f>
        <v>0</v>
      </c>
      <c r="J8" s="34">
        <f>IFERROR(IF(IFERROR(MATCH(4,'كشف الحساب'!$N$4:$N$353,0),0)=0,"",INDEX('كشف الحساب'!$J$4:$J$353,IFERROR(MATCH(4,'كشف الحساب'!$N$4:$N$353,0),0))),"")</f>
        <v>23.64500000000001</v>
      </c>
      <c r="K8" s="61">
        <f>IFERROR(IF(IFERROR(MATCH(4,'كشف الحساب'!$N$4:$N$353,0),0)=0,"",INDEX('كشف الحساب'!$K$4:$K$353,IFERROR(MATCH(4,'كشف الحساب'!$N$4:$N$353,0),0))),"")</f>
        <v>0</v>
      </c>
    </row>
    <row r="9" spans="1:11" ht="16.5" customHeight="1" x14ac:dyDescent="0.25">
      <c r="A9" s="139">
        <f>IFERROR(IF(IFERROR(MATCH(5,'كشف الحساب'!$N$4:$N$353,0),0)=0,"",INDEX('كشف الحساب'!$A$4:$A$353,IFERROR(MATCH(5,'كشف الحساب'!$N$4:$N$353,0),0))),"")</f>
        <v>46239</v>
      </c>
      <c r="B9" s="59" t="str">
        <f>IFERROR(IF(IFERROR(MATCH(5,'كشف الحساب'!$N$4:$N$353,0),0)=0,"",INDEX('كشف الحساب'!$B$4:$B$353,IFERROR(MATCH(5,'كشف الحساب'!$N$4:$N$353,0),0))),"")</f>
        <v>Inv-109</v>
      </c>
      <c r="C9" s="37" t="str">
        <f>IFERROR(IF(IFERROR(MATCH(5,'كشف الحساب'!$N$4:$N$353,0),0)=0,"",INDEX('كشف الحساب'!$C$4:$C$353,IFERROR(MATCH(5,'كشف الحساب'!$N$4:$N$353,0),0))),"")</f>
        <v>متنوع عدد 1 الحبه 1</v>
      </c>
      <c r="D9" s="38">
        <f>IFERROR(IF(IFERROR(MATCH(5,'كشف الحساب'!$N$4:$N$353,0),0)=0,"",INDEX('كشف الحساب'!$D$4:$D$353,IFERROR(MATCH(5,'كشف الحساب'!$N$4:$N$353,0),0))),"")</f>
        <v>0</v>
      </c>
      <c r="E9" s="60">
        <f>IFERROR(IF(IFERROR(MATCH(5,'كشف الحساب'!$N$4:$N$353,0),0)=0,"",INDEX('كشف الحساب'!$E$4:$E$353,IFERROR(MATCH(5,'كشف الحساب'!$N$4:$N$353,0),0))),"")</f>
        <v>1</v>
      </c>
      <c r="F9" s="59" t="str">
        <f>IFERROR(IF(IFERROR(MATCH(5,'كشف الحساب'!$N$4:$N$353,0),0)=0,"",INDEX('كشف الحساب'!$F$4:$F$353,IFERROR(MATCH(5,'كشف الحساب'!$N$4:$N$353,0),0))),"")</f>
        <v>أون لاين</v>
      </c>
      <c r="G9" s="59">
        <f>IFERROR(IF(IFERROR(MATCH(5,'كشف الحساب'!$N$4:$N$353,0),0)=0,"",INDEX('كشف الحساب'!$G$4:$G$353,IFERROR(MATCH(5,'كشف الحساب'!$N$4:$N$353,0),0))),"")</f>
        <v>0</v>
      </c>
      <c r="H9" s="59" t="str">
        <f>IFERROR(IF(IFERROR(MATCH(5,'كشف الحساب'!$N$4:$N$353,0),0)=0,"",INDEX('كشف الحساب'!$H$4:$H$353,IFERROR(MATCH(5,'كشف الحساب'!$N$4:$N$353,0),0))),"")</f>
        <v>تم الدفع</v>
      </c>
      <c r="I9" s="59">
        <f>IFERROR(IF(IFERROR(MATCH(5,'كشف الحساب'!$N$4:$N$353,0),0)=0,"",INDEX('كشف الحساب'!$I$4:$I$353,IFERROR(MATCH(5,'كشف الحساب'!$N$4:$N$353,0),0))),"")</f>
        <v>0</v>
      </c>
      <c r="J9" s="43">
        <f>IFERROR(IF(IFERROR(MATCH(5,'كشف الحساب'!$N$4:$N$353,0),0)=0,"",INDEX('كشف الحساب'!$J$4:$J$353,IFERROR(MATCH(5,'كشف الحساب'!$N$4:$N$353,0),0))),"")</f>
        <v>24.64500000000001</v>
      </c>
      <c r="K9" s="59">
        <f>IFERROR(IF(IFERROR(MATCH(5,'كشف الحساب'!$N$4:$N$353,0),0)=0,"",INDEX('كشف الحساب'!$K$4:$K$353,IFERROR(MATCH(5,'كشف الحساب'!$N$4:$N$353,0),0))),"")</f>
        <v>0</v>
      </c>
    </row>
    <row r="10" spans="1:11" ht="16.5" customHeight="1" x14ac:dyDescent="0.25">
      <c r="A10" s="25">
        <f>IFERROR(IF(IFERROR(MATCH(6,'كشف الحساب'!$N$4:$N$353,0),0)=0,"",INDEX('كشف الحساب'!$A$4:$A$353,IFERROR(MATCH(6,'كشف الحساب'!$N$4:$N$353,0),0))),"")</f>
        <v>46240</v>
      </c>
      <c r="B10" s="61" t="str">
        <f>IFERROR(IF(IFERROR(MATCH(6,'كشف الحساب'!$N$4:$N$353,0),0)=0,"",INDEX('كشف الحساب'!$B$4:$B$353,IFERROR(MATCH(6,'كشف الحساب'!$N$4:$N$353,0),0))),"")</f>
        <v>Inv-110</v>
      </c>
      <c r="C10" s="27" t="str">
        <f>IFERROR(IF(IFERROR(MATCH(6,'كشف الحساب'!$N$4:$N$353,0),0)=0,"",INDEX('كشف الحساب'!$C$4:$C$353,IFERROR(MATCH(6,'كشف الحساب'!$N$4:$N$353,0),0))),"")</f>
        <v>متنوع عدد10 الحبه 1</v>
      </c>
      <c r="D10" s="28">
        <f>IFERROR(IF(IFERROR(MATCH(6,'كشف الحساب'!$N$4:$N$353,0),0)=0,"",INDEX('كشف الحساب'!$D$4:$D$353,IFERROR(MATCH(6,'كشف الحساب'!$N$4:$N$353,0),0))),"")</f>
        <v>0</v>
      </c>
      <c r="E10" s="62">
        <f>IFERROR(IF(IFERROR(MATCH(6,'كشف الحساب'!$N$4:$N$353,0),0)=0,"",INDEX('كشف الحساب'!$E$4:$E$353,IFERROR(MATCH(6,'كشف الحساب'!$N$4:$N$353,0),0))),"")</f>
        <v>10</v>
      </c>
      <c r="F10" s="61" t="str">
        <f>IFERROR(IF(IFERROR(MATCH(6,'كشف الحساب'!$N$4:$N$353,0),0)=0,"",INDEX('كشف الحساب'!$F$4:$F$353,IFERROR(MATCH(6,'كشف الحساب'!$N$4:$N$353,0),0))),"")</f>
        <v>أون لاين</v>
      </c>
      <c r="G10" s="61">
        <f>IFERROR(IF(IFERROR(MATCH(6,'كشف الحساب'!$N$4:$N$353,0),0)=0,"",INDEX('كشف الحساب'!$G$4:$G$353,IFERROR(MATCH(6,'كشف الحساب'!$N$4:$N$353,0),0))),"")</f>
        <v>0</v>
      </c>
      <c r="H10" s="61" t="str">
        <f>IFERROR(IF(IFERROR(MATCH(6,'كشف الحساب'!$N$4:$N$353,0),0)=0,"",INDEX('كشف الحساب'!$H$4:$H$353,IFERROR(MATCH(6,'كشف الحساب'!$N$4:$N$353,0),0))),"")</f>
        <v>تم الدفع</v>
      </c>
      <c r="I10" s="61">
        <f>IFERROR(IF(IFERROR(MATCH(6,'كشف الحساب'!$N$4:$N$353,0),0)=0,"",INDEX('كشف الحساب'!$I$4:$I$353,IFERROR(MATCH(6,'كشف الحساب'!$N$4:$N$353,0),0))),"")</f>
        <v>0</v>
      </c>
      <c r="J10" s="34">
        <f>IFERROR(IF(IFERROR(MATCH(6,'كشف الحساب'!$N$4:$N$353,0),0)=0,"",INDEX('كشف الحساب'!$J$4:$J$353,IFERROR(MATCH(6,'كشف الحساب'!$N$4:$N$353,0),0))),"")</f>
        <v>34.64500000000001</v>
      </c>
      <c r="K10" s="61">
        <f>IFERROR(IF(IFERROR(MATCH(6,'كشف الحساب'!$N$4:$N$353,0),0)=0,"",INDEX('كشف الحساب'!$K$4:$K$353,IFERROR(MATCH(6,'كشف الحساب'!$N$4:$N$353,0),0))),"")</f>
        <v>0</v>
      </c>
    </row>
    <row r="11" spans="1:11" ht="16.5" customHeight="1" x14ac:dyDescent="0.25">
      <c r="A11" s="139">
        <f>IFERROR(IF(IFERROR(MATCH(7,'كشف الحساب'!$N$4:$N$353,0),0)=0,"",INDEX('كشف الحساب'!$A$4:$A$353,IFERROR(MATCH(7,'كشف الحساب'!$N$4:$N$353,0),0))),"")</f>
        <v>46240</v>
      </c>
      <c r="B11" s="59" t="str">
        <f>IFERROR(IF(IFERROR(MATCH(7,'كشف الحساب'!$N$4:$N$353,0),0)=0,"",INDEX('كشف الحساب'!$B$4:$B$353,IFERROR(MATCH(7,'كشف الحساب'!$N$4:$N$353,0),0))),"")</f>
        <v>Inv-111</v>
      </c>
      <c r="C11" s="37" t="str">
        <f>IFERROR(IF(IFERROR(MATCH(7,'كشف الحساب'!$N$4:$N$353,0),0)=0,"",INDEX('كشف الحساب'!$C$4:$C$353,IFERROR(MATCH(7,'كشف الحساب'!$N$4:$N$353,0),0))),"")</f>
        <v>متنوع 6 عدد 1</v>
      </c>
      <c r="D11" s="38">
        <f>IFERROR(IF(IFERROR(MATCH(7,'كشف الحساب'!$N$4:$N$353,0),0)=0,"",INDEX('كشف الحساب'!$D$4:$D$353,IFERROR(MATCH(7,'كشف الحساب'!$N$4:$N$353,0),0))),"")</f>
        <v>0</v>
      </c>
      <c r="E11" s="60">
        <f>IFERROR(IF(IFERROR(MATCH(7,'كشف الحساب'!$N$4:$N$353,0),0)=0,"",INDEX('كشف الحساب'!$E$4:$E$353,IFERROR(MATCH(7,'كشف الحساب'!$N$4:$N$353,0),0))),"")</f>
        <v>6</v>
      </c>
      <c r="F11" s="59" t="str">
        <f>IFERROR(IF(IFERROR(MATCH(7,'كشف الحساب'!$N$4:$N$353,0),0)=0,"",INDEX('كشف الحساب'!$F$4:$F$353,IFERROR(MATCH(7,'كشف الحساب'!$N$4:$N$353,0),0))),"")</f>
        <v>أون لاين</v>
      </c>
      <c r="G11" s="59">
        <f>IFERROR(IF(IFERROR(MATCH(7,'كشف الحساب'!$N$4:$N$353,0),0)=0,"",INDEX('كشف الحساب'!$G$4:$G$353,IFERROR(MATCH(7,'كشف الحساب'!$N$4:$N$353,0),0))),"")</f>
        <v>0</v>
      </c>
      <c r="H11" s="59" t="str">
        <f>IFERROR(IF(IFERROR(MATCH(7,'كشف الحساب'!$N$4:$N$353,0),0)=0,"",INDEX('كشف الحساب'!$H$4:$H$353,IFERROR(MATCH(7,'كشف الحساب'!$N$4:$N$353,0),0))),"")</f>
        <v>تم الدفع</v>
      </c>
      <c r="I11" s="59">
        <f>IFERROR(IF(IFERROR(MATCH(7,'كشف الحساب'!$N$4:$N$353,0),0)=0,"",INDEX('كشف الحساب'!$I$4:$I$353,IFERROR(MATCH(7,'كشف الحساب'!$N$4:$N$353,0),0))),"")</f>
        <v>0</v>
      </c>
      <c r="J11" s="43">
        <f>IFERROR(IF(IFERROR(MATCH(7,'كشف الحساب'!$N$4:$N$353,0),0)=0,"",INDEX('كشف الحساب'!$J$4:$J$353,IFERROR(MATCH(7,'كشف الحساب'!$N$4:$N$353,0),0))),"")</f>
        <v>40.64500000000001</v>
      </c>
      <c r="K11" s="59">
        <f>IFERROR(IF(IFERROR(MATCH(7,'كشف الحساب'!$N$4:$N$353,0),0)=0,"",INDEX('كشف الحساب'!$K$4:$K$353,IFERROR(MATCH(7,'كشف الحساب'!$N$4:$N$353,0),0))),"")</f>
        <v>0</v>
      </c>
    </row>
    <row r="12" spans="1:11" ht="16.5" customHeight="1" x14ac:dyDescent="0.25">
      <c r="A12" s="25">
        <f>IFERROR(IF(IFERROR(MATCH(8,'كشف الحساب'!$N$4:$N$353,0),0)=0,"",INDEX('كشف الحساب'!$A$4:$A$353,IFERROR(MATCH(8,'كشف الحساب'!$N$4:$N$353,0),0))),"")</f>
        <v>46240</v>
      </c>
      <c r="B12" s="61" t="str">
        <f>IFERROR(IF(IFERROR(MATCH(8,'كشف الحساب'!$N$4:$N$353,0),0)=0,"",INDEX('كشف الحساب'!$B$4:$B$353,IFERROR(MATCH(8,'كشف الحساب'!$N$4:$N$353,0),0))),"")</f>
        <v>Inv-112</v>
      </c>
      <c r="C12" s="27" t="str">
        <f>IFERROR(IF(IFERROR(MATCH(8,'كشف الحساب'!$N$4:$N$353,0),0)=0,"",INDEX('كشف الحساب'!$C$4:$C$353,IFERROR(MATCH(8,'كشف الحساب'!$N$4:$N$353,0),0))),"")</f>
        <v>ربل عدد 15 الحبه2</v>
      </c>
      <c r="D12" s="28">
        <f>IFERROR(IF(IFERROR(MATCH(8,'كشف الحساب'!$N$4:$N$353,0),0)=0,"",INDEX('كشف الحساب'!$D$4:$D$353,IFERROR(MATCH(8,'كشف الحساب'!$N$4:$N$353,0),0))),"")</f>
        <v>0</v>
      </c>
      <c r="E12" s="62">
        <f>IFERROR(IF(IFERROR(MATCH(8,'كشف الحساب'!$N$4:$N$353,0),0)=0,"",INDEX('كشف الحساب'!$E$4:$E$353,IFERROR(MATCH(8,'كشف الحساب'!$N$4:$N$353,0),0))),"")</f>
        <v>29</v>
      </c>
      <c r="F12" s="61" t="str">
        <f>IFERROR(IF(IFERROR(MATCH(8,'كشف الحساب'!$N$4:$N$353,0),0)=0,"",INDEX('كشف الحساب'!$F$4:$F$353,IFERROR(MATCH(8,'كشف الحساب'!$N$4:$N$353,0),0))),"")</f>
        <v>أون لاين</v>
      </c>
      <c r="G12" s="61">
        <f>IFERROR(IF(IFERROR(MATCH(8,'كشف الحساب'!$N$4:$N$353,0),0)=0,"",INDEX('كشف الحساب'!$G$4:$G$353,IFERROR(MATCH(8,'كشف الحساب'!$N$4:$N$353,0),0))),"")</f>
        <v>0</v>
      </c>
      <c r="H12" s="61" t="str">
        <f>IFERROR(IF(IFERROR(MATCH(8,'كشف الحساب'!$N$4:$N$353,0),0)=0,"",INDEX('كشف الحساب'!$H$4:$H$353,IFERROR(MATCH(8,'كشف الحساب'!$N$4:$N$353,0),0))),"")</f>
        <v>تم الدفع</v>
      </c>
      <c r="I12" s="61">
        <f>IFERROR(IF(IFERROR(MATCH(8,'كشف الحساب'!$N$4:$N$353,0),0)=0,"",INDEX('كشف الحساب'!$I$4:$I$353,IFERROR(MATCH(8,'كشف الحساب'!$N$4:$N$353,0),0))),"")</f>
        <v>0</v>
      </c>
      <c r="J12" s="34">
        <f>IFERROR(IF(IFERROR(MATCH(8,'كشف الحساب'!$N$4:$N$353,0),0)=0,"",INDEX('كشف الحساب'!$J$4:$J$353,IFERROR(MATCH(8,'كشف الحساب'!$N$4:$N$353,0),0))),"")</f>
        <v>69.64500000000001</v>
      </c>
      <c r="K12" s="61" t="str">
        <f>IFERROR(IF(IFERROR(MATCH(8,'كشف الحساب'!$N$4:$N$353,0),0)=0,"",INDEX('كشف الحساب'!$K$4:$K$353,IFERROR(MATCH(8,'كشف الحساب'!$N$4:$N$353,0),0))),"")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الحساب'!$N$4:$N$353,0),0)=0,"",INDEX('كشف الحساب'!$A$4:$A$353,IFERROR(MATCH(9,'كشف الحساب'!$N$4:$N$353,0),0))),"")</f>
        <v>46240</v>
      </c>
      <c r="B13" s="59">
        <f>IFERROR(IF(IFERROR(MATCH(9,'كشف الحساب'!$N$4:$N$353,0),0)=0,"",INDEX('كشف الحساب'!$B$4:$B$353,IFERROR(MATCH(9,'كشف الحساب'!$N$4:$N$353,0),0))),"")</f>
        <v>0</v>
      </c>
      <c r="C13" s="37" t="str">
        <f>IFERROR(IF(IFERROR(MATCH(9,'كشف الحساب'!$N$4:$N$353,0),0)=0,"",INDEX('كشف الحساب'!$C$4:$C$353,IFERROR(MATCH(9,'كشف الحساب'!$N$4:$N$353,0),0))),"")</f>
        <v>كيميكل للمعالج</v>
      </c>
      <c r="D13" s="38">
        <f>IFERROR(IF(IFERROR(MATCH(9,'كشف الحساب'!$N$4:$N$353,0),0)=0,"",INDEX('كشف الحساب'!$D$4:$D$353,IFERROR(MATCH(9,'كشف الحساب'!$N$4:$N$353,0),0))),"")</f>
        <v>29</v>
      </c>
      <c r="E13" s="60">
        <f>IFERROR(IF(IFERROR(MATCH(9,'كشف الحساب'!$N$4:$N$353,0),0)=0,"",INDEX('كشف الحساب'!$E$4:$E$353,IFERROR(MATCH(9,'كشف الحساب'!$N$4:$N$353,0),0))),"")</f>
        <v>0</v>
      </c>
      <c r="F13" s="59" t="str">
        <f>IFERROR(IF(IFERROR(MATCH(9,'كشف الحساب'!$N$4:$N$353,0),0)=0,"",INDEX('كشف الحساب'!$F$4:$F$353,IFERROR(MATCH(9,'كشف الحساب'!$N$4:$N$353,0),0))),"")</f>
        <v>نقداً</v>
      </c>
      <c r="G13" s="59" t="str">
        <f>IFERROR(IF(IFERROR(MATCH(9,'كشف الحساب'!$N$4:$N$353,0),0)=0,"",INDEX('كشف الحساب'!$G$4:$G$353,IFERROR(MATCH(9,'كشف الحساب'!$N$4:$N$353,0),0))),"")</f>
        <v>المحفظة</v>
      </c>
      <c r="H13" s="59" t="str">
        <f>IFERROR(IF(IFERROR(MATCH(9,'كشف الحساب'!$N$4:$N$353,0),0)=0,"",INDEX('كشف الحساب'!$H$4:$H$353,IFERROR(MATCH(9,'كشف الحساب'!$N$4:$N$353,0),0))),"")</f>
        <v>تم الدفع</v>
      </c>
      <c r="I13" s="59">
        <f>IFERROR(IF(IFERROR(MATCH(9,'كشف الحساب'!$N$4:$N$353,0),0)=0,"",INDEX('كشف الحساب'!$I$4:$I$353,IFERROR(MATCH(9,'كشف الحساب'!$N$4:$N$353,0),0))),"")</f>
        <v>0</v>
      </c>
      <c r="J13" s="43">
        <f>IFERROR(IF(IFERROR(MATCH(9,'كشف الحساب'!$N$4:$N$353,0),0)=0,"",INDEX('كشف الحساب'!$J$4:$J$353,IFERROR(MATCH(9,'كشف الحساب'!$N$4:$N$353,0),0))),"")</f>
        <v>40.64500000000001</v>
      </c>
      <c r="K13" s="59">
        <f>IFERROR(IF(IFERROR(MATCH(9,'كشف الحساب'!$N$4:$N$353,0),0)=0,"",INDEX('كشف الحساب'!$K$4:$K$353,IFERROR(MATCH(9,'كشف الحساب'!$N$4:$N$353,0),0))),"")</f>
        <v>0</v>
      </c>
    </row>
    <row r="14" spans="1:11" ht="16.5" customHeight="1" x14ac:dyDescent="0.25">
      <c r="A14" s="25">
        <f>IFERROR(IF(IFERROR(MATCH(10,'كشف الحساب'!$N$4:$N$353,0),0)=0,"",INDEX('كشف الحساب'!$A$4:$A$353,IFERROR(MATCH(10,'كشف الحساب'!$N$4:$N$353,0),0))),"")</f>
        <v>46240</v>
      </c>
      <c r="B14" s="61">
        <f>IFERROR(IF(IFERROR(MATCH(10,'كشف الحساب'!$N$4:$N$353,0),0)=0,"",INDEX('كشف الحساب'!$B$4:$B$353,IFERROR(MATCH(10,'كشف الحساب'!$N$4:$N$353,0),0))),"")</f>
        <v>0</v>
      </c>
      <c r="C14" s="27" t="str">
        <f>IFERROR(IF(IFERROR(MATCH(10,'كشف الحساب'!$N$4:$N$353,0),0)=0,"",INDEX('كشف الحساب'!$C$4:$C$353,IFERROR(MATCH(10,'كشف الحساب'!$N$4:$N$353,0),0))),"")</f>
        <v>ترمستات الثلاجه الكبيره</v>
      </c>
      <c r="D14" s="28">
        <f>IFERROR(IF(IFERROR(MATCH(10,'كشف الحساب'!$N$4:$N$353,0),0)=0,"",INDEX('كشف الحساب'!$D$4:$D$353,IFERROR(MATCH(10,'كشف الحساب'!$N$4:$N$353,0),0))),"")</f>
        <v>5.75</v>
      </c>
      <c r="E14" s="62">
        <f>IFERROR(IF(IFERROR(MATCH(10,'كشف الحساب'!$N$4:$N$353,0),0)=0,"",INDEX('كشف الحساب'!$E$4:$E$353,IFERROR(MATCH(10,'كشف الحساب'!$N$4:$N$353,0),0))),"")</f>
        <v>0</v>
      </c>
      <c r="F14" s="61" t="str">
        <f>IFERROR(IF(IFERROR(MATCH(10,'كشف الحساب'!$N$4:$N$353,0),0)=0,"",INDEX('كشف الحساب'!$F$4:$F$353,IFERROR(MATCH(10,'كشف الحساب'!$N$4:$N$353,0),0))),"")</f>
        <v>نقداً</v>
      </c>
      <c r="G14" s="61" t="str">
        <f>IFERROR(IF(IFERROR(MATCH(10,'كشف الحساب'!$N$4:$N$353,0),0)=0,"",INDEX('كشف الحساب'!$G$4:$G$353,IFERROR(MATCH(10,'كشف الحساب'!$N$4:$N$353,0),0))),"")</f>
        <v>المحفظة</v>
      </c>
      <c r="H14" s="61" t="str">
        <f>IFERROR(IF(IFERROR(MATCH(10,'كشف الحساب'!$N$4:$N$353,0),0)=0,"",INDEX('كشف الحساب'!$H$4:$H$353,IFERROR(MATCH(10,'كشف الحساب'!$N$4:$N$353,0),0))),"")</f>
        <v>تم الدفع</v>
      </c>
      <c r="I14" s="61">
        <f>IFERROR(IF(IFERROR(MATCH(10,'كشف الحساب'!$N$4:$N$353,0),0)=0,"",INDEX('كشف الحساب'!$I$4:$I$353,IFERROR(MATCH(10,'كشف الحساب'!$N$4:$N$353,0),0))),"")</f>
        <v>0</v>
      </c>
      <c r="J14" s="34">
        <f>IFERROR(IF(IFERROR(MATCH(10,'كشف الحساب'!$N$4:$N$353,0),0)=0,"",INDEX('كشف الحساب'!$J$4:$J$353,IFERROR(MATCH(10,'كشف الحساب'!$N$4:$N$353,0),0))),"")</f>
        <v>34.89500000000001</v>
      </c>
      <c r="K14" s="61">
        <f>IFERROR(IF(IFERROR(MATCH(10,'كشف الحساب'!$N$4:$N$353,0),0)=0,"",INDEX('كشف الحساب'!$K$4:$K$353,IFERROR(MATCH(10,'كشف الحساب'!$N$4:$N$353,0),0))),"")</f>
        <v>0</v>
      </c>
    </row>
    <row r="15" spans="1:11" ht="16.5" customHeight="1" x14ac:dyDescent="0.25">
      <c r="A15" s="139">
        <f>IFERROR(IF(IFERROR(MATCH(11,'كشف الحساب'!$N$4:$N$353,0),0)=0,"",INDEX('كشف الحساب'!$A$4:$A$353,IFERROR(MATCH(11,'كشف الحساب'!$N$4:$N$353,0),0))),"")</f>
        <v>46244</v>
      </c>
      <c r="B15" s="59" t="str">
        <f>IFERROR(IF(IFERROR(MATCH(11,'كشف الحساب'!$N$4:$N$353,0),0)=0,"",INDEX('كشف الحساب'!$B$4:$B$353,IFERROR(MATCH(11,'كشف الحساب'!$N$4:$N$353,0),0))),"")</f>
        <v>Inv-113</v>
      </c>
      <c r="C15" s="37" t="str">
        <f>IFERROR(IF(IFERROR(MATCH(11,'كشف الحساب'!$N$4:$N$353,0),0)=0,"",INDEX('كشف الحساب'!$C$4:$C$353,IFERROR(MATCH(11,'كشف الحساب'!$N$4:$N$353,0),0))),"")</f>
        <v>ربل  عدد 40 الحبه 2.250</v>
      </c>
      <c r="D15" s="38">
        <f>IFERROR(IF(IFERROR(MATCH(11,'كشف الحساب'!$N$4:$N$353,0),0)=0,"",INDEX('كشف الحساب'!$D$4:$D$353,IFERROR(MATCH(11,'كشف الحساب'!$N$4:$N$353,0),0))),"")</f>
        <v>0</v>
      </c>
      <c r="E15" s="60">
        <f>IFERROR(IF(IFERROR(MATCH(11,'كشف الحساب'!$N$4:$N$353,0),0)=0,"",INDEX('كشف الحساب'!$E$4:$E$353,IFERROR(MATCH(11,'كشف الحساب'!$N$4:$N$353,0),0))),"")</f>
        <v>90</v>
      </c>
      <c r="F15" s="59" t="str">
        <f>IFERROR(IF(IFERROR(MATCH(11,'كشف الحساب'!$N$4:$N$353,0),0)=0,"",INDEX('كشف الحساب'!$F$4:$F$353,IFERROR(MATCH(11,'كشف الحساب'!$N$4:$N$353,0),0))),"")</f>
        <v>نقداً</v>
      </c>
      <c r="G15" s="59">
        <f>IFERROR(IF(IFERROR(MATCH(11,'كشف الحساب'!$N$4:$N$353,0),0)=0,"",INDEX('كشف الحساب'!$G$4:$G$353,IFERROR(MATCH(11,'كشف الحساب'!$N$4:$N$353,0),0))),"")</f>
        <v>0</v>
      </c>
      <c r="H15" s="59" t="str">
        <f>IFERROR(IF(IFERROR(MATCH(11,'كشف الحساب'!$N$4:$N$353,0),0)=0,"",INDEX('كشف الحساب'!$H$4:$H$353,IFERROR(MATCH(11,'كشف الحساب'!$N$4:$N$353,0),0))),"")</f>
        <v>تم الدفع</v>
      </c>
      <c r="I15" s="59">
        <f>IFERROR(IF(IFERROR(MATCH(11,'كشف الحساب'!$N$4:$N$353,0),0)=0,"",INDEX('كشف الحساب'!$I$4:$I$353,IFERROR(MATCH(11,'كشف الحساب'!$N$4:$N$353,0),0))),"")</f>
        <v>0</v>
      </c>
      <c r="J15" s="43">
        <f>IFERROR(IF(IFERROR(MATCH(11,'كشف الحساب'!$N$4:$N$353,0),0)=0,"",INDEX('كشف الحساب'!$J$4:$J$353,IFERROR(MATCH(11,'كشف الحساب'!$N$4:$N$353,0),0))),"")</f>
        <v>124.89500000000001</v>
      </c>
      <c r="K15" s="59">
        <f>IFERROR(IF(IFERROR(MATCH(11,'كشف الحساب'!$N$4:$N$353,0),0)=0,"",INDEX('كشف الحساب'!$K$4:$K$353,IFERROR(MATCH(11,'كشف الحساب'!$N$4:$N$353,0),0))),"")</f>
        <v>0</v>
      </c>
    </row>
    <row r="16" spans="1:11" ht="16.5" customHeight="1" x14ac:dyDescent="0.25">
      <c r="A16" s="25">
        <f>IFERROR(IF(IFERROR(MATCH(12,'كشف الحساب'!$N$4:$N$353,0),0)=0,"",INDEX('كشف الحساب'!$A$4:$A$353,IFERROR(MATCH(12,'كشف الحساب'!$N$4:$N$353,0),0))),"")</f>
        <v>46244</v>
      </c>
      <c r="B16" s="61" t="str">
        <f>IFERROR(IF(IFERROR(MATCH(12,'كشف الحساب'!$N$4:$N$353,0),0)=0,"",INDEX('كشف الحساب'!$B$4:$B$353,IFERROR(MATCH(12,'كشف الحساب'!$N$4:$N$353,0),0))),"")</f>
        <v>Inv-114</v>
      </c>
      <c r="C16" s="27" t="str">
        <f>IFERROR(IF(IFERROR(MATCH(12,'كشف الحساب'!$N$4:$N$353,0),0)=0,"",INDEX('كشف الحساب'!$C$4:$C$353,IFERROR(MATCH(12,'كشف الحساب'!$N$4:$N$353,0),0))),"")</f>
        <v>متنوع 8 الحبه 1</v>
      </c>
      <c r="D16" s="28">
        <f>IFERROR(IF(IFERROR(MATCH(12,'كشف الحساب'!$N$4:$N$353,0),0)=0,"",INDEX('كشف الحساب'!$D$4:$D$353,IFERROR(MATCH(12,'كشف الحساب'!$N$4:$N$353,0),0))),"")</f>
        <v>0</v>
      </c>
      <c r="E16" s="62">
        <f>IFERROR(IF(IFERROR(MATCH(12,'كشف الحساب'!$N$4:$N$353,0),0)=0,"",INDEX('كشف الحساب'!$E$4:$E$353,IFERROR(MATCH(12,'كشف الحساب'!$N$4:$N$353,0),0))),"")</f>
        <v>8</v>
      </c>
      <c r="F16" s="61" t="str">
        <f>IFERROR(IF(IFERROR(MATCH(12,'كشف الحساب'!$N$4:$N$353,0),0)=0,"",INDEX('كشف الحساب'!$F$4:$F$353,IFERROR(MATCH(12,'كشف الحساب'!$N$4:$N$353,0),0))),"")</f>
        <v>نقداً</v>
      </c>
      <c r="G16" s="61">
        <f>IFERROR(IF(IFERROR(MATCH(12,'كشف الحساب'!$N$4:$N$353,0),0)=0,"",INDEX('كشف الحساب'!$G$4:$G$353,IFERROR(MATCH(12,'كشف الحساب'!$N$4:$N$353,0),0))),"")</f>
        <v>0</v>
      </c>
      <c r="H16" s="61" t="str">
        <f>IFERROR(IF(IFERROR(MATCH(12,'كشف الحساب'!$N$4:$N$353,0),0)=0,"",INDEX('كشف الحساب'!$H$4:$H$353,IFERROR(MATCH(12,'كشف الحساب'!$N$4:$N$353,0),0))),"")</f>
        <v>تم الدفع</v>
      </c>
      <c r="I16" s="61">
        <f>IFERROR(IF(IFERROR(MATCH(12,'كشف الحساب'!$N$4:$N$353,0),0)=0,"",INDEX('كشف الحساب'!$I$4:$I$353,IFERROR(MATCH(12,'كشف الحساب'!$N$4:$N$353,0),0))),"")</f>
        <v>0</v>
      </c>
      <c r="J16" s="34">
        <f>IFERROR(IF(IFERROR(MATCH(12,'كشف الحساب'!$N$4:$N$353,0),0)=0,"",INDEX('كشف الحساب'!$J$4:$J$353,IFERROR(MATCH(12,'كشف الحساب'!$N$4:$N$353,0),0))),"")</f>
        <v>132.89500000000001</v>
      </c>
      <c r="K16" s="61">
        <f>IFERROR(IF(IFERROR(MATCH(12,'كشف الحساب'!$N$4:$N$353,0),0)=0,"",INDEX('كشف الحساب'!$K$4:$K$353,IFERROR(MATCH(12,'كشف الحساب'!$N$4:$N$353,0),0))),"")</f>
        <v>0</v>
      </c>
    </row>
    <row r="17" spans="1:11" ht="16.5" customHeight="1" x14ac:dyDescent="0.25">
      <c r="A17" s="139">
        <f>IFERROR(IF(IFERROR(MATCH(13,'كشف الحساب'!$N$4:$N$353,0),0)=0,"",INDEX('كشف الحساب'!$A$4:$A$353,IFERROR(MATCH(13,'كشف الحساب'!$N$4:$N$353,0),0))),"")</f>
        <v>46245</v>
      </c>
      <c r="B17" s="59">
        <f>IFERROR(IF(IFERROR(MATCH(13,'كشف الحساب'!$N$4:$N$353,0),0)=0,"",INDEX('كشف الحساب'!$B$4:$B$353,IFERROR(MATCH(13,'كشف الحساب'!$N$4:$N$353,0),0))),"")</f>
        <v>0</v>
      </c>
      <c r="C17" s="37" t="str">
        <f>IFERROR(IF(IFERROR(MATCH(13,'كشف الحساب'!$N$4:$N$353,0),0)=0,"",INDEX('كشف الحساب'!$C$4:$C$353,IFERROR(MATCH(13,'كشف الحساب'!$N$4:$N$353,0),0))),"")</f>
        <v>احواض معلقه + كوكوبيت</v>
      </c>
      <c r="D17" s="38">
        <f>IFERROR(IF(IFERROR(MATCH(13,'كشف الحساب'!$N$4:$N$353,0),0)=0,"",INDEX('كشف الحساب'!$D$4:$D$353,IFERROR(MATCH(13,'كشف الحساب'!$N$4:$N$353,0),0))),"")</f>
        <v>55</v>
      </c>
      <c r="E17" s="60">
        <f>IFERROR(IF(IFERROR(MATCH(13,'كشف الحساب'!$N$4:$N$353,0),0)=0,"",INDEX('كشف الحساب'!$E$4:$E$353,IFERROR(MATCH(13,'كشف الحساب'!$N$4:$N$353,0),0))),"")</f>
        <v>0</v>
      </c>
      <c r="F17" s="59" t="str">
        <f>IFERROR(IF(IFERROR(MATCH(13,'كشف الحساب'!$N$4:$N$353,0),0)=0,"",INDEX('كشف الحساب'!$F$4:$F$353,IFERROR(MATCH(13,'كشف الحساب'!$N$4:$N$353,0),0))),"")</f>
        <v>نقداً</v>
      </c>
      <c r="G17" s="59" t="str">
        <f>IFERROR(IF(IFERROR(MATCH(13,'كشف الحساب'!$N$4:$N$353,0),0)=0,"",INDEX('كشف الحساب'!$G$4:$G$353,IFERROR(MATCH(13,'كشف الحساب'!$N$4:$N$353,0),0))),"")</f>
        <v>المحفظة</v>
      </c>
      <c r="H17" s="59" t="str">
        <f>IFERROR(IF(IFERROR(MATCH(13,'كشف الحساب'!$N$4:$N$353,0),0)=0,"",INDEX('كشف الحساب'!$H$4:$H$353,IFERROR(MATCH(13,'كشف الحساب'!$N$4:$N$353,0),0))),"")</f>
        <v>تم الدفع</v>
      </c>
      <c r="I17" s="59">
        <f>IFERROR(IF(IFERROR(MATCH(13,'كشف الحساب'!$N$4:$N$353,0),0)=0,"",INDEX('كشف الحساب'!$I$4:$I$353,IFERROR(MATCH(13,'كشف الحساب'!$N$4:$N$353,0),0))),"")</f>
        <v>0</v>
      </c>
      <c r="J17" s="43">
        <f>IFERROR(IF(IFERROR(MATCH(13,'كشف الحساب'!$N$4:$N$353,0),0)=0,"",INDEX('كشف الحساب'!$J$4:$J$353,IFERROR(MATCH(13,'كشف الحساب'!$N$4:$N$353,0),0))),"")</f>
        <v>77.89500000000001</v>
      </c>
      <c r="K17" s="59">
        <f>IFERROR(IF(IFERROR(MATCH(13,'كشف الحساب'!$N$4:$N$353,0),0)=0,"",INDEX('كشف الحساب'!$K$4:$K$353,IFERROR(MATCH(13,'كشف الحساب'!$N$4:$N$353,0),0))),"")</f>
        <v>0</v>
      </c>
    </row>
    <row r="18" spans="1:11" ht="16.5" customHeight="1" x14ac:dyDescent="0.25">
      <c r="A18" s="25">
        <f>IFERROR(IF(IFERROR(MATCH(14,'كشف الحساب'!$N$4:$N$353,0),0)=0,"",INDEX('كشف الحساب'!$A$4:$A$353,IFERROR(MATCH(14,'كشف الحساب'!$N$4:$N$353,0),0))),"")</f>
        <v>46245</v>
      </c>
      <c r="B18" s="61">
        <f>IFERROR(IF(IFERROR(MATCH(14,'كشف الحساب'!$N$4:$N$353,0),0)=0,"",INDEX('كشف الحساب'!$B$4:$B$353,IFERROR(MATCH(14,'كشف الحساب'!$N$4:$N$353,0),0))),"")</f>
        <v>0</v>
      </c>
      <c r="C18" s="27" t="str">
        <f>IFERROR(IF(IFERROR(MATCH(14,'كشف الحساب'!$N$4:$N$353,0),0)=0,"",INDEX('كشف الحساب'!$C$4:$C$353,IFERROR(MATCH(14,'كشف الحساب'!$N$4:$N$353,0),0))),"")</f>
        <v>15-15-15 خرماشه</v>
      </c>
      <c r="D18" s="28">
        <f>IFERROR(IF(IFERROR(MATCH(14,'كشف الحساب'!$N$4:$N$353,0),0)=0,"",INDEX('كشف الحساب'!$D$4:$D$353,IFERROR(MATCH(14,'كشف الحساب'!$N$4:$N$353,0),0))),"")</f>
        <v>7.6749999999999998</v>
      </c>
      <c r="E18" s="62">
        <f>IFERROR(IF(IFERROR(MATCH(14,'كشف الحساب'!$N$4:$N$353,0),0)=0,"",INDEX('كشف الحساب'!$E$4:$E$353,IFERROR(MATCH(14,'كشف الحساب'!$N$4:$N$353,0),0))),"")</f>
        <v>0</v>
      </c>
      <c r="F18" s="61" t="str">
        <f>IFERROR(IF(IFERROR(MATCH(14,'كشف الحساب'!$N$4:$N$353,0),0)=0,"",INDEX('كشف الحساب'!$F$4:$F$353,IFERROR(MATCH(14,'كشف الحساب'!$N$4:$N$353,0),0))),"")</f>
        <v>نقداً</v>
      </c>
      <c r="G18" s="61" t="str">
        <f>IFERROR(IF(IFERROR(MATCH(14,'كشف الحساب'!$N$4:$N$353,0),0)=0,"",INDEX('كشف الحساب'!$G$4:$G$353,IFERROR(MATCH(14,'كشف الحساب'!$N$4:$N$353,0),0))),"")</f>
        <v>المحفظة</v>
      </c>
      <c r="H18" s="61" t="str">
        <f>IFERROR(IF(IFERROR(MATCH(14,'كشف الحساب'!$N$4:$N$353,0),0)=0,"",INDEX('كشف الحساب'!$H$4:$H$353,IFERROR(MATCH(14,'كشف الحساب'!$N$4:$N$353,0),0))),"")</f>
        <v>تم الدفع</v>
      </c>
      <c r="I18" s="61">
        <f>IFERROR(IF(IFERROR(MATCH(14,'كشف الحساب'!$N$4:$N$353,0),0)=0,"",INDEX('كشف الحساب'!$I$4:$I$353,IFERROR(MATCH(14,'كشف الحساب'!$N$4:$N$353,0),0))),"")</f>
        <v>0</v>
      </c>
      <c r="J18" s="34">
        <f>IFERROR(IF(IFERROR(MATCH(14,'كشف الحساب'!$N$4:$N$353,0),0)=0,"",INDEX('كشف الحساب'!$J$4:$J$353,IFERROR(MATCH(14,'كشف الحساب'!$N$4:$N$353,0),0))),"")</f>
        <v>70.220000000000013</v>
      </c>
      <c r="K18" s="61">
        <f>IFERROR(IF(IFERROR(MATCH(14,'كشف الحساب'!$N$4:$N$353,0),0)=0,"",INDEX('كشف الحساب'!$K$4:$K$353,IFERROR(MATCH(14,'كشف الحساب'!$N$4:$N$353,0),0))),"")</f>
        <v>0</v>
      </c>
    </row>
    <row r="19" spans="1:11" ht="16.5" customHeight="1" x14ac:dyDescent="0.25">
      <c r="A19" s="139">
        <f>IFERROR(IF(IFERROR(MATCH(15,'كشف الحساب'!$N$4:$N$353,0),0)=0,"",INDEX('كشف الحساب'!$A$4:$A$353,IFERROR(MATCH(15,'كشف الحساب'!$N$4:$N$353,0),0))),"")</f>
        <v>46247</v>
      </c>
      <c r="B19" s="59">
        <f>IFERROR(IF(IFERROR(MATCH(15,'كشف الحساب'!$N$4:$N$353,0),0)=0,"",INDEX('كشف الحساب'!$B$4:$B$353,IFERROR(MATCH(15,'كشف الحساب'!$N$4:$N$353,0),0))),"")</f>
        <v>0</v>
      </c>
      <c r="C19" s="37" t="str">
        <f>IFERROR(IF(IFERROR(MATCH(15,'كشف الحساب'!$N$4:$N$353,0),0)=0,"",INDEX('كشف الحساب'!$C$4:$C$353,IFERROR(MATCH(15,'كشف الحساب'!$N$4:$N$353,0),0))),"")</f>
        <v>هرمون تدير</v>
      </c>
      <c r="D19" s="38">
        <f>IFERROR(IF(IFERROR(MATCH(15,'كشف الحساب'!$N$4:$N$353,0),0)=0,"",INDEX('كشف الحساب'!$D$4:$D$353,IFERROR(MATCH(15,'كشف الحساب'!$N$4:$N$353,0),0))),"")</f>
        <v>4</v>
      </c>
      <c r="E19" s="60">
        <f>IFERROR(IF(IFERROR(MATCH(15,'كشف الحساب'!$N$4:$N$353,0),0)=0,"",INDEX('كشف الحساب'!$E$4:$E$353,IFERROR(MATCH(15,'كشف الحساب'!$N$4:$N$353,0),0))),"")</f>
        <v>0</v>
      </c>
      <c r="F19" s="59" t="str">
        <f>IFERROR(IF(IFERROR(MATCH(15,'كشف الحساب'!$N$4:$N$353,0),0)=0,"",INDEX('كشف الحساب'!$F$4:$F$353,IFERROR(MATCH(15,'كشف الحساب'!$N$4:$N$353,0),0))),"")</f>
        <v>نقداً</v>
      </c>
      <c r="G19" s="59" t="str">
        <f>IFERROR(IF(IFERROR(MATCH(15,'كشف الحساب'!$N$4:$N$353,0),0)=0,"",INDEX('كشف الحساب'!$G$4:$G$353,IFERROR(MATCH(15,'كشف الحساب'!$N$4:$N$353,0),0))),"")</f>
        <v>المحفظة</v>
      </c>
      <c r="H19" s="59" t="str">
        <f>IFERROR(IF(IFERROR(MATCH(15,'كشف الحساب'!$N$4:$N$353,0),0)=0,"",INDEX('كشف الحساب'!$H$4:$H$353,IFERROR(MATCH(15,'كشف الحساب'!$N$4:$N$353,0),0))),"")</f>
        <v>تم الدفع</v>
      </c>
      <c r="I19" s="59">
        <f>IFERROR(IF(IFERROR(MATCH(15,'كشف الحساب'!$N$4:$N$353,0),0)=0,"",INDEX('كشف الحساب'!$I$4:$I$353,IFERROR(MATCH(15,'كشف الحساب'!$N$4:$N$353,0),0))),"")</f>
        <v>0</v>
      </c>
      <c r="J19" s="43">
        <f>IFERROR(IF(IFERROR(MATCH(15,'كشف الحساب'!$N$4:$N$353,0),0)=0,"",INDEX('كشف الحساب'!$J$4:$J$353,IFERROR(MATCH(15,'كشف الحساب'!$N$4:$N$353,0),0))),"")</f>
        <v>66.220000000000013</v>
      </c>
      <c r="K19" s="59">
        <f>IFERROR(IF(IFERROR(MATCH(15,'كشف الحساب'!$N$4:$N$353,0),0)=0,"",INDEX('كشف الحساب'!$K$4:$K$353,IFERROR(MATCH(15,'كشف الحساب'!$N$4:$N$353,0),0))),"")</f>
        <v>0</v>
      </c>
    </row>
    <row r="20" spans="1:11" ht="16.5" customHeight="1" x14ac:dyDescent="0.25">
      <c r="A20" s="25">
        <f>IFERROR(IF(IFERROR(MATCH(16,'كشف الحساب'!$N$4:$N$353,0),0)=0,"",INDEX('كشف الحساب'!$A$4:$A$353,IFERROR(MATCH(16,'كشف الحساب'!$N$4:$N$353,0),0))),"")</f>
        <v>46247</v>
      </c>
      <c r="B20" s="61">
        <f>IFERROR(IF(IFERROR(MATCH(16,'كشف الحساب'!$N$4:$N$353,0),0)=0,"",INDEX('كشف الحساب'!$B$4:$B$353,IFERROR(MATCH(16,'كشف الحساب'!$N$4:$N$353,0),0))),"")</f>
        <v>0</v>
      </c>
      <c r="C20" s="27" t="str">
        <f>IFERROR(IF(IFERROR(MATCH(16,'كشف الحساب'!$N$4:$N$353,0),0)=0,"",INDEX('كشف الحساب'!$C$4:$C$353,IFERROR(MATCH(16,'كشف الحساب'!$N$4:$N$353,0),0))),"")</f>
        <v>احواض مقاس 14 عدد 1000</v>
      </c>
      <c r="D20" s="28">
        <f>IFERROR(IF(IFERROR(MATCH(16,'كشف الحساب'!$N$4:$N$353,0),0)=0,"",INDEX('كشف الحساب'!$D$4:$D$353,IFERROR(MATCH(16,'كشف الحساب'!$N$4:$N$353,0),0))),"")</f>
        <v>20</v>
      </c>
      <c r="E20" s="62">
        <f>IFERROR(IF(IFERROR(MATCH(16,'كشف الحساب'!$N$4:$N$353,0),0)=0,"",INDEX('كشف الحساب'!$E$4:$E$353,IFERROR(MATCH(16,'كشف الحساب'!$N$4:$N$353,0),0))),"")</f>
        <v>0</v>
      </c>
      <c r="F20" s="61" t="str">
        <f>IFERROR(IF(IFERROR(MATCH(16,'كشف الحساب'!$N$4:$N$353,0),0)=0,"",INDEX('كشف الحساب'!$F$4:$F$353,IFERROR(MATCH(16,'كشف الحساب'!$N$4:$N$353,0),0))),"")</f>
        <v>نقداً</v>
      </c>
      <c r="G20" s="61" t="str">
        <f>IFERROR(IF(IFERROR(MATCH(16,'كشف الحساب'!$N$4:$N$353,0),0)=0,"",INDEX('كشف الحساب'!$G$4:$G$353,IFERROR(MATCH(16,'كشف الحساب'!$N$4:$N$353,0),0))),"")</f>
        <v>المحفظة</v>
      </c>
      <c r="H20" s="61" t="str">
        <f>IFERROR(IF(IFERROR(MATCH(16,'كشف الحساب'!$N$4:$N$353,0),0)=0,"",INDEX('كشف الحساب'!$H$4:$H$353,IFERROR(MATCH(16,'كشف الحساب'!$N$4:$N$353,0),0))),"")</f>
        <v>تم الدفع</v>
      </c>
      <c r="I20" s="61">
        <f>IFERROR(IF(IFERROR(MATCH(16,'كشف الحساب'!$N$4:$N$353,0),0)=0,"",INDEX('كشف الحساب'!$I$4:$I$353,IFERROR(MATCH(16,'كشف الحساب'!$N$4:$N$353,0),0))),"")</f>
        <v>0</v>
      </c>
      <c r="J20" s="34">
        <f>IFERROR(IF(IFERROR(MATCH(16,'كشف الحساب'!$N$4:$N$353,0),0)=0,"",INDEX('كشف الحساب'!$J$4:$J$353,IFERROR(MATCH(16,'كشف الحساب'!$N$4:$N$353,0),0))),"")</f>
        <v>46.220000000000013</v>
      </c>
      <c r="K20" s="61">
        <f>IFERROR(IF(IFERROR(MATCH(16,'كشف الحساب'!$N$4:$N$353,0),0)=0,"",INDEX('كشف الحساب'!$K$4:$K$353,IFERROR(MATCH(16,'كشف الحساب'!$N$4:$N$353,0),0))),"")</f>
        <v>0</v>
      </c>
    </row>
    <row r="21" spans="1:11" ht="16.5" customHeight="1" x14ac:dyDescent="0.25">
      <c r="A21" s="139">
        <f>IFERROR(IF(IFERROR(MATCH(17,'كشف الحساب'!$N$4:$N$353,0),0)=0,"",INDEX('كشف الحساب'!$A$4:$A$353,IFERROR(MATCH(17,'كشف الحساب'!$N$4:$N$353,0),0))),"")</f>
        <v>46247</v>
      </c>
      <c r="B21" s="59">
        <f>IFERROR(IF(IFERROR(MATCH(17,'كشف الحساب'!$N$4:$N$353,0),0)=0,"",INDEX('كشف الحساب'!$B$4:$B$353,IFERROR(MATCH(17,'كشف الحساب'!$N$4:$N$353,0),0))),"")</f>
        <v>0</v>
      </c>
      <c r="C21" s="37" t="str">
        <f>IFERROR(IF(IFERROR(MATCH(17,'كشف الحساب'!$N$4:$N$353,0),0)=0,"",INDEX('كشف الحساب'!$C$4:$C$353,IFERROR(MATCH(17,'كشف الحساب'!$N$4:$N$353,0),0))),"")</f>
        <v>وصلات</v>
      </c>
      <c r="D21" s="38">
        <f>IFERROR(IF(IFERROR(MATCH(17,'كشف الحساب'!$N$4:$N$353,0),0)=0,"",INDEX('كشف الحساب'!$D$4:$D$353,IFERROR(MATCH(17,'كشف الحساب'!$N$4:$N$353,0),0))),"")</f>
        <v>0.9</v>
      </c>
      <c r="E21" s="60">
        <f>IFERROR(IF(IFERROR(MATCH(17,'كشف الحساب'!$N$4:$N$353,0),0)=0,"",INDEX('كشف الحساب'!$E$4:$E$353,IFERROR(MATCH(17,'كشف الحساب'!$N$4:$N$353,0),0))),"")</f>
        <v>0</v>
      </c>
      <c r="F21" s="59" t="str">
        <f>IFERROR(IF(IFERROR(MATCH(17,'كشف الحساب'!$N$4:$N$353,0),0)=0,"",INDEX('كشف الحساب'!$F$4:$F$353,IFERROR(MATCH(17,'كشف الحساب'!$N$4:$N$353,0),0))),"")</f>
        <v>نقداً</v>
      </c>
      <c r="G21" s="59" t="str">
        <f>IFERROR(IF(IFERROR(MATCH(17,'كشف الحساب'!$N$4:$N$353,0),0)=0,"",INDEX('كشف الحساب'!$G$4:$G$353,IFERROR(MATCH(17,'كشف الحساب'!$N$4:$N$353,0),0))),"")</f>
        <v>المحفظة</v>
      </c>
      <c r="H21" s="59" t="str">
        <f>IFERROR(IF(IFERROR(MATCH(17,'كشف الحساب'!$N$4:$N$353,0),0)=0,"",INDEX('كشف الحساب'!$H$4:$H$353,IFERROR(MATCH(17,'كشف الحساب'!$N$4:$N$353,0),0))),"")</f>
        <v>تم الدفع</v>
      </c>
      <c r="I21" s="59">
        <f>IFERROR(IF(IFERROR(MATCH(17,'كشف الحساب'!$N$4:$N$353,0),0)=0,"",INDEX('كشف الحساب'!$I$4:$I$353,IFERROR(MATCH(17,'كشف الحساب'!$N$4:$N$353,0),0))),"")</f>
        <v>0</v>
      </c>
      <c r="J21" s="43">
        <f>IFERROR(IF(IFERROR(MATCH(17,'كشف الحساب'!$N$4:$N$353,0),0)=0,"",INDEX('كشف الحساب'!$J$4:$J$353,IFERROR(MATCH(17,'كشف الحساب'!$N$4:$N$353,0),0))),"")</f>
        <v>45.320000000000014</v>
      </c>
      <c r="K21" s="59">
        <f>IFERROR(IF(IFERROR(MATCH(17,'كشف الحساب'!$N$4:$N$353,0),0)=0,"",INDEX('كشف الحساب'!$K$4:$K$353,IFERROR(MATCH(17,'كشف الحساب'!$N$4:$N$353,0),0))),"")</f>
        <v>0</v>
      </c>
    </row>
    <row r="22" spans="1:11" ht="16.5" customHeight="1" x14ac:dyDescent="0.25">
      <c r="A22" s="25">
        <f>IFERROR(IF(IFERROR(MATCH(18,'كشف الحساب'!$N$4:$N$353,0),0)=0,"",INDEX('كشف الحساب'!$A$4:$A$353,IFERROR(MATCH(18,'كشف الحساب'!$N$4:$N$353,0),0))),"")</f>
        <v>46249</v>
      </c>
      <c r="B22" s="61">
        <f>IFERROR(IF(IFERROR(MATCH(18,'كشف الحساب'!$N$4:$N$353,0),0)=0,"",INDEX('كشف الحساب'!$B$4:$B$353,IFERROR(MATCH(18,'كشف الحساب'!$N$4:$N$353,0),0))),"")</f>
        <v>0</v>
      </c>
      <c r="C22" s="27" t="str">
        <f>IFERROR(IF(IFERROR(MATCH(18,'كشف الحساب'!$N$4:$N$353,0),0)=0,"",INDEX('كشف الحساب'!$C$4:$C$353,IFERROR(MATCH(18,'كشف الحساب'!$N$4:$N$353,0),0))),"")</f>
        <v>وصلات وحنفيه</v>
      </c>
      <c r="D22" s="28">
        <f>IFERROR(IF(IFERROR(MATCH(18,'كشف الحساب'!$N$4:$N$353,0),0)=0,"",INDEX('كشف الحساب'!$D$4:$D$353,IFERROR(MATCH(18,'كشف الحساب'!$N$4:$N$353,0),0))),"")</f>
        <v>2</v>
      </c>
      <c r="E22" s="62">
        <f>IFERROR(IF(IFERROR(MATCH(18,'كشف الحساب'!$N$4:$N$353,0),0)=0,"",INDEX('كشف الحساب'!$E$4:$E$353,IFERROR(MATCH(18,'كشف الحساب'!$N$4:$N$353,0),0))),"")</f>
        <v>0</v>
      </c>
      <c r="F22" s="61" t="str">
        <f>IFERROR(IF(IFERROR(MATCH(18,'كشف الحساب'!$N$4:$N$353,0),0)=0,"",INDEX('كشف الحساب'!$F$4:$F$353,IFERROR(MATCH(18,'كشف الحساب'!$N$4:$N$353,0),0))),"")</f>
        <v>نقداً</v>
      </c>
      <c r="G22" s="61" t="str">
        <f>IFERROR(IF(IFERROR(MATCH(18,'كشف الحساب'!$N$4:$N$353,0),0)=0,"",INDEX('كشف الحساب'!$G$4:$G$353,IFERROR(MATCH(18,'كشف الحساب'!$N$4:$N$353,0),0))),"")</f>
        <v>المحفظة</v>
      </c>
      <c r="H22" s="61" t="str">
        <f>IFERROR(IF(IFERROR(MATCH(18,'كشف الحساب'!$N$4:$N$353,0),0)=0,"",INDEX('كشف الحساب'!$H$4:$H$353,IFERROR(MATCH(18,'كشف الحساب'!$N$4:$N$353,0),0))),"")</f>
        <v>تم الدفع</v>
      </c>
      <c r="I22" s="61">
        <f>IFERROR(IF(IFERROR(MATCH(18,'كشف الحساب'!$N$4:$N$353,0),0)=0,"",INDEX('كشف الحساب'!$I$4:$I$353,IFERROR(MATCH(18,'كشف الحساب'!$N$4:$N$353,0),0))),"")</f>
        <v>0</v>
      </c>
      <c r="J22" s="34">
        <f>IFERROR(IF(IFERROR(MATCH(18,'كشف الحساب'!$N$4:$N$353,0),0)=0,"",INDEX('كشف الحساب'!$J$4:$J$353,IFERROR(MATCH(18,'كشف الحساب'!$N$4:$N$353,0),0))),"")</f>
        <v>43.320000000000014</v>
      </c>
      <c r="K22" s="61">
        <f>IFERROR(IF(IFERROR(MATCH(18,'كشف الحساب'!$N$4:$N$353,0),0)=0,"",INDEX('كشف الحساب'!$K$4:$K$353,IFERROR(MATCH(18,'كشف الحساب'!$N$4:$N$353,0),0))),"")</f>
        <v>0</v>
      </c>
    </row>
    <row r="23" spans="1:11" ht="16.5" customHeight="1" x14ac:dyDescent="0.25">
      <c r="A23" s="139">
        <f>IFERROR(IF(IFERROR(MATCH(19,'كشف الحساب'!$N$4:$N$353,0),0)=0,"",INDEX('كشف الحساب'!$A$4:$A$353,IFERROR(MATCH(19,'كشف الحساب'!$N$4:$N$353,0),0))),"")</f>
        <v>46252</v>
      </c>
      <c r="B23" s="59" t="str">
        <f>IFERROR(IF(IFERROR(MATCH(19,'كشف الحساب'!$N$4:$N$353,0),0)=0,"",INDEX('كشف الحساب'!$B$4:$B$353,IFERROR(MATCH(19,'كشف الحساب'!$N$4:$N$353,0),0))),"")</f>
        <v>Inv-115</v>
      </c>
      <c r="C23" s="37" t="str">
        <f>IFERROR(IF(IFERROR(MATCH(19,'كشف الحساب'!$N$4:$N$353,0),0)=0,"",INDEX('كشف الحساب'!$C$4:$C$353,IFERROR(MATCH(19,'كشف الحساب'!$N$4:$N$353,0),0))),"")</f>
        <v>فل عدد 14 الحبه .750</v>
      </c>
      <c r="D23" s="38">
        <f>IFERROR(IF(IFERROR(MATCH(19,'كشف الحساب'!$N$4:$N$353,0),0)=0,"",INDEX('كشف الحساب'!$D$4:$D$353,IFERROR(MATCH(19,'كشف الحساب'!$N$4:$N$353,0),0))),"")</f>
        <v>0</v>
      </c>
      <c r="E23" s="60">
        <f>IFERROR(IF(IFERROR(MATCH(19,'كشف الحساب'!$N$4:$N$353,0),0)=0,"",INDEX('كشف الحساب'!$E$4:$E$353,IFERROR(MATCH(19,'كشف الحساب'!$N$4:$N$353,0),0))),"")</f>
        <v>10.5</v>
      </c>
      <c r="F23" s="59" t="str">
        <f>IFERROR(IF(IFERROR(MATCH(19,'كشف الحساب'!$N$4:$N$353,0),0)=0,"",INDEX('كشف الحساب'!$F$4:$F$353,IFERROR(MATCH(19,'كشف الحساب'!$N$4:$N$353,0),0))),"")</f>
        <v>نقداً</v>
      </c>
      <c r="G23" s="59">
        <f>IFERROR(IF(IFERROR(MATCH(19,'كشف الحساب'!$N$4:$N$353,0),0)=0,"",INDEX('كشف الحساب'!$G$4:$G$353,IFERROR(MATCH(19,'كشف الحساب'!$N$4:$N$353,0),0))),"")</f>
        <v>0</v>
      </c>
      <c r="H23" s="59" t="str">
        <f>IFERROR(IF(IFERROR(MATCH(19,'كشف الحساب'!$N$4:$N$353,0),0)=0,"",INDEX('كشف الحساب'!$H$4:$H$353,IFERROR(MATCH(19,'كشف الحساب'!$N$4:$N$353,0),0))),"")</f>
        <v>تم الدفع</v>
      </c>
      <c r="I23" s="59">
        <f>IFERROR(IF(IFERROR(MATCH(19,'كشف الحساب'!$N$4:$N$353,0),0)=0,"",INDEX('كشف الحساب'!$I$4:$I$353,IFERROR(MATCH(19,'كشف الحساب'!$N$4:$N$353,0),0))),"")</f>
        <v>0</v>
      </c>
      <c r="J23" s="43">
        <f>IFERROR(IF(IFERROR(MATCH(19,'كشف الحساب'!$N$4:$N$353,0),0)=0,"",INDEX('كشف الحساب'!$J$4:$J$353,IFERROR(MATCH(19,'كشف الحساب'!$N$4:$N$353,0),0))),"")</f>
        <v>53.820000000000014</v>
      </c>
      <c r="K23" s="59">
        <f>IFERROR(IF(IFERROR(MATCH(19,'كشف الحساب'!$N$4:$N$353,0),0)=0,"",INDEX('كشف الحساب'!$K$4:$K$353,IFERROR(MATCH(19,'كشف الحساب'!$N$4:$N$353,0),0))),"")</f>
        <v>0</v>
      </c>
    </row>
    <row r="24" spans="1:11" ht="16.5" customHeight="1" x14ac:dyDescent="0.25">
      <c r="A24" s="25">
        <f>IFERROR(IF(IFERROR(MATCH(20,'كشف الحساب'!$N$4:$N$353,0),0)=0,"",INDEX('كشف الحساب'!$A$4:$A$353,IFERROR(MATCH(20,'كشف الحساب'!$N$4:$N$353,0),0))),"")</f>
        <v>46252</v>
      </c>
      <c r="B24" s="61" t="str">
        <f>IFERROR(IF(IFERROR(MATCH(20,'كشف الحساب'!$N$4:$N$353,0),0)=0,"",INDEX('كشف الحساب'!$B$4:$B$353,IFERROR(MATCH(20,'كشف الحساب'!$N$4:$N$353,0),0))),"")</f>
        <v>Inv-116</v>
      </c>
      <c r="C24" s="27" t="str">
        <f>IFERROR(IF(IFERROR(MATCH(20,'كشف الحساب'!$N$4:$N$353,0),0)=0,"",INDEX('كشف الحساب'!$C$4:$C$353,IFERROR(MATCH(20,'كشف الحساب'!$N$4:$N$353,0),0))),"")</f>
        <v>متنوع عدد 1 الحبه 2.500</v>
      </c>
      <c r="D24" s="28">
        <f>IFERROR(IF(IFERROR(MATCH(20,'كشف الحساب'!$N$4:$N$353,0),0)=0,"",INDEX('كشف الحساب'!$D$4:$D$353,IFERROR(MATCH(20,'كشف الحساب'!$N$4:$N$353,0),0))),"")</f>
        <v>0</v>
      </c>
      <c r="E24" s="62">
        <f>IFERROR(IF(IFERROR(MATCH(20,'كشف الحساب'!$N$4:$N$353,0),0)=0,"",INDEX('كشف الحساب'!$E$4:$E$353,IFERROR(MATCH(20,'كشف الحساب'!$N$4:$N$353,0),0))),"")</f>
        <v>2.5</v>
      </c>
      <c r="F24" s="61" t="str">
        <f>IFERROR(IF(IFERROR(MATCH(20,'كشف الحساب'!$N$4:$N$353,0),0)=0,"",INDEX('كشف الحساب'!$F$4:$F$353,IFERROR(MATCH(20,'كشف الحساب'!$N$4:$N$353,0),0))),"")</f>
        <v>نقداً</v>
      </c>
      <c r="G24" s="61">
        <f>IFERROR(IF(IFERROR(MATCH(20,'كشف الحساب'!$N$4:$N$353,0),0)=0,"",INDEX('كشف الحساب'!$G$4:$G$353,IFERROR(MATCH(20,'كشف الحساب'!$N$4:$N$353,0),0))),"")</f>
        <v>0</v>
      </c>
      <c r="H24" s="61" t="str">
        <f>IFERROR(IF(IFERROR(MATCH(20,'كشف الحساب'!$N$4:$N$353,0),0)=0,"",INDEX('كشف الحساب'!$H$4:$H$353,IFERROR(MATCH(20,'كشف الحساب'!$N$4:$N$353,0),0))),"")</f>
        <v>تم الدفع</v>
      </c>
      <c r="I24" s="61">
        <f>IFERROR(IF(IFERROR(MATCH(20,'كشف الحساب'!$N$4:$N$353,0),0)=0,"",INDEX('كشف الحساب'!$I$4:$I$353,IFERROR(MATCH(20,'كشف الحساب'!$N$4:$N$353,0),0))),"")</f>
        <v>0</v>
      </c>
      <c r="J24" s="34">
        <f>IFERROR(IF(IFERROR(MATCH(20,'كشف الحساب'!$N$4:$N$353,0),0)=0,"",INDEX('كشف الحساب'!$J$4:$J$353,IFERROR(MATCH(20,'كشف الحساب'!$N$4:$N$353,0),0))),"")</f>
        <v>56.320000000000014</v>
      </c>
      <c r="K24" s="61">
        <f>IFERROR(IF(IFERROR(MATCH(20,'كشف الحساب'!$N$4:$N$353,0),0)=0,"",INDEX('كشف الحساب'!$K$4:$K$353,IFERROR(MATCH(20,'كشف الحساب'!$N$4:$N$353,0),0))),"")</f>
        <v>0</v>
      </c>
    </row>
    <row r="25" spans="1:11" ht="16.5" customHeight="1" x14ac:dyDescent="0.25">
      <c r="A25" s="139">
        <f>IFERROR(IF(IFERROR(MATCH(21,'كشف الحساب'!$N$4:$N$353,0),0)=0,"",INDEX('كشف الحساب'!$A$4:$A$353,IFERROR(MATCH(21,'كشف الحساب'!$N$4:$N$353,0),0))),"")</f>
        <v>46258</v>
      </c>
      <c r="B25" s="59" t="str">
        <f>IFERROR(IF(IFERROR(MATCH(21,'كشف الحساب'!$N$4:$N$353,0),0)=0,"",INDEX('كشف الحساب'!$B$4:$B$353,IFERROR(MATCH(21,'كشف الحساب'!$N$4:$N$353,0),0))),"")</f>
        <v>Inv-117</v>
      </c>
      <c r="C25" s="37" t="str">
        <f>IFERROR(IF(IFERROR(MATCH(21,'كشف الحساب'!$N$4:$N$353,0),0)=0,"",INDEX('كشف الحساب'!$C$4:$C$353,IFERROR(MATCH(21,'كشف الحساب'!$N$4:$N$353,0),0))),"")</f>
        <v>ربل عدد 10 الحبه 2.250</v>
      </c>
      <c r="D25" s="38">
        <f>IFERROR(IF(IFERROR(MATCH(21,'كشف الحساب'!$N$4:$N$353,0),0)=0,"",INDEX('كشف الحساب'!$D$4:$D$353,IFERROR(MATCH(21,'كشف الحساب'!$N$4:$N$353,0),0))),"")</f>
        <v>0</v>
      </c>
      <c r="E25" s="60">
        <f>IFERROR(IF(IFERROR(MATCH(21,'كشف الحساب'!$N$4:$N$353,0),0)=0,"",INDEX('كشف الحساب'!$E$4:$E$353,IFERROR(MATCH(21,'كشف الحساب'!$N$4:$N$353,0),0))),"")</f>
        <v>22.5</v>
      </c>
      <c r="F25" s="59" t="str">
        <f>IFERROR(IF(IFERROR(MATCH(21,'كشف الحساب'!$N$4:$N$353,0),0)=0,"",INDEX('كشف الحساب'!$F$4:$F$353,IFERROR(MATCH(21,'كشف الحساب'!$N$4:$N$353,0),0))),"")</f>
        <v>نقداً</v>
      </c>
      <c r="G25" s="59">
        <f>IFERROR(IF(IFERROR(MATCH(21,'كشف الحساب'!$N$4:$N$353,0),0)=0,"",INDEX('كشف الحساب'!$G$4:$G$353,IFERROR(MATCH(21,'كشف الحساب'!$N$4:$N$353,0),0))),"")</f>
        <v>0</v>
      </c>
      <c r="H25" s="59" t="str">
        <f>IFERROR(IF(IFERROR(MATCH(21,'كشف الحساب'!$N$4:$N$353,0),0)=0,"",INDEX('كشف الحساب'!$H$4:$H$353,IFERROR(MATCH(21,'كشف الحساب'!$N$4:$N$353,0),0))),"")</f>
        <v>تم الدفع</v>
      </c>
      <c r="I25" s="59">
        <f>IFERROR(IF(IFERROR(MATCH(21,'كشف الحساب'!$N$4:$N$353,0),0)=0,"",INDEX('كشف الحساب'!$I$4:$I$353,IFERROR(MATCH(21,'كشف الحساب'!$N$4:$N$353,0),0))),"")</f>
        <v>0</v>
      </c>
      <c r="J25" s="43">
        <f>IFERROR(IF(IFERROR(MATCH(21,'كشف الحساب'!$N$4:$N$353,0),0)=0,"",INDEX('كشف الحساب'!$J$4:$J$353,IFERROR(MATCH(21,'كشف الحساب'!$N$4:$N$353,0),0))),"")</f>
        <v>78.820000000000022</v>
      </c>
      <c r="K25" s="59">
        <f>IFERROR(IF(IFERROR(MATCH(21,'كشف الحساب'!$N$4:$N$353,0),0)=0,"",INDEX('كشف الحساب'!$K$4:$K$353,IFERROR(MATCH(21,'كشف الحساب'!$N$4:$N$353,0),0))),"")</f>
        <v>0</v>
      </c>
    </row>
    <row r="26" spans="1:11" ht="16.5" customHeight="1" x14ac:dyDescent="0.25">
      <c r="A26" s="25">
        <f>IFERROR(IF(IFERROR(MATCH(22,'كشف الحساب'!$N$4:$N$353,0),0)=0,"",INDEX('كشف الحساب'!$A$4:$A$353,IFERROR(MATCH(22,'كشف الحساب'!$N$4:$N$353,0),0))),"")</f>
        <v>46258</v>
      </c>
      <c r="B26" s="61" t="str">
        <f>IFERROR(IF(IFERROR(MATCH(22,'كشف الحساب'!$N$4:$N$353,0),0)=0,"",INDEX('كشف الحساب'!$B$4:$B$353,IFERROR(MATCH(22,'كشف الحساب'!$N$4:$N$353,0),0))),"")</f>
        <v>Inv-118</v>
      </c>
      <c r="C26" s="27" t="str">
        <f>IFERROR(IF(IFERROR(MATCH(22,'كشف الحساب'!$N$4:$N$353,0),0)=0,"",INDEX('كشف الحساب'!$C$4:$C$353,IFERROR(MATCH(22,'كشف الحساب'!$N$4:$N$353,0),0))),"")</f>
        <v>متنوع عدد 4 الحبه 1</v>
      </c>
      <c r="D26" s="28">
        <f>IFERROR(IF(IFERROR(MATCH(22,'كشف الحساب'!$N$4:$N$353,0),0)=0,"",INDEX('كشف الحساب'!$D$4:$D$353,IFERROR(MATCH(22,'كشف الحساب'!$N$4:$N$353,0),0))),"")</f>
        <v>0</v>
      </c>
      <c r="E26" s="62">
        <f>IFERROR(IF(IFERROR(MATCH(22,'كشف الحساب'!$N$4:$N$353,0),0)=0,"",INDEX('كشف الحساب'!$E$4:$E$353,IFERROR(MATCH(22,'كشف الحساب'!$N$4:$N$353,0),0))),"")</f>
        <v>4</v>
      </c>
      <c r="F26" s="61" t="str">
        <f>IFERROR(IF(IFERROR(MATCH(22,'كشف الحساب'!$N$4:$N$353,0),0)=0,"",INDEX('كشف الحساب'!$F$4:$F$353,IFERROR(MATCH(22,'كشف الحساب'!$N$4:$N$353,0),0))),"")</f>
        <v>نقداً</v>
      </c>
      <c r="G26" s="61">
        <f>IFERROR(IF(IFERROR(MATCH(22,'كشف الحساب'!$N$4:$N$353,0),0)=0,"",INDEX('كشف الحساب'!$G$4:$G$353,IFERROR(MATCH(22,'كشف الحساب'!$N$4:$N$353,0),0))),"")</f>
        <v>0</v>
      </c>
      <c r="H26" s="61" t="str">
        <f>IFERROR(IF(IFERROR(MATCH(22,'كشف الحساب'!$N$4:$N$353,0),0)=0,"",INDEX('كشف الحساب'!$H$4:$H$353,IFERROR(MATCH(22,'كشف الحساب'!$N$4:$N$353,0),0))),"")</f>
        <v>تم الدفع</v>
      </c>
      <c r="I26" s="61">
        <f>IFERROR(IF(IFERROR(MATCH(22,'كشف الحساب'!$N$4:$N$353,0),0)=0,"",INDEX('كشف الحساب'!$I$4:$I$353,IFERROR(MATCH(22,'كشف الحساب'!$N$4:$N$353,0),0))),"")</f>
        <v>0</v>
      </c>
      <c r="J26" s="34">
        <f>IFERROR(IF(IFERROR(MATCH(22,'كشف الحساب'!$N$4:$N$353,0),0)=0,"",INDEX('كشف الحساب'!$J$4:$J$353,IFERROR(MATCH(22,'كشف الحساب'!$N$4:$N$353,0),0))),"")</f>
        <v>82.820000000000022</v>
      </c>
      <c r="K26" s="61">
        <f>IFERROR(IF(IFERROR(MATCH(22,'كشف الحساب'!$N$4:$N$353,0),0)=0,"",INDEX('كشف الحساب'!$K$4:$K$353,IFERROR(MATCH(22,'كشف الحساب'!$N$4:$N$353,0),0))),"")</f>
        <v>0</v>
      </c>
    </row>
    <row r="27" spans="1:11" ht="16.5" customHeight="1" x14ac:dyDescent="0.25">
      <c r="A27" s="139">
        <f>IFERROR(IF(IFERROR(MATCH(23,'كشف الحساب'!$N$4:$N$353,0),0)=0,"",INDEX('كشف الحساب'!$A$4:$A$353,IFERROR(MATCH(23,'كشف الحساب'!$N$4:$N$353,0),0))),"")</f>
        <v>46258</v>
      </c>
      <c r="B27" s="59" t="str">
        <f>IFERROR(IF(IFERROR(MATCH(23,'كشف الحساب'!$N$4:$N$353,0),0)=0,"",INDEX('كشف الحساب'!$B$4:$B$353,IFERROR(MATCH(23,'كشف الحساب'!$N$4:$N$353,0),0))),"")</f>
        <v>Inv-119</v>
      </c>
      <c r="C27" s="37" t="str">
        <f>IFERROR(IF(IFERROR(MATCH(23,'كشف الحساب'!$N$4:$N$353,0),0)=0,"",INDEX('كشف الحساب'!$C$4:$C$353,IFERROR(MATCH(23,'كشف الحساب'!$N$4:$N$353,0),0))),"")</f>
        <v>دارسينا عدد 2 الحبه 3</v>
      </c>
      <c r="D27" s="38">
        <f>IFERROR(IF(IFERROR(MATCH(23,'كشف الحساب'!$N$4:$N$353,0),0)=0,"",INDEX('كشف الحساب'!$D$4:$D$353,IFERROR(MATCH(23,'كشف الحساب'!$N$4:$N$353,0),0))),"")</f>
        <v>0</v>
      </c>
      <c r="E27" s="60">
        <f>IFERROR(IF(IFERROR(MATCH(23,'كشف الحساب'!$N$4:$N$353,0),0)=0,"",INDEX('كشف الحساب'!$E$4:$E$353,IFERROR(MATCH(23,'كشف الحساب'!$N$4:$N$353,0),0))),"")</f>
        <v>6</v>
      </c>
      <c r="F27" s="59" t="str">
        <f>IFERROR(IF(IFERROR(MATCH(23,'كشف الحساب'!$N$4:$N$353,0),0)=0,"",INDEX('كشف الحساب'!$F$4:$F$353,IFERROR(MATCH(23,'كشف الحساب'!$N$4:$N$353,0),0))),"")</f>
        <v>نقداً</v>
      </c>
      <c r="G27" s="59">
        <f>IFERROR(IF(IFERROR(MATCH(23,'كشف الحساب'!$N$4:$N$353,0),0)=0,"",INDEX('كشف الحساب'!$G$4:$G$353,IFERROR(MATCH(23,'كشف الحساب'!$N$4:$N$353,0),0))),"")</f>
        <v>0</v>
      </c>
      <c r="H27" s="59" t="str">
        <f>IFERROR(IF(IFERROR(MATCH(23,'كشف الحساب'!$N$4:$N$353,0),0)=0,"",INDEX('كشف الحساب'!$H$4:$H$353,IFERROR(MATCH(23,'كشف الحساب'!$N$4:$N$353,0),0))),"")</f>
        <v>تم الدفع</v>
      </c>
      <c r="I27" s="59">
        <f>IFERROR(IF(IFERROR(MATCH(23,'كشف الحساب'!$N$4:$N$353,0),0)=0,"",INDEX('كشف الحساب'!$I$4:$I$353,IFERROR(MATCH(23,'كشف الحساب'!$N$4:$N$353,0),0))),"")</f>
        <v>0</v>
      </c>
      <c r="J27" s="43">
        <f>IFERROR(IF(IFERROR(MATCH(23,'كشف الحساب'!$N$4:$N$353,0),0)=0,"",INDEX('كشف الحساب'!$J$4:$J$353,IFERROR(MATCH(23,'كشف الحساب'!$N$4:$N$353,0),0))),"")</f>
        <v>88.820000000000022</v>
      </c>
      <c r="K27" s="59">
        <f>IFERROR(IF(IFERROR(MATCH(23,'كشف الحساب'!$N$4:$N$353,0),0)=0,"",INDEX('كشف الحساب'!$K$4:$K$353,IFERROR(MATCH(23,'كشف الحساب'!$N$4:$N$353,0),0))),"")</f>
        <v>0</v>
      </c>
    </row>
    <row r="28" spans="1:11" ht="16.5" customHeight="1" x14ac:dyDescent="0.25">
      <c r="A28" s="25">
        <f>IFERROR(IF(IFERROR(MATCH(24,'كشف الحساب'!$N$4:$N$353,0),0)=0,"",INDEX('كشف الحساب'!$A$4:$A$353,IFERROR(MATCH(24,'كشف الحساب'!$N$4:$N$353,0),0))),"")</f>
        <v>46258</v>
      </c>
      <c r="B28" s="61" t="str">
        <f>IFERROR(IF(IFERROR(MATCH(24,'كشف الحساب'!$N$4:$N$353,0),0)=0,"",INDEX('كشف الحساب'!$B$4:$B$353,IFERROR(MATCH(24,'كشف الحساب'!$N$4:$N$353,0),0))),"")</f>
        <v>Inv-120</v>
      </c>
      <c r="C28" s="27" t="str">
        <f>IFERROR(IF(IFERROR(MATCH(24,'كشف الحساب'!$N$4:$N$353,0),0)=0,"",INDEX('كشف الحساب'!$C$4:$C$353,IFERROR(MATCH(24,'كشف الحساب'!$N$4:$N$353,0),0))),"")</f>
        <v>فل عدد 2 الحبه .750</v>
      </c>
      <c r="D28" s="28">
        <f>IFERROR(IF(IFERROR(MATCH(24,'كشف الحساب'!$N$4:$N$353,0),0)=0,"",INDEX('كشف الحساب'!$D$4:$D$353,IFERROR(MATCH(24,'كشف الحساب'!$N$4:$N$353,0),0))),"")</f>
        <v>0</v>
      </c>
      <c r="E28" s="62">
        <f>IFERROR(IF(IFERROR(MATCH(24,'كشف الحساب'!$N$4:$N$353,0),0)=0,"",INDEX('كشف الحساب'!$E$4:$E$353,IFERROR(MATCH(24,'كشف الحساب'!$N$4:$N$353,0),0))),"")</f>
        <v>1.5</v>
      </c>
      <c r="F28" s="61" t="str">
        <f>IFERROR(IF(IFERROR(MATCH(24,'كشف الحساب'!$N$4:$N$353,0),0)=0,"",INDEX('كشف الحساب'!$F$4:$F$353,IFERROR(MATCH(24,'كشف الحساب'!$N$4:$N$353,0),0))),"")</f>
        <v>نقداً</v>
      </c>
      <c r="G28" s="61">
        <f>IFERROR(IF(IFERROR(MATCH(24,'كشف الحساب'!$N$4:$N$353,0),0)=0,"",INDEX('كشف الحساب'!$G$4:$G$353,IFERROR(MATCH(24,'كشف الحساب'!$N$4:$N$353,0),0))),"")</f>
        <v>0</v>
      </c>
      <c r="H28" s="61" t="str">
        <f>IFERROR(IF(IFERROR(MATCH(24,'كشف الحساب'!$N$4:$N$353,0),0)=0,"",INDEX('كشف الحساب'!$H$4:$H$353,IFERROR(MATCH(24,'كشف الحساب'!$N$4:$N$353,0),0))),"")</f>
        <v>تم الدفع</v>
      </c>
      <c r="I28" s="61">
        <f>IFERROR(IF(IFERROR(MATCH(24,'كشف الحساب'!$N$4:$N$353,0),0)=0,"",INDEX('كشف الحساب'!$I$4:$I$353,IFERROR(MATCH(24,'كشف الحساب'!$N$4:$N$353,0),0))),"")</f>
        <v>0</v>
      </c>
      <c r="J28" s="34">
        <f>IFERROR(IF(IFERROR(MATCH(24,'كشف الحساب'!$N$4:$N$353,0),0)=0,"",INDEX('كشف الحساب'!$J$4:$J$353,IFERROR(MATCH(24,'كشف الحساب'!$N$4:$N$353,0),0))),"")</f>
        <v>90.320000000000022</v>
      </c>
      <c r="K28" s="61">
        <f>IFERROR(IF(IFERROR(MATCH(24,'كشف الحساب'!$N$4:$N$353,0),0)=0,"",INDEX('كشف الحساب'!$K$4:$K$353,IFERROR(MATCH(24,'كشف الحساب'!$N$4:$N$353,0),0))),"")</f>
        <v>0</v>
      </c>
    </row>
    <row r="29" spans="1:11" ht="16.5" customHeight="1" x14ac:dyDescent="0.25">
      <c r="A29" s="139">
        <f>IFERROR(IF(IFERROR(MATCH(25,'كشف الحساب'!$N$4:$N$353,0),0)=0,"",INDEX('كشف الحساب'!$A$4:$A$353,IFERROR(MATCH(25,'كشف الحساب'!$N$4:$N$353,0),0))),"")</f>
        <v>46235</v>
      </c>
      <c r="B29" s="59">
        <f>IFERROR(IF(IFERROR(MATCH(25,'كشف الحساب'!$N$4:$N$353,0),0)=0,"",INDEX('كشف الحساب'!$B$4:$B$353,IFERROR(MATCH(25,'كشف الحساب'!$N$4:$N$353,0),0))),"")</f>
        <v>0</v>
      </c>
      <c r="C29" s="37" t="str">
        <f>IFERROR(IF(IFERROR(MATCH(25,'كشف الحساب'!$N$4:$N$353,0),0)=0,"",INDEX('كشف الحساب'!$C$4:$C$353,IFERROR(MATCH(25,'كشف الحساب'!$N$4:$N$353,0),0))),"")</f>
        <v>احواض عدد 3500 مقاس 25 سم</v>
      </c>
      <c r="D29" s="38">
        <f>IFERROR(IF(IFERROR(MATCH(25,'كشف الحساب'!$N$4:$N$353,0),0)=0,"",INDEX('كشف الحساب'!$D$4:$D$353,IFERROR(MATCH(25,'كشف الحساب'!$N$4:$N$353,0),0))),"")</f>
        <v>280</v>
      </c>
      <c r="E29" s="60">
        <f>IFERROR(IF(IFERROR(MATCH(25,'كشف الحساب'!$N$4:$N$353,0),0)=0,"",INDEX('كشف الحساب'!$E$4:$E$353,IFERROR(MATCH(25,'كشف الحساب'!$N$4:$N$353,0),0))),"")</f>
        <v>0</v>
      </c>
      <c r="F29" s="59" t="str">
        <f>IFERROR(IF(IFERROR(MATCH(25,'كشف الحساب'!$N$4:$N$353,0),0)=0,"",INDEX('كشف الحساب'!$F$4:$F$353,IFERROR(MATCH(25,'كشف الحساب'!$N$4:$N$353,0),0))),"")</f>
        <v>أحد الشركاء</v>
      </c>
      <c r="G29" s="59" t="str">
        <f>IFERROR(IF(IFERROR(MATCH(25,'كشف الحساب'!$N$4:$N$353,0),0)=0,"",INDEX('كشف الحساب'!$G$4:$G$353,IFERROR(MATCH(25,'كشف الحساب'!$N$4:$N$353,0),0))),"")</f>
        <v>أبو آدم</v>
      </c>
      <c r="H29" s="59" t="str">
        <f>IFERROR(IF(IFERROR(MATCH(25,'كشف الحساب'!$N$4:$N$353,0),0)=0,"",INDEX('كشف الحساب'!$H$4:$H$353,IFERROR(MATCH(25,'كشف الحساب'!$N$4:$N$353,0),0))),"")</f>
        <v>تم الدفع</v>
      </c>
      <c r="I29" s="59">
        <f>IFERROR(IF(IFERROR(MATCH(25,'كشف الحساب'!$N$4:$N$353,0),0)=0,"",INDEX('كشف الحساب'!$I$4:$I$353,IFERROR(MATCH(25,'كشف الحساب'!$N$4:$N$353,0),0))),"")</f>
        <v>0</v>
      </c>
      <c r="J29" s="43">
        <f>IFERROR(IF(IFERROR(MATCH(25,'كشف الحساب'!$N$4:$N$353,0),0)=0,"",INDEX('كشف الحساب'!$J$4:$J$353,IFERROR(MATCH(25,'كشف الحساب'!$N$4:$N$353,0),0))),"")</f>
        <v>90.320000000000022</v>
      </c>
      <c r="K29" s="59">
        <f>IFERROR(IF(IFERROR(MATCH(25,'كشف الحساب'!$N$4:$N$353,0),0)=0,"",INDEX('كشف الحساب'!$K$4:$K$353,IFERROR(MATCH(25,'كشف الحساب'!$N$4:$N$353,0),0))),"")</f>
        <v>0</v>
      </c>
    </row>
    <row r="30" spans="1:11" ht="16.5" customHeight="1" x14ac:dyDescent="0.25">
      <c r="A30" s="25">
        <f>IFERROR(IF(IFERROR(MATCH(26,'كشف الحساب'!$N$4:$N$353,0),0)=0,"",INDEX('كشف الحساب'!$A$4:$A$353,IFERROR(MATCH(26,'كشف الحساب'!$N$4:$N$353,0),0))),"")</f>
        <v>46238</v>
      </c>
      <c r="B30" s="61">
        <f>IFERROR(IF(IFERROR(MATCH(26,'كشف الحساب'!$N$4:$N$353,0),0)=0,"",INDEX('كشف الحساب'!$B$4:$B$353,IFERROR(MATCH(26,'كشف الحساب'!$N$4:$N$353,0),0))),"")</f>
        <v>0</v>
      </c>
      <c r="C30" s="27" t="str">
        <f>IFERROR(IF(IFERROR(MATCH(26,'كشف الحساب'!$N$4:$N$353,0),0)=0,"",INDEX('كشف الحساب'!$C$4:$C$353,IFERROR(MATCH(26,'كشف الحساب'!$N$4:$N$353,0),0))),"")</f>
        <v>حديد كحميه 2</v>
      </c>
      <c r="D30" s="28">
        <f>IFERROR(IF(IFERROR(MATCH(26,'كشف الحساب'!$N$4:$N$353,0),0)=0,"",INDEX('كشف الحساب'!$D$4:$D$353,IFERROR(MATCH(26,'كشف الحساب'!$N$4:$N$353,0),0))),"")</f>
        <v>68</v>
      </c>
      <c r="E30" s="62">
        <f>IFERROR(IF(IFERROR(MATCH(26,'كشف الحساب'!$N$4:$N$353,0),0)=0,"",INDEX('كشف الحساب'!$E$4:$E$353,IFERROR(MATCH(26,'كشف الحساب'!$N$4:$N$353,0),0))),"")</f>
        <v>0</v>
      </c>
      <c r="F30" s="61" t="str">
        <f>IFERROR(IF(IFERROR(MATCH(26,'كشف الحساب'!$N$4:$N$353,0),0)=0,"",INDEX('كشف الحساب'!$F$4:$F$353,IFERROR(MATCH(26,'كشف الحساب'!$N$4:$N$353,0),0))),"")</f>
        <v>أحد الشركاء</v>
      </c>
      <c r="G30" s="61" t="str">
        <f>IFERROR(IF(IFERROR(MATCH(26,'كشف الحساب'!$N$4:$N$353,0),0)=0,"",INDEX('كشف الحساب'!$G$4:$G$353,IFERROR(MATCH(26,'كشف الحساب'!$N$4:$N$353,0),0))),"")</f>
        <v>أبو اسحاق</v>
      </c>
      <c r="H30" s="61" t="str">
        <f>IFERROR(IF(IFERROR(MATCH(26,'كشف الحساب'!$N$4:$N$353,0),0)=0,"",INDEX('كشف الحساب'!$H$4:$H$353,IFERROR(MATCH(26,'كشف الحساب'!$N$4:$N$353,0),0))),"")</f>
        <v>تم الدفع</v>
      </c>
      <c r="I30" s="61">
        <f>IFERROR(IF(IFERROR(MATCH(26,'كشف الحساب'!$N$4:$N$353,0),0)=0,"",INDEX('كشف الحساب'!$I$4:$I$353,IFERROR(MATCH(26,'كشف الحساب'!$N$4:$N$353,0),0))),"")</f>
        <v>0</v>
      </c>
      <c r="J30" s="34">
        <f>IFERROR(IF(IFERROR(MATCH(26,'كشف الحساب'!$N$4:$N$353,0),0)=0,"",INDEX('كشف الحساب'!$J$4:$J$353,IFERROR(MATCH(26,'كشف الحساب'!$N$4:$N$353,0),0))),"")</f>
        <v>90.320000000000022</v>
      </c>
      <c r="K30" s="61">
        <f>IFERROR(IF(IFERROR(MATCH(26,'كشف الحساب'!$N$4:$N$353,0),0)=0,"",INDEX('كشف الحساب'!$K$4:$K$353,IFERROR(MATCH(26,'كشف الحساب'!$N$4:$N$353,0),0))),"")</f>
        <v>0</v>
      </c>
    </row>
    <row r="31" spans="1:11" ht="16.5" customHeight="1" x14ac:dyDescent="0.25">
      <c r="A31" s="139">
        <f>IFERROR(IF(IFERROR(MATCH(27,'كشف الحساب'!$N$4:$N$353,0),0)=0,"",INDEX('كشف الحساب'!$A$4:$A$353,IFERROR(MATCH(27,'كشف الحساب'!$N$4:$N$353,0),0))),"")</f>
        <v>46258</v>
      </c>
      <c r="B31" s="59">
        <f>IFERROR(IF(IFERROR(MATCH(27,'كشف الحساب'!$N$4:$N$353,0),0)=0,"",INDEX('كشف الحساب'!$B$4:$B$353,IFERROR(MATCH(27,'كشف الحساب'!$N$4:$N$353,0),0))),"")</f>
        <v>0</v>
      </c>
      <c r="C31" s="37" t="str">
        <f>IFERROR(IF(IFERROR(MATCH(27,'كشف الحساب'!$N$4:$N$353,0),0)=0,"",INDEX('كشف الحساب'!$C$4:$C$353,IFERROR(MATCH(27,'كشف الحساب'!$N$4:$N$353,0),0))),"")</f>
        <v>اسمده</v>
      </c>
      <c r="D31" s="38">
        <f>IFERROR(IF(IFERROR(MATCH(27,'كشف الحساب'!$N$4:$N$353,0),0)=0,"",INDEX('كشف الحساب'!$D$4:$D$353,IFERROR(MATCH(27,'كشف الحساب'!$N$4:$N$353,0),0))),"")</f>
        <v>4.125</v>
      </c>
      <c r="E31" s="60">
        <f>IFERROR(IF(IFERROR(MATCH(27,'كشف الحساب'!$N$4:$N$353,0),0)=0,"",INDEX('كشف الحساب'!$E$4:$E$353,IFERROR(MATCH(27,'كشف الحساب'!$N$4:$N$353,0),0))),"")</f>
        <v>0</v>
      </c>
      <c r="F31" s="59" t="str">
        <f>IFERROR(IF(IFERROR(MATCH(27,'كشف الحساب'!$N$4:$N$353,0),0)=0,"",INDEX('كشف الحساب'!$F$4:$F$353,IFERROR(MATCH(27,'كشف الحساب'!$N$4:$N$353,0),0))),"")</f>
        <v>نقداً</v>
      </c>
      <c r="G31" s="59" t="str">
        <f>IFERROR(IF(IFERROR(MATCH(27,'كشف الحساب'!$N$4:$N$353,0),0)=0,"",INDEX('كشف الحساب'!$G$4:$G$353,IFERROR(MATCH(27,'كشف الحساب'!$N$4:$N$353,0),0))),"")</f>
        <v>المحفظة</v>
      </c>
      <c r="H31" s="59" t="str">
        <f>IFERROR(IF(IFERROR(MATCH(27,'كشف الحساب'!$N$4:$N$353,0),0)=0,"",INDEX('كشف الحساب'!$H$4:$H$353,IFERROR(MATCH(27,'كشف الحساب'!$N$4:$N$353,0),0))),"")</f>
        <v>تم الدفع</v>
      </c>
      <c r="I31" s="59">
        <f>IFERROR(IF(IFERROR(MATCH(27,'كشف الحساب'!$N$4:$N$353,0),0)=0,"",INDEX('كشف الحساب'!$I$4:$I$353,IFERROR(MATCH(27,'كشف الحساب'!$N$4:$N$353,0),0))),"")</f>
        <v>0</v>
      </c>
      <c r="J31" s="43">
        <f>IFERROR(IF(IFERROR(MATCH(27,'كشف الحساب'!$N$4:$N$353,0),0)=0,"",INDEX('كشف الحساب'!$J$4:$J$353,IFERROR(MATCH(27,'كشف الحساب'!$N$4:$N$353,0),0))),"")</f>
        <v>86.195000000000022</v>
      </c>
      <c r="K31" s="59">
        <f>IFERROR(IF(IFERROR(MATCH(27,'كشف الحساب'!$N$4:$N$353,0),0)=0,"",INDEX('كشف الحساب'!$K$4:$K$353,IFERROR(MATCH(27,'كشف الحساب'!$N$4:$N$353,0),0))),"")</f>
        <v>0</v>
      </c>
    </row>
    <row r="32" spans="1:11" ht="16.5" customHeight="1" x14ac:dyDescent="0.25">
      <c r="A32" s="25">
        <f>IFERROR(IF(IFERROR(MATCH(28,'كشف الحساب'!$N$4:$N$353,0),0)=0,"",INDEX('كشف الحساب'!$A$4:$A$353,IFERROR(MATCH(28,'كشف الحساب'!$N$4:$N$353,0),0))),"")</f>
        <v>46260</v>
      </c>
      <c r="B32" s="61" t="str">
        <f>IFERROR(IF(IFERROR(MATCH(28,'كشف الحساب'!$N$4:$N$353,0),0)=0,"",INDEX('كشف الحساب'!$B$4:$B$353,IFERROR(MATCH(28,'كشف الحساب'!$N$4:$N$353,0),0))),"")</f>
        <v>Inv-121</v>
      </c>
      <c r="C32" s="27" t="str">
        <f>IFERROR(IF(IFERROR(MATCH(28,'كشف الحساب'!$N$4:$N$353,0),0)=0,"",INDEX('كشف الحساب'!$C$4:$C$353,IFERROR(MATCH(28,'كشف الحساب'!$N$4:$N$353,0),0))),"")</f>
        <v>شركه التهاني</v>
      </c>
      <c r="D32" s="28">
        <f>IFERROR(IF(IFERROR(MATCH(28,'كشف الحساب'!$N$4:$N$353,0),0)=0,"",INDEX('كشف الحساب'!$D$4:$D$353,IFERROR(MATCH(28,'كشف الحساب'!$N$4:$N$353,0),0))),"")</f>
        <v>0</v>
      </c>
      <c r="E32" s="62">
        <f>IFERROR(IF(IFERROR(MATCH(28,'كشف الحساب'!$N$4:$N$353,0),0)=0,"",INDEX('كشف الحساب'!$E$4:$E$353,IFERROR(MATCH(28,'كشف الحساب'!$N$4:$N$353,0),0))),"")</f>
        <v>260</v>
      </c>
      <c r="F32" s="61" t="str">
        <f>IFERROR(IF(IFERROR(MATCH(28,'كشف الحساب'!$N$4:$N$353,0),0)=0,"",INDEX('كشف الحساب'!$F$4:$F$353,IFERROR(MATCH(28,'كشف الحساب'!$N$4:$N$353,0),0))),"")</f>
        <v>نقداً</v>
      </c>
      <c r="G32" s="61">
        <f>IFERROR(IF(IFERROR(MATCH(28,'كشف الحساب'!$N$4:$N$353,0),0)=0,"",INDEX('كشف الحساب'!$G$4:$G$353,IFERROR(MATCH(28,'كشف الحساب'!$N$4:$N$353,0),0))),"")</f>
        <v>0</v>
      </c>
      <c r="H32" s="61" t="str">
        <f>IFERROR(IF(IFERROR(MATCH(28,'كشف الحساب'!$N$4:$N$353,0),0)=0,"",INDEX('كشف الحساب'!$H$4:$H$353,IFERROR(MATCH(28,'كشف الحساب'!$N$4:$N$353,0),0))),"")</f>
        <v>تم الدفع</v>
      </c>
      <c r="I32" s="61">
        <f>IFERROR(IF(IFERROR(MATCH(28,'كشف الحساب'!$N$4:$N$353,0),0)=0,"",INDEX('كشف الحساب'!$I$4:$I$353,IFERROR(MATCH(28,'كشف الحساب'!$N$4:$N$353,0),0))),"")</f>
        <v>0</v>
      </c>
      <c r="J32" s="34">
        <f>IFERROR(IF(IFERROR(MATCH(28,'كشف الحساب'!$N$4:$N$353,0),0)=0,"",INDEX('كشف الحساب'!$J$4:$J$353,IFERROR(MATCH(28,'كشف الحساب'!$N$4:$N$353,0),0))),"")</f>
        <v>346.19500000000005</v>
      </c>
      <c r="K32" s="61" t="str">
        <f>IFERROR(IF(IFERROR(MATCH(28,'كشف الحساب'!$N$4:$N$353,0),0)=0,"",INDEX('كشف الحساب'!$K$4:$K$353,IFERROR(MATCH(28,'كشف الحساب'!$N$4:$N$353,0),0))),"")</f>
        <v>تم عمل خصم من ابوادم 3.750</v>
      </c>
    </row>
    <row r="33" spans="1:11" ht="16.5" customHeight="1" x14ac:dyDescent="0.25">
      <c r="A33" s="139">
        <f>IFERROR(IF(IFERROR(MATCH(29,'كشف الحساب'!$N$4:$N$353,0),0)=0,"",INDEX('كشف الحساب'!$A$4:$A$353,IFERROR(MATCH(29,'كشف الحساب'!$N$4:$N$353,0),0))),"")</f>
        <v>46260</v>
      </c>
      <c r="B33" s="59">
        <f>IFERROR(IF(IFERROR(MATCH(29,'كشف الحساب'!$N$4:$N$353,0),0)=0,"",INDEX('كشف الحساب'!$B$4:$B$353,IFERROR(MATCH(29,'كشف الحساب'!$N$4:$N$353,0),0))),"")</f>
        <v>0</v>
      </c>
      <c r="C33" s="37" t="str">
        <f>IFERROR(IF(IFERROR(MATCH(29,'كشف الحساب'!$N$4:$N$353,0),0)=0,"",INDEX('كشف الحساب'!$C$4:$C$353,IFERROR(MATCH(29,'كشف الحساب'!$N$4:$N$353,0),0))),"")</f>
        <v>, حوض معلق عدد500 (الوحده.170(,بتموس عدد 10 الحبه 15</v>
      </c>
      <c r="D33" s="38">
        <f>IFERROR(IF(IFERROR(MATCH(29,'كشف الحساب'!$N$4:$N$353,0),0)=0,"",INDEX('كشف الحساب'!$D$4:$D$353,IFERROR(MATCH(29,'كشف الحساب'!$N$4:$N$353,0),0))),"")</f>
        <v>243</v>
      </c>
      <c r="E33" s="60">
        <f>IFERROR(IF(IFERROR(MATCH(29,'كشف الحساب'!$N$4:$N$353,0),0)=0,"",INDEX('كشف الحساب'!$E$4:$E$353,IFERROR(MATCH(29,'كشف الحساب'!$N$4:$N$353,0),0))),"")</f>
        <v>0</v>
      </c>
      <c r="F33" s="59" t="str">
        <f>IFERROR(IF(IFERROR(MATCH(29,'كشف الحساب'!$N$4:$N$353,0),0)=0,"",INDEX('كشف الحساب'!$F$4:$F$353,IFERROR(MATCH(29,'كشف الحساب'!$N$4:$N$353,0),0))),"")</f>
        <v>نقداً</v>
      </c>
      <c r="G33" s="59" t="str">
        <f>IFERROR(IF(IFERROR(MATCH(29,'كشف الحساب'!$N$4:$N$353,0),0)=0,"",INDEX('كشف الحساب'!$G$4:$G$353,IFERROR(MATCH(29,'كشف الحساب'!$N$4:$N$353,0),0))),"")</f>
        <v>المحفظة</v>
      </c>
      <c r="H33" s="59" t="str">
        <f>IFERROR(IF(IFERROR(MATCH(29,'كشف الحساب'!$N$4:$N$353,0),0)=0,"",INDEX('كشف الحساب'!$H$4:$H$353,IFERROR(MATCH(29,'كشف الحساب'!$N$4:$N$353,0),0))),"")</f>
        <v>تم الدفع</v>
      </c>
      <c r="I33" s="59">
        <f>IFERROR(IF(IFERROR(MATCH(29,'كشف الحساب'!$N$4:$N$353,0),0)=0,"",INDEX('كشف الحساب'!$I$4:$I$353,IFERROR(MATCH(29,'كشف الحساب'!$N$4:$N$353,0),0))),"")</f>
        <v>0</v>
      </c>
      <c r="J33" s="43">
        <f>IFERROR(IF(IFERROR(MATCH(29,'كشف الحساب'!$N$4:$N$353,0),0)=0,"",INDEX('كشف الحساب'!$J$4:$J$353,IFERROR(MATCH(29,'كشف الحساب'!$N$4:$N$353,0),0))),"")</f>
        <v>103.19500000000005</v>
      </c>
      <c r="K33" s="59">
        <f>IFERROR(IF(IFERROR(MATCH(29,'كشف الحساب'!$N$4:$N$353,0),0)=0,"",INDEX('كشف الحساب'!$K$4:$K$353,IFERROR(MATCH(29,'كشف الحساب'!$N$4:$N$353,0),0))),"")</f>
        <v>0</v>
      </c>
    </row>
    <row r="34" spans="1:11" ht="16.5" customHeight="1" x14ac:dyDescent="0.25">
      <c r="A34" s="25">
        <f>IFERROR(IF(IFERROR(MATCH(30,'كشف الحساب'!$N$4:$N$353,0),0)=0,"",INDEX('كشف الحساب'!$A$4:$A$353,IFERROR(MATCH(30,'كشف الحساب'!$N$4:$N$353,0),0))),"")</f>
        <v>46251</v>
      </c>
      <c r="B34" s="61">
        <f>IFERROR(IF(IFERROR(MATCH(30,'كشف الحساب'!$N$4:$N$353,0),0)=0,"",INDEX('كشف الحساب'!$B$4:$B$353,IFERROR(MATCH(30,'كشف الحساب'!$N$4:$N$353,0),0))),"")</f>
        <v>0</v>
      </c>
      <c r="C34" s="27" t="str">
        <f>IFERROR(IF(IFERROR(MATCH(30,'كشف الحساب'!$N$4:$N$353,0),0)=0,"",INDEX('كشف الحساب'!$C$4:$C$353,IFERROR(MATCH(30,'كشف الحساب'!$N$4:$N$353,0),0))),"")</f>
        <v>تاير توكتوك</v>
      </c>
      <c r="D34" s="28">
        <f>IFERROR(IF(IFERROR(MATCH(30,'كشف الحساب'!$N$4:$N$353,0),0)=0,"",INDEX('كشف الحساب'!$D$4:$D$353,IFERROR(MATCH(30,'كشف الحساب'!$N$4:$N$353,0),0))),"")</f>
        <v>3</v>
      </c>
      <c r="E34" s="62">
        <f>IFERROR(IF(IFERROR(MATCH(30,'كشف الحساب'!$N$4:$N$353,0),0)=0,"",INDEX('كشف الحساب'!$E$4:$E$353,IFERROR(MATCH(30,'كشف الحساب'!$N$4:$N$353,0),0))),"")</f>
        <v>0</v>
      </c>
      <c r="F34" s="61" t="str">
        <f>IFERROR(IF(IFERROR(MATCH(30,'كشف الحساب'!$N$4:$N$353,0),0)=0,"",INDEX('كشف الحساب'!$F$4:$F$353,IFERROR(MATCH(30,'كشف الحساب'!$N$4:$N$353,0),0))),"")</f>
        <v>نقداً</v>
      </c>
      <c r="G34" s="61" t="str">
        <f>IFERROR(IF(IFERROR(MATCH(30,'كشف الحساب'!$N$4:$N$353,0),0)=0,"",INDEX('كشف الحساب'!$G$4:$G$353,IFERROR(MATCH(30,'كشف الحساب'!$N$4:$N$353,0),0))),"")</f>
        <v>المحفظة</v>
      </c>
      <c r="H34" s="61" t="str">
        <f>IFERROR(IF(IFERROR(MATCH(30,'كشف الحساب'!$N$4:$N$353,0),0)=0,"",INDEX('كشف الحساب'!$H$4:$H$353,IFERROR(MATCH(30,'كشف الحساب'!$N$4:$N$353,0),0))),"")</f>
        <v>تم الدفع</v>
      </c>
      <c r="I34" s="61">
        <f>IFERROR(IF(IFERROR(MATCH(30,'كشف الحساب'!$N$4:$N$353,0),0)=0,"",INDEX('كشف الحساب'!$I$4:$I$353,IFERROR(MATCH(30,'كشف الحساب'!$N$4:$N$353,0),0))),"")</f>
        <v>0</v>
      </c>
      <c r="J34" s="34">
        <f>IFERROR(IF(IFERROR(MATCH(30,'كشف الحساب'!$N$4:$N$353,0),0)=0,"",INDEX('كشف الحساب'!$J$4:$J$353,IFERROR(MATCH(30,'كشف الحساب'!$N$4:$N$353,0),0))),"")</f>
        <v>100.19500000000005</v>
      </c>
      <c r="K34" s="61">
        <f>IFERROR(IF(IFERROR(MATCH(30,'كشف الحساب'!$N$4:$N$353,0),0)=0,"",INDEX('كشف الحساب'!$K$4:$K$353,IFERROR(MATCH(30,'كشف الحساب'!$N$4:$N$353,0),0))),"")</f>
        <v>0</v>
      </c>
    </row>
    <row r="35" spans="1:11" ht="15" customHeight="1" x14ac:dyDescent="0.25">
      <c r="A35" s="63">
        <f>IFERROR(IF(IFERROR(MATCH(31,'كشف الحساب'!$N$4:$N$353,0),0)=0,"",INDEX('كشف الحساب'!$A$4:$A$353,IFERROR(MATCH(31,'كشف الحساب'!$N$4:$N$353,0),0))),"")</f>
        <v>46251</v>
      </c>
      <c r="B35" s="64">
        <f>IFERROR(IF(IFERROR(MATCH(31,'كشف الحساب'!$N$4:$N$353,0),0)=0,"",INDEX('كشف الحساب'!$B$4:$B$353,IFERROR(MATCH(31,'كشف الحساب'!$N$4:$N$353,0),0))),"")</f>
        <v>0</v>
      </c>
      <c r="C35" s="65" t="str">
        <f>IFERROR(IF(IFERROR(MATCH(31,'كشف الحساب'!$N$4:$N$353,0),0)=0,"",INDEX('كشف الحساب'!$C$4:$C$353,IFERROR(MATCH(31,'كشف الحساب'!$N$4:$N$353,0),0))),"")</f>
        <v>هوز اصفر 3/4 طول 50 متر</v>
      </c>
      <c r="D35" s="66">
        <f>IFERROR(IF(IFERROR(MATCH(31,'كشف الحساب'!$N$4:$N$353,0),0)=0,"",INDEX('كشف الحساب'!$D$4:$D$353,IFERROR(MATCH(31,'كشف الحساب'!$N$4:$N$353,0),0))),"")</f>
        <v>11.5</v>
      </c>
      <c r="E35" s="67">
        <f>IFERROR(IF(IFERROR(MATCH(31,'كشف الحساب'!$N$4:$N$353,0),0)=0,"",INDEX('كشف الحساب'!$E$4:$E$353,IFERROR(MATCH(31,'كشف الحساب'!$N$4:$N$353,0),0))),"")</f>
        <v>0</v>
      </c>
      <c r="F35" s="64" t="str">
        <f>IFERROR(IF(IFERROR(MATCH(31,'كشف الحساب'!$N$4:$N$353,0),0)=0,"",INDEX('كشف الحساب'!$F$4:$F$353,IFERROR(MATCH(31,'كشف الحساب'!$N$4:$N$353,0),0))),"")</f>
        <v>نقداً</v>
      </c>
      <c r="G35" s="64" t="str">
        <f>IFERROR(IF(IFERROR(MATCH(31,'كشف الحساب'!$N$4:$N$353,0),0)=0,"",INDEX('كشف الحساب'!$G$4:$G$353,IFERROR(MATCH(31,'كشف الحساب'!$N$4:$N$353,0),0))),"")</f>
        <v>المحفظة</v>
      </c>
      <c r="H35" s="64" t="str">
        <f>IFERROR(IF(IFERROR(MATCH(31,'كشف الحساب'!$N$4:$N$353,0),0)=0,"",INDEX('كشف الحساب'!$H$4:$H$353,IFERROR(MATCH(31,'كشف الحساب'!$N$4:$N$353,0),0))),"")</f>
        <v>تم الدفع</v>
      </c>
      <c r="I35" s="64">
        <f>IFERROR(IF(IFERROR(MATCH(31,'كشف الحساب'!$N$4:$N$353,0),0)=0,"",INDEX('كشف الحساب'!$I$4:$I$353,IFERROR(MATCH(31,'كشف الحساب'!$N$4:$N$353,0),0))),"")</f>
        <v>0</v>
      </c>
      <c r="J35" s="68">
        <f>IFERROR(IF(IFERROR(MATCH(31,'كشف الحساب'!$N$4:$N$353,0),0)=0,"",INDEX('كشف الحساب'!$J$4:$J$353,IFERROR(MATCH(31,'كشف الحساب'!$N$4:$N$353,0),0))),"")</f>
        <v>117.69500000000005</v>
      </c>
      <c r="K35" s="64">
        <f>IFERROR(IF(IFERROR(MATCH(31,'كشف الحساب'!$N$4:$N$353,0),0)=0,"",INDEX('كشف الحساب'!$K$4:$K$353,IFERROR(MATCH(31,'كشف الحساب'!$N$4:$N$353,0),0))),"")</f>
        <v>0</v>
      </c>
    </row>
    <row r="36" spans="1:11" ht="15" customHeight="1" x14ac:dyDescent="0.25">
      <c r="A36" s="69">
        <f>IFERROR(IF(IFERROR(MATCH(32,'كشف الحساب'!$N$4:$N$353,0),0)=0,"",INDEX('كشف الحساب'!$A$4:$A$353,IFERROR(MATCH(32,'كشف الحساب'!$N$4:$N$353,0),0))),"")</f>
        <v>46254</v>
      </c>
      <c r="B36" s="70" t="str">
        <f>IFERROR(IF(IFERROR(MATCH(32,'كشف الحساب'!$N$4:$N$353,0),0)=0,"",INDEX('كشف الحساب'!$B$4:$B$353,IFERROR(MATCH(32,'كشف الحساب'!$N$4:$N$353,0),0))),"")</f>
        <v>Inv-125</v>
      </c>
      <c r="C36" s="71" t="str">
        <f>IFERROR(IF(IFERROR(MATCH(32,'كشف الحساب'!$N$4:$N$353,0),0)=0,"",INDEX('كشف الحساب'!$C$4:$C$353,IFERROR(MATCH(32,'كشف الحساب'!$N$4:$N$353,0),0))),"")</f>
        <v>متنوع - تم الدفع 26/8</v>
      </c>
      <c r="D36" s="72">
        <f>IFERROR(IF(IFERROR(MATCH(32,'كشف الحساب'!$N$4:$N$353,0),0)=0,"",INDEX('كشف الحساب'!$D$4:$D$353,IFERROR(MATCH(32,'كشف الحساب'!$N$4:$N$353,0),0))),"")</f>
        <v>0</v>
      </c>
      <c r="E36" s="73">
        <f>IFERROR(IF(IFERROR(MATCH(32,'كشف الحساب'!$N$4:$N$353,0),0)=0,"",INDEX('كشف الحساب'!$E$4:$E$353,IFERROR(MATCH(32,'كشف الحساب'!$N$4:$N$353,0),0))),"")</f>
        <v>59</v>
      </c>
      <c r="F36" s="70" t="str">
        <f>IFERROR(IF(IFERROR(MATCH(32,'كشف الحساب'!$N$4:$N$353,0),0)=0,"",INDEX('كشف الحساب'!$F$4:$F$353,IFERROR(MATCH(32,'كشف الحساب'!$N$4:$N$353,0),0))),"")</f>
        <v>نقداً</v>
      </c>
      <c r="G36" s="70">
        <f>IFERROR(IF(IFERROR(MATCH(32,'كشف الحساب'!$N$4:$N$353,0),0)=0,"",INDEX('كشف الحساب'!$G$4:$G$353,IFERROR(MATCH(32,'كشف الحساب'!$N$4:$N$353,0),0))),"")</f>
        <v>0</v>
      </c>
      <c r="H36" s="70" t="str">
        <f>IFERROR(IF(IFERROR(MATCH(32,'كشف الحساب'!$N$4:$N$353,0),0)=0,"",INDEX('كشف الحساب'!$H$4:$H$353,IFERROR(MATCH(32,'كشف الحساب'!$N$4:$N$353,0),0))),"")</f>
        <v>تم الدفع</v>
      </c>
      <c r="I36" s="70">
        <f>IFERROR(IF(IFERROR(MATCH(32,'كشف الحساب'!$N$4:$N$353,0),0)=0,"",INDEX('كشف الحساب'!$I$4:$I$353,IFERROR(MATCH(32,'كشف الحساب'!$N$4:$N$353,0),0))),"")</f>
        <v>0</v>
      </c>
      <c r="J36" s="74">
        <f>IFERROR(IF(IFERROR(MATCH(32,'كشف الحساب'!$N$4:$N$353,0),0)=0,"",INDEX('كشف الحساب'!$J$4:$J$353,IFERROR(MATCH(32,'كشف الحساب'!$N$4:$N$353,0),0))),"")</f>
        <v>176.69500000000005</v>
      </c>
      <c r="K36" s="70">
        <f>IFERROR(IF(IFERROR(MATCH(32,'كشف الحساب'!$N$4:$N$353,0),0)=0,"",INDEX('كشف الحساب'!$K$4:$K$353,IFERROR(MATCH(32,'كشف الحساب'!$N$4:$N$353,0),0))),"")</f>
        <v>0</v>
      </c>
    </row>
    <row r="37" spans="1:11" ht="15" customHeight="1" x14ac:dyDescent="0.25">
      <c r="A37" s="63"/>
      <c r="B37" s="64" t="str">
        <f>IFERROR(IF(IFERROR(MATCH(33,'كشف الحساب'!$N$4:$N$353,0),0)=0,"",INDEX('كشف الحساب'!$B$4:$B$353,IFERROR(MATCH(33,'كشف الحساب'!$N$4:$N$353,0),0))),"")</f>
        <v>Inv-126</v>
      </c>
      <c r="C37" s="65"/>
      <c r="D37" s="66">
        <f>IFERROR(IF(IFERROR(MATCH(33,'كشف الحساب'!$N$4:$N$353,0),0)=0,"",INDEX('كشف الحساب'!$D$4:$D$353,IFERROR(MATCH(33,'كشف الحساب'!$N$4:$N$353,0),0))),"")</f>
        <v>0</v>
      </c>
      <c r="E37"/>
      <c r="F37" s="64" t="str">
        <f>IFERROR(IF(IFERROR(MATCH(33,'كشف الحساب'!$N$4:$N$353,0),0)=0,"",INDEX('كشف الحساب'!$F$4:$F$353,IFERROR(MATCH(33,'كشف الحساب'!$N$4:$N$353,0),0))),"")</f>
        <v>نقداً</v>
      </c>
      <c r="G37" s="64">
        <f>IFERROR(IF(IFERROR(MATCH(33,'كشف الحساب'!$N$4:$N$353,0),0)=0,"",INDEX('كشف الحساب'!$G$4:$G$353,IFERROR(MATCH(33,'كشف الحساب'!$N$4:$N$353,0),0))),"")</f>
        <v>0</v>
      </c>
      <c r="H37" s="64" t="str">
        <f>IFERROR(IF(IFERROR(MATCH(33,'كشف الحساب'!$N$4:$N$353,0),0)=0,"",INDEX('كشف الحساب'!$H$4:$H$353,IFERROR(MATCH(33,'كشف الحساب'!$N$4:$N$353,0),0))),"")</f>
        <v>تم الدفع</v>
      </c>
      <c r="I37" s="64">
        <f>IFERROR(IF(IFERROR(MATCH(33,'كشف الحساب'!$N$4:$N$353,0),0)=0,"",INDEX('كشف الحساب'!$I$4:$I$353,IFERROR(MATCH(33,'كشف الحساب'!$N$4:$N$353,0),0))),"")</f>
        <v>0</v>
      </c>
      <c r="J37" s="68">
        <f>IFERROR(IF(IFERROR(MATCH(33,'كشف الحساب'!$N$4:$N$353,0),0)=0,"",INDEX('كشف الحساب'!$J$4:$J$353,IFERROR(MATCH(33,'كشف الحساب'!$N$4:$N$353,0),0))),"")</f>
        <v>576.69500000000005</v>
      </c>
      <c r="K37" s="64">
        <f>IFERROR(IF(IFERROR(MATCH(33,'كشف الحساب'!$N$4:$N$353,0),0)=0,"",INDEX('كشف الحساب'!$K$4:$K$353,IFERROR(MATCH(33,'كشف الحساب'!$N$4:$N$353,0),0))),"")</f>
        <v>0</v>
      </c>
    </row>
    <row r="38" spans="1:11" ht="15" customHeight="1" x14ac:dyDescent="0.25">
      <c r="A38" s="69">
        <f>IFERROR(IF(IFERROR(MATCH(34,'كشف الحساب'!$N$4:$N$353,0),0)=0,"",INDEX('كشف الحساب'!$A$4:$A$353,IFERROR(MATCH(34,'كشف الحساب'!$N$4:$N$353,0),0))),"")</f>
        <v>46263</v>
      </c>
      <c r="B38" s="70">
        <f>IFERROR(IF(IFERROR(MATCH(34,'كشف الحساب'!$N$4:$N$353,0),0)=0,"",INDEX('كشف الحساب'!$B$4:$B$353,IFERROR(MATCH(34,'كشف الحساب'!$N$4:$N$353,0),0))),"")</f>
        <v>0</v>
      </c>
      <c r="C38" s="71" t="str">
        <f>IFERROR(IF(IFERROR(MATCH(34,'كشف الحساب'!$N$4:$N$353,0),0)=0,"",INDEX('كشف الحساب'!$C$4:$C$353,IFERROR(MATCH(34,'كشف الحساب'!$N$4:$N$353,0),0))),"")</f>
        <v>صبار عدد 15 الحبه 1</v>
      </c>
      <c r="D38" s="72">
        <f>IFERROR(IF(IFERROR(MATCH(34,'كشف الحساب'!$N$4:$N$353,0),0)=0,"",INDEX('كشف الحساب'!$D$4:$D$353,IFERROR(MATCH(34,'كشف الحساب'!$N$4:$N$353,0),0))),"")</f>
        <v>15</v>
      </c>
      <c r="E38" s="73">
        <f>IFERROR(IF(IFERROR(MATCH(34,'كشف الحساب'!$N$4:$N$353,0),0)=0,"",INDEX('كشف الحساب'!$E$4:$E$353,IFERROR(MATCH(34,'كشف الحساب'!$N$4:$N$353,0),0))),"")</f>
        <v>0</v>
      </c>
      <c r="F38" s="70" t="str">
        <f>IFERROR(IF(IFERROR(MATCH(34,'كشف الحساب'!$N$4:$N$353,0),0)=0,"",INDEX('كشف الحساب'!$F$4:$F$353,IFERROR(MATCH(34,'كشف الحساب'!$N$4:$N$353,0),0))),"")</f>
        <v>نقداً</v>
      </c>
      <c r="G38" s="70" t="str">
        <f>IFERROR(IF(IFERROR(MATCH(34,'كشف الحساب'!$N$4:$N$353,0),0)=0,"",INDEX('كشف الحساب'!$G$4:$G$353,IFERROR(MATCH(34,'كشف الحساب'!$N$4:$N$353,0),0))),"")</f>
        <v>المحفظة</v>
      </c>
      <c r="H38" s="70" t="str">
        <f>IFERROR(IF(IFERROR(MATCH(34,'كشف الحساب'!$N$4:$N$353,0),0)=0,"",INDEX('كشف الحساب'!$H$4:$H$353,IFERROR(MATCH(34,'كشف الحساب'!$N$4:$N$353,0),0))),"")</f>
        <v>تم الدفع</v>
      </c>
      <c r="I38" s="70">
        <f>IFERROR(IF(IFERROR(MATCH(34,'كشف الحساب'!$N$4:$N$353,0),0)=0,"",INDEX('كشف الحساب'!$I$4:$I$353,IFERROR(MATCH(34,'كشف الحساب'!$N$4:$N$353,0),0))),"")</f>
        <v>0</v>
      </c>
      <c r="J38" s="74">
        <f>IFERROR(IF(IFERROR(MATCH(34,'كشف الحساب'!$N$4:$N$353,0),0)=0,"",INDEX('كشف الحساب'!$J$4:$J$353,IFERROR(MATCH(34,'كشف الحساب'!$N$4:$N$353,0),0))),"")</f>
        <v>561.69500000000005</v>
      </c>
      <c r="K38" s="70">
        <f>IFERROR(IF(IFERROR(MATCH(34,'كشف الحساب'!$N$4:$N$353,0),0)=0,"",INDEX('كشف الحساب'!$K$4:$K$353,IFERROR(MATCH(34,'كشف الحساب'!$N$4:$N$353,0),0))),"")</f>
        <v>0</v>
      </c>
    </row>
    <row r="39" spans="1:11" ht="15" customHeight="1" x14ac:dyDescent="0.25">
      <c r="A39" s="63">
        <f>IFERROR(IF(IFERROR(MATCH(35,'كشف الحساب'!$N$4:$N$353,0),0)=0,"",INDEX('كشف الحساب'!$A$4:$A$353,IFERROR(MATCH(35,'كشف الحساب'!$N$4:$N$353,0),0))),"")</f>
        <v>46263</v>
      </c>
      <c r="B39" s="64">
        <f>IFERROR(IF(IFERROR(MATCH(35,'كشف الحساب'!$N$4:$N$353,0),0)=0,"",INDEX('كشف الحساب'!$B$4:$B$353,IFERROR(MATCH(35,'كشف الحساب'!$N$4:$N$353,0),0))),"")</f>
        <v>0</v>
      </c>
      <c r="C39" s="65" t="str">
        <f>IFERROR(IF(IFERROR(MATCH(35,'كشف الحساب'!$N$4:$N$353,0),0)=0,"",INDEX('كشف الحساب'!$C$4:$C$353,IFERROR(MATCH(35,'كشف الحساب'!$N$4:$N$353,0),0))),"")</f>
        <v>زيتون عدد 2 الحبه 12</v>
      </c>
      <c r="D39" s="66">
        <f>IFERROR(IF(IFERROR(MATCH(35,'كشف الحساب'!$N$4:$N$353,0),0)=0,"",INDEX('كشف الحساب'!$D$4:$D$353,IFERROR(MATCH(35,'كشف الحساب'!$N$4:$N$353,0),0))),"")</f>
        <v>24</v>
      </c>
      <c r="E39" s="67">
        <f>IFERROR(IF(IFERROR(MATCH(35,'كشف الحساب'!$N$4:$N$353,0),0)=0,"",INDEX('كشف الحساب'!$E$4:$E$353,IFERROR(MATCH(35,'كشف الحساب'!$N$4:$N$353,0),0))),"")</f>
        <v>0</v>
      </c>
      <c r="F39" s="64" t="str">
        <f>IFERROR(IF(IFERROR(MATCH(35,'كشف الحساب'!$N$4:$N$353,0),0)=0,"",INDEX('كشف الحساب'!$F$4:$F$353,IFERROR(MATCH(35,'كشف الحساب'!$N$4:$N$353,0),0))),"")</f>
        <v>نقداً</v>
      </c>
      <c r="G39" s="64" t="str">
        <f>IFERROR(IF(IFERROR(MATCH(35,'كشف الحساب'!$N$4:$N$353,0),0)=0,"",INDEX('كشف الحساب'!$G$4:$G$353,IFERROR(MATCH(35,'كشف الحساب'!$N$4:$N$353,0),0))),"")</f>
        <v>المحفظة</v>
      </c>
      <c r="H39" s="64" t="str">
        <f>IFERROR(IF(IFERROR(MATCH(35,'كشف الحساب'!$N$4:$N$353,0),0)=0,"",INDEX('كشف الحساب'!$H$4:$H$353,IFERROR(MATCH(35,'كشف الحساب'!$N$4:$N$353,0),0))),"")</f>
        <v>تم الدفع</v>
      </c>
      <c r="I39" s="64">
        <f>IFERROR(IF(IFERROR(MATCH(35,'كشف الحساب'!$N$4:$N$353,0),0)=0,"",INDEX('كشف الحساب'!$I$4:$I$353,IFERROR(MATCH(35,'كشف الحساب'!$N$4:$N$353,0),0))),"")</f>
        <v>0</v>
      </c>
      <c r="J39" s="68">
        <f>IFERROR(IF(IFERROR(MATCH(35,'كشف الحساب'!$N$4:$N$353,0),0)=0,"",INDEX('كشف الحساب'!$J$4:$J$353,IFERROR(MATCH(35,'كشف الحساب'!$N$4:$N$353,0),0))),"")</f>
        <v>537.69500000000005</v>
      </c>
      <c r="K39" s="64">
        <f>IFERROR(IF(IFERROR(MATCH(35,'كشف الحساب'!$N$4:$N$353,0),0)=0,"",INDEX('كشف الحساب'!$K$4:$K$353,IFERROR(MATCH(35,'كشف الحساب'!$N$4:$N$353,0),0))),"")</f>
        <v>0</v>
      </c>
    </row>
    <row r="40" spans="1:11" ht="15" customHeight="1" x14ac:dyDescent="0.25">
      <c r="A40" s="69">
        <f>IFERROR(IF(IFERROR(MATCH(36,'كشف الحساب'!$N$4:$N$353,0),0)=0,"",INDEX('كشف الحساب'!$A$4:$A$353,IFERROR(MATCH(36,'كشف الحساب'!$N$4:$N$353,0),0))),"")</f>
        <v>46264</v>
      </c>
      <c r="B40" s="70" t="str">
        <f>IFERROR(IF(IFERROR(MATCH(36,'كشف الحساب'!$N$4:$N$353,0),0)=0,"",INDEX('كشف الحساب'!$B$4:$B$353,IFERROR(MATCH(36,'كشف الحساب'!$N$4:$N$353,0),0))),"")</f>
        <v>Inv-127</v>
      </c>
      <c r="C40" s="71" t="str">
        <f>IFERROR(IF(IFERROR(MATCH(36,'كشف الحساب'!$N$4:$N$353,0),0)=0,"",INDEX('كشف الحساب'!$C$4:$C$353,IFERROR(MATCH(36,'كشف الحساب'!$N$4:$N$353,0),0))),"")</f>
        <v>اناناس عدد 4 الواحده 4</v>
      </c>
      <c r="D40" s="72">
        <f>IFERROR(IF(IFERROR(MATCH(36,'كشف الحساب'!$N$4:$N$353,0),0)=0,"",INDEX('كشف الحساب'!$D$4:$D$353,IFERROR(MATCH(36,'كشف الحساب'!$N$4:$N$353,0),0))),"")</f>
        <v>0</v>
      </c>
      <c r="E40" s="73">
        <f>IFERROR(IF(IFERROR(MATCH(36,'كشف الحساب'!$N$4:$N$353,0),0)=0,"",INDEX('كشف الحساب'!$E$4:$E$353,IFERROR(MATCH(36,'كشف الحساب'!$N$4:$N$353,0),0))),"")</f>
        <v>16</v>
      </c>
      <c r="F40" s="70" t="str">
        <f>IFERROR(IF(IFERROR(MATCH(36,'كشف الحساب'!$N$4:$N$353,0),0)=0,"",INDEX('كشف الحساب'!$F$4:$F$353,IFERROR(MATCH(36,'كشف الحساب'!$N$4:$N$353,0),0))),"")</f>
        <v>نقداً</v>
      </c>
      <c r="G40" s="70">
        <f>IFERROR(IF(IFERROR(MATCH(36,'كشف الحساب'!$N$4:$N$353,0),0)=0,"",INDEX('كشف الحساب'!$G$4:$G$353,IFERROR(MATCH(36,'كشف الحساب'!$N$4:$N$353,0),0))),"")</f>
        <v>0</v>
      </c>
      <c r="H40" s="70" t="str">
        <f>IFERROR(IF(IFERROR(MATCH(36,'كشف الحساب'!$N$4:$N$353,0),0)=0,"",INDEX('كشف الحساب'!$H$4:$H$353,IFERROR(MATCH(36,'كشف الحساب'!$N$4:$N$353,0),0))),"")</f>
        <v>تم الدفع</v>
      </c>
      <c r="I40" s="70">
        <f>IFERROR(IF(IFERROR(MATCH(36,'كشف الحساب'!$N$4:$N$353,0),0)=0,"",INDEX('كشف الحساب'!$I$4:$I$353,IFERROR(MATCH(36,'كشف الحساب'!$N$4:$N$353,0),0))),"")</f>
        <v>0</v>
      </c>
      <c r="J40" s="74">
        <f>IFERROR(IF(IFERROR(MATCH(36,'كشف الحساب'!$N$4:$N$353,0),0)=0,"",INDEX('كشف الحساب'!$J$4:$J$353,IFERROR(MATCH(36,'كشف الحساب'!$N$4:$N$353,0),0))),"")</f>
        <v>553.69500000000005</v>
      </c>
      <c r="K40" s="70">
        <f>IFERROR(IF(IFERROR(MATCH(36,'كشف الحساب'!$N$4:$N$353,0),0)=0,"",INDEX('كشف الحساب'!$K$4:$K$353,IFERROR(MATCH(36,'كشف الحساب'!$N$4:$N$353,0),0))),"")</f>
        <v>0</v>
      </c>
    </row>
    <row r="41" spans="1:11" ht="15" customHeight="1" x14ac:dyDescent="0.25">
      <c r="A41" s="63">
        <f>IFERROR(IF(IFERROR(MATCH(37,'كشف الحساب'!$N$4:$N$353,0),0)=0,"",INDEX('كشف الحساب'!$A$4:$A$353,IFERROR(MATCH(37,'كشف الحساب'!$N$4:$N$353,0),0))),"")</f>
        <v>46264</v>
      </c>
      <c r="B41" s="64" t="str">
        <f>IFERROR(IF(IFERROR(MATCH(37,'كشف الحساب'!$N$4:$N$353,0),0)=0,"",INDEX('كشف الحساب'!$B$4:$B$353,IFERROR(MATCH(37,'كشف الحساب'!$N$4:$N$353,0),0))),"")</f>
        <v>Inv-128</v>
      </c>
      <c r="C41" s="65" t="str">
        <f>IFERROR(IF(IFERROR(MATCH(37,'كشف الحساب'!$N$4:$N$353,0),0)=0,"",INDEX('كشف الحساب'!$C$4:$C$353,IFERROR(MATCH(37,'كشف الحساب'!$N$4:$N$353,0),0))),"")</f>
        <v>ربل عدد 6 الحبه 2.500</v>
      </c>
      <c r="D41" s="66">
        <f>IFERROR(IF(IFERROR(MATCH(37,'كشف الحساب'!$N$4:$N$353,0),0)=0,"",INDEX('كشف الحساب'!$D$4:$D$353,IFERROR(MATCH(37,'كشف الحساب'!$N$4:$N$353,0),0))),"")</f>
        <v>0</v>
      </c>
      <c r="E41" s="67">
        <f>IFERROR(IF(IFERROR(MATCH(37,'كشف الحساب'!$N$4:$N$353,0),0)=0,"",INDEX('كشف الحساب'!$E$4:$E$353,IFERROR(MATCH(37,'كشف الحساب'!$N$4:$N$353,0),0))),"")</f>
        <v>15</v>
      </c>
      <c r="F41" s="64" t="str">
        <f>IFERROR(IF(IFERROR(MATCH(37,'كشف الحساب'!$N$4:$N$353,0),0)=0,"",INDEX('كشف الحساب'!$F$4:$F$353,IFERROR(MATCH(37,'كشف الحساب'!$N$4:$N$353,0),0))),"")</f>
        <v>نقداً</v>
      </c>
      <c r="G41" s="64">
        <f>IFERROR(IF(IFERROR(MATCH(37,'كشف الحساب'!$N$4:$N$353,0),0)=0,"",INDEX('كشف الحساب'!$G$4:$G$353,IFERROR(MATCH(37,'كشف الحساب'!$N$4:$N$353,0),0))),"")</f>
        <v>0</v>
      </c>
      <c r="H41" s="64" t="str">
        <f>IFERROR(IF(IFERROR(MATCH(37,'كشف الحساب'!$N$4:$N$353,0),0)=0,"",INDEX('كشف الحساب'!$H$4:$H$353,IFERROR(MATCH(37,'كشف الحساب'!$N$4:$N$353,0),0))),"")</f>
        <v>تم الدفع</v>
      </c>
      <c r="I41" s="64">
        <f>IFERROR(IF(IFERROR(MATCH(37,'كشف الحساب'!$N$4:$N$353,0),0)=0,"",INDEX('كشف الحساب'!$I$4:$I$353,IFERROR(MATCH(37,'كشف الحساب'!$N$4:$N$353,0),0))),"")</f>
        <v>0</v>
      </c>
      <c r="J41" s="68">
        <f>IFERROR(IF(IFERROR(MATCH(37,'كشف الحساب'!$N$4:$N$353,0),0)=0,"",INDEX('كشف الحساب'!$J$4:$J$353,IFERROR(MATCH(37,'كشف الحساب'!$N$4:$N$353,0),0))),"")</f>
        <v>568.69500000000005</v>
      </c>
      <c r="K41" s="64">
        <f>IFERROR(IF(IFERROR(MATCH(37,'كشف الحساب'!$N$4:$N$353,0),0)=0,"",INDEX('كشف الحساب'!$K$4:$K$353,IFERROR(MATCH(37,'كشف الحساب'!$N$4:$N$353,0),0))),"")</f>
        <v>0</v>
      </c>
    </row>
    <row r="42" spans="1:11" ht="15" customHeight="1" x14ac:dyDescent="0.25">
      <c r="A42" s="69">
        <f>IFERROR(IF(IFERROR(MATCH(38,'كشف الحساب'!$N$4:$N$353,0),0)=0,"",INDEX('كشف الحساب'!$A$4:$A$353,IFERROR(MATCH(38,'كشف الحساب'!$N$4:$N$353,0),0))),"")</f>
        <v>46264</v>
      </c>
      <c r="B42" s="70" t="str">
        <f>IFERROR(IF(IFERROR(MATCH(38,'كشف الحساب'!$N$4:$N$353,0),0)=0,"",INDEX('كشف الحساب'!$B$4:$B$353,IFERROR(MATCH(38,'كشف الحساب'!$N$4:$N$353,0),0))),"")</f>
        <v>Inv-129</v>
      </c>
      <c r="C42" s="71" t="str">
        <f>IFERROR(IF(IFERROR(MATCH(38,'كشف الحساب'!$N$4:$N$353,0),0)=0,"",INDEX('كشف الحساب'!$C$4:$C$353,IFERROR(MATCH(38,'كشف الحساب'!$N$4:$N$353,0),0))),"")</f>
        <v>متنوع عدد 17 الحبه 1</v>
      </c>
      <c r="D42" s="72">
        <f>IFERROR(IF(IFERROR(MATCH(38,'كشف الحساب'!$N$4:$N$353,0),0)=0,"",INDEX('كشف الحساب'!$D$4:$D$353,IFERROR(MATCH(38,'كشف الحساب'!$N$4:$N$353,0),0))),"")</f>
        <v>0</v>
      </c>
      <c r="E42" s="73">
        <f>IFERROR(IF(IFERROR(MATCH(38,'كشف الحساب'!$N$4:$N$353,0),0)=0,"",INDEX('كشف الحساب'!$E$4:$E$353,IFERROR(MATCH(38,'كشف الحساب'!$N$4:$N$353,0),0))),"")</f>
        <v>17</v>
      </c>
      <c r="F42" s="70" t="str">
        <f>IFERROR(IF(IFERROR(MATCH(38,'كشف الحساب'!$N$4:$N$353,0),0)=0,"",INDEX('كشف الحساب'!$F$4:$F$353,IFERROR(MATCH(38,'كشف الحساب'!$N$4:$N$353,0),0))),"")</f>
        <v>نقداً</v>
      </c>
      <c r="G42" s="70">
        <f>IFERROR(IF(IFERROR(MATCH(38,'كشف الحساب'!$N$4:$N$353,0),0)=0,"",INDEX('كشف الحساب'!$G$4:$G$353,IFERROR(MATCH(38,'كشف الحساب'!$N$4:$N$353,0),0))),"")</f>
        <v>0</v>
      </c>
      <c r="H42" s="70" t="str">
        <f>IFERROR(IF(IFERROR(MATCH(38,'كشف الحساب'!$N$4:$N$353,0),0)=0,"",INDEX('كشف الحساب'!$H$4:$H$353,IFERROR(MATCH(38,'كشف الحساب'!$N$4:$N$353,0),0))),"")</f>
        <v>تم الدفع</v>
      </c>
      <c r="I42" s="70">
        <f>IFERROR(IF(IFERROR(MATCH(38,'كشف الحساب'!$N$4:$N$353,0),0)=0,"",INDEX('كشف الحساب'!$I$4:$I$353,IFERROR(MATCH(38,'كشف الحساب'!$N$4:$N$353,0),0))),"")</f>
        <v>0</v>
      </c>
      <c r="J42" s="74">
        <f>IFERROR(IF(IFERROR(MATCH(38,'كشف الحساب'!$N$4:$N$353,0),0)=0,"",INDEX('كشف الحساب'!$J$4:$J$353,IFERROR(MATCH(38,'كشف الحساب'!$N$4:$N$353,0),0))),"")</f>
        <v>585.69500000000005</v>
      </c>
      <c r="K42" s="70">
        <f>IFERROR(IF(IFERROR(MATCH(38,'كشف الحساب'!$N$4:$N$353,0),0)=0,"",INDEX('كشف الحساب'!$K$4:$K$353,IFERROR(MATCH(38,'كشف الحساب'!$N$4:$N$353,0),0))),"")</f>
        <v>0</v>
      </c>
    </row>
    <row r="43" spans="1:11" ht="15" customHeight="1" x14ac:dyDescent="0.25">
      <c r="A43" s="63">
        <f>IFERROR(IF(IFERROR(MATCH(39,'كشف الحساب'!$N$4:$N$353,0),0)=0,"",INDEX('كشف الحساب'!$A$4:$A$353,IFERROR(MATCH(39,'كشف الحساب'!$N$4:$N$353,0),0))),"")</f>
        <v>46264</v>
      </c>
      <c r="B43" s="64" t="str">
        <f>IFERROR(IF(IFERROR(MATCH(39,'كشف الحساب'!$N$4:$N$353,0),0)=0,"",INDEX('كشف الحساب'!$B$4:$B$353,IFERROR(MATCH(39,'كشف الحساب'!$N$4:$N$353,0),0))),"")</f>
        <v>Inv-130</v>
      </c>
      <c r="C43" s="65" t="str">
        <f>IFERROR(IF(IFERROR(MATCH(39,'كشف الحساب'!$N$4:$N$353,0),0)=0,"",INDEX('كشف الحساب'!$C$4:$C$353,IFERROR(MATCH(39,'كشف الحساب'!$N$4:$N$353,0),0))),"")</f>
        <v>صبار عدد 13 الحبه 0.750</v>
      </c>
      <c r="D43" s="66">
        <f>IFERROR(IF(IFERROR(MATCH(39,'كشف الحساب'!$N$4:$N$353,0),0)=0,"",INDEX('كشف الحساب'!$D$4:$D$353,IFERROR(MATCH(39,'كشف الحساب'!$N$4:$N$353,0),0))),"")</f>
        <v>0</v>
      </c>
      <c r="E43" s="67">
        <f>IFERROR(IF(IFERROR(MATCH(39,'كشف الحساب'!$N$4:$N$353,0),0)=0,"",INDEX('كشف الحساب'!$E$4:$E$353,IFERROR(MATCH(39,'كشف الحساب'!$N$4:$N$353,0),0))),"")</f>
        <v>9.75</v>
      </c>
      <c r="F43" s="64" t="str">
        <f>IFERROR(IF(IFERROR(MATCH(39,'كشف الحساب'!$N$4:$N$353,0),0)=0,"",INDEX('كشف الحساب'!$F$4:$F$353,IFERROR(MATCH(39,'كشف الحساب'!$N$4:$N$353,0),0))),"")</f>
        <v>نقداً</v>
      </c>
      <c r="G43" s="64">
        <f>IFERROR(IF(IFERROR(MATCH(39,'كشف الحساب'!$N$4:$N$353,0),0)=0,"",INDEX('كشف الحساب'!$G$4:$G$353,IFERROR(MATCH(39,'كشف الحساب'!$N$4:$N$353,0),0))),"")</f>
        <v>0</v>
      </c>
      <c r="H43" s="64" t="str">
        <f>IFERROR(IF(IFERROR(MATCH(39,'كشف الحساب'!$N$4:$N$353,0),0)=0,"",INDEX('كشف الحساب'!$H$4:$H$353,IFERROR(MATCH(39,'كشف الحساب'!$N$4:$N$353,0),0))),"")</f>
        <v>تم الدفع</v>
      </c>
      <c r="I43" s="64">
        <f>IFERROR(IF(IFERROR(MATCH(39,'كشف الحساب'!$N$4:$N$353,0),0)=0,"",INDEX('كشف الحساب'!$I$4:$I$353,IFERROR(MATCH(39,'كشف الحساب'!$N$4:$N$353,0),0))),"")</f>
        <v>0</v>
      </c>
      <c r="J43" s="68">
        <f>IFERROR(IF(IFERROR(MATCH(39,'كشف الحساب'!$N$4:$N$353,0),0)=0,"",INDEX('كشف الحساب'!$J$4:$J$353,IFERROR(MATCH(39,'كشف الحساب'!$N$4:$N$353,0),0))),"")</f>
        <v>595.44500000000005</v>
      </c>
      <c r="K43" s="64">
        <f>IFERROR(IF(IFERROR(MATCH(39,'كشف الحساب'!$N$4:$N$353,0),0)=0,"",INDEX('كشف الحساب'!$K$4:$K$353,IFERROR(MATCH(39,'كشف الحساب'!$N$4:$N$353,0),0))),"")</f>
        <v>0</v>
      </c>
    </row>
    <row r="44" spans="1:11" ht="15" customHeight="1" x14ac:dyDescent="0.25">
      <c r="A44" s="69">
        <f>IFERROR(IF(IFERROR(MATCH(40,'كشف الحساب'!$N$4:$N$353,0),0)=0,"",INDEX('كشف الحساب'!$A$4:$A$353,IFERROR(MATCH(40,'كشف الحساب'!$N$4:$N$353,0),0))),"")</f>
        <v>46264</v>
      </c>
      <c r="B44" s="70" t="str">
        <f>IFERROR(IF(IFERROR(MATCH(40,'كشف الحساب'!$N$4:$N$353,0),0)=0,"",INDEX('كشف الحساب'!$B$4:$B$353,IFERROR(MATCH(40,'كشف الحساب'!$N$4:$N$353,0),0))),"")</f>
        <v>Inv-131</v>
      </c>
      <c r="C44" s="71" t="str">
        <f>IFERROR(IF(IFERROR(MATCH(40,'كشف الحساب'!$N$4:$N$353,0),0)=0,"",INDEX('كشف الحساب'!$C$4:$C$353,IFERROR(MATCH(40,'كشف الحساب'!$N$4:$N$353,0),0))),"")</f>
        <v>تين عدد5 الحبه 1.500</v>
      </c>
      <c r="D44" s="72">
        <f>IFERROR(IF(IFERROR(MATCH(40,'كشف الحساب'!$N$4:$N$353,0),0)=0,"",INDEX('كشف الحساب'!$D$4:$D$353,IFERROR(MATCH(40,'كشف الحساب'!$N$4:$N$353,0),0))),"")</f>
        <v>0</v>
      </c>
      <c r="E44" s="73">
        <f>IFERROR(IF(IFERROR(MATCH(40,'كشف الحساب'!$N$4:$N$353,0),0)=0,"",INDEX('كشف الحساب'!$E$4:$E$353,IFERROR(MATCH(40,'كشف الحساب'!$N$4:$N$353,0),0))),"")</f>
        <v>7.5</v>
      </c>
      <c r="F44" s="70" t="str">
        <f>IFERROR(IF(IFERROR(MATCH(40,'كشف الحساب'!$N$4:$N$353,0),0)=0,"",INDEX('كشف الحساب'!$F$4:$F$353,IFERROR(MATCH(40,'كشف الحساب'!$N$4:$N$353,0),0))),"")</f>
        <v>نقداً</v>
      </c>
      <c r="G44" s="70">
        <f>IFERROR(IF(IFERROR(MATCH(40,'كشف الحساب'!$N$4:$N$353,0),0)=0,"",INDEX('كشف الحساب'!$G$4:$G$353,IFERROR(MATCH(40,'كشف الحساب'!$N$4:$N$353,0),0))),"")</f>
        <v>0</v>
      </c>
      <c r="H44" s="70" t="str">
        <f>IFERROR(IF(IFERROR(MATCH(40,'كشف الحساب'!$N$4:$N$353,0),0)=0,"",INDEX('كشف الحساب'!$H$4:$H$353,IFERROR(MATCH(40,'كشف الحساب'!$N$4:$N$353,0),0))),"")</f>
        <v>تم الدفع</v>
      </c>
      <c r="I44" s="70">
        <f>IFERROR(IF(IFERROR(MATCH(40,'كشف الحساب'!$N$4:$N$353,0),0)=0,"",INDEX('كشف الحساب'!$I$4:$I$353,IFERROR(MATCH(40,'كشف الحساب'!$N$4:$N$353,0),0))),"")</f>
        <v>0</v>
      </c>
      <c r="J44" s="74">
        <f>IFERROR(IF(IFERROR(MATCH(40,'كشف الحساب'!$N$4:$N$353,0),0)=0,"",INDEX('كشف الحساب'!$J$4:$J$353,IFERROR(MATCH(40,'كشف الحساب'!$N$4:$N$353,0),0))),"")</f>
        <v>602.94500000000005</v>
      </c>
      <c r="K44" s="70">
        <f>IFERROR(IF(IFERROR(MATCH(40,'كشف الحساب'!$N$4:$N$353,0),0)=0,"",INDEX('كشف الحساب'!$K$4:$K$353,IFERROR(MATCH(40,'كشف الحساب'!$N$4:$N$353,0),0))),"")</f>
        <v>0</v>
      </c>
    </row>
    <row r="45" spans="1:11" ht="15" customHeight="1" x14ac:dyDescent="0.25">
      <c r="A45" s="63">
        <f>IFERROR(IF(IFERROR(MATCH(41,'كشف الحساب'!$N$4:$N$353,0),0)=0,"",INDEX('كشف الحساب'!$A$4:$A$353,IFERROR(MATCH(41,'كشف الحساب'!$N$4:$N$353,0),0))),"")</f>
        <v>46264</v>
      </c>
      <c r="B45" s="64">
        <f>IFERROR(IF(IFERROR(MATCH(41,'كشف الحساب'!$N$4:$N$353,0),0)=0,"",INDEX('كشف الحساب'!$B$4:$B$353,IFERROR(MATCH(41,'كشف الحساب'!$N$4:$N$353,0),0))),"")</f>
        <v>0</v>
      </c>
      <c r="C45" s="65" t="str">
        <f>IFERROR(IF(IFERROR(MATCH(41,'كشف الحساب'!$N$4:$N$353,0),0)=0,"",INDEX('كشف الحساب'!$C$4:$C$353,IFERROR(MATCH(41,'كشف الحساب'!$N$4:$N$353,0),0))),"")</f>
        <v>أقامه نزمول 3 سنوات</v>
      </c>
      <c r="D45" s="66">
        <f>IFERROR(IF(IFERROR(MATCH(41,'كشف الحساب'!$N$4:$N$353,0),0)=0,"",INDEX('كشف الحساب'!$D$4:$D$353,IFERROR(MATCH(41,'كشف الحساب'!$N$4:$N$353,0),0))),"")</f>
        <v>35</v>
      </c>
      <c r="E45" s="67">
        <f>IFERROR(IF(IFERROR(MATCH(41,'كشف الحساب'!$N$4:$N$353,0),0)=0,"",INDEX('كشف الحساب'!$E$4:$E$353,IFERROR(MATCH(41,'كشف الحساب'!$N$4:$N$353,0),0))),"")</f>
        <v>0</v>
      </c>
      <c r="F45" s="64" t="str">
        <f>IFERROR(IF(IFERROR(MATCH(41,'كشف الحساب'!$N$4:$N$353,0),0)=0,"",INDEX('كشف الحساب'!$F$4:$F$353,IFERROR(MATCH(41,'كشف الحساب'!$N$4:$N$353,0),0))),"")</f>
        <v>نقداً</v>
      </c>
      <c r="G45" s="64" t="str">
        <f>IFERROR(IF(IFERROR(MATCH(41,'كشف الحساب'!$N$4:$N$353,0),0)=0,"",INDEX('كشف الحساب'!$G$4:$G$353,IFERROR(MATCH(41,'كشف الحساب'!$N$4:$N$353,0),0))),"")</f>
        <v>المحفظة</v>
      </c>
      <c r="H45" s="64" t="str">
        <f>IFERROR(IF(IFERROR(MATCH(41,'كشف الحساب'!$N$4:$N$353,0),0)=0,"",INDEX('كشف الحساب'!$H$4:$H$353,IFERROR(MATCH(41,'كشف الحساب'!$N$4:$N$353,0),0))),"")</f>
        <v>تم الدفع</v>
      </c>
      <c r="I45" s="64">
        <f>IFERROR(IF(IFERROR(MATCH(41,'كشف الحساب'!$N$4:$N$353,0),0)=0,"",INDEX('كشف الحساب'!$I$4:$I$353,IFERROR(MATCH(41,'كشف الحساب'!$N$4:$N$353,0),0))),"")</f>
        <v>0</v>
      </c>
      <c r="J45" s="68">
        <f>IFERROR(IF(IFERROR(MATCH(41,'كشف الحساب'!$N$4:$N$353,0),0)=0,"",INDEX('كشف الحساب'!$J$4:$J$353,IFERROR(MATCH(41,'كشف الحساب'!$N$4:$N$353,0),0))),"")</f>
        <v>567.94500000000005</v>
      </c>
      <c r="K45" s="64">
        <f>IFERROR(IF(IFERROR(MATCH(41,'كشف الحساب'!$N$4:$N$353,0),0)=0,"",INDEX('كشف الحساب'!$K$4:$K$353,IFERROR(MATCH(41,'كشف الحساب'!$N$4:$N$353,0),0))),"")</f>
        <v>0</v>
      </c>
    </row>
    <row r="46" spans="1:11" ht="15" customHeight="1" x14ac:dyDescent="0.25">
      <c r="A46" s="69">
        <f>IFERROR(IF(IFERROR(MATCH(42,'كشف الحساب'!$N$4:$N$353,0),0)=0,"",INDEX('كشف الحساب'!$A$4:$A$353,IFERROR(MATCH(42,'كشف الحساب'!$N$4:$N$353,0),0))),"")</f>
        <v>46265</v>
      </c>
      <c r="B46" s="70">
        <f>IFERROR(IF(IFERROR(MATCH(42,'كشف الحساب'!$N$4:$N$353,0),0)=0,"",INDEX('كشف الحساب'!$B$4:$B$353,IFERROR(MATCH(42,'كشف الحساب'!$N$4:$N$353,0),0))),"")</f>
        <v>0</v>
      </c>
      <c r="C46" s="71" t="str">
        <f>IFERROR(IF(IFERROR(MATCH(42,'كشف الحساب'!$N$4:$N$353,0),0)=0,"",INDEX('كشف الحساب'!$C$4:$C$353,IFERROR(MATCH(42,'كشف الحساب'!$N$4:$N$353,0),0))),"")</f>
        <v>رواتب + كهرباء وماء</v>
      </c>
      <c r="D46" s="72">
        <f>IFERROR(IF(IFERROR(MATCH(42,'كشف الحساب'!$N$4:$N$353,0),0)=0,"",INDEX('كشف الحساب'!$D$4:$D$353,IFERROR(MATCH(42,'كشف الحساب'!$N$4:$N$353,0),0))),"")</f>
        <v>470</v>
      </c>
      <c r="E46" s="73">
        <f>IFERROR(IF(IFERROR(MATCH(42,'كشف الحساب'!$N$4:$N$353,0),0)=0,"",INDEX('كشف الحساب'!$E$4:$E$353,IFERROR(MATCH(42,'كشف الحساب'!$N$4:$N$353,0),0))),"")</f>
        <v>0</v>
      </c>
      <c r="F46" s="70" t="str">
        <f>IFERROR(IF(IFERROR(MATCH(42,'كشف الحساب'!$N$4:$N$353,0),0)=0,"",INDEX('كشف الحساب'!$F$4:$F$353,IFERROR(MATCH(42,'كشف الحساب'!$N$4:$N$353,0),0))),"")</f>
        <v>نقداً</v>
      </c>
      <c r="G46" s="70" t="str">
        <f>IFERROR(IF(IFERROR(MATCH(42,'كشف الحساب'!$N$4:$N$353,0),0)=0,"",INDEX('كشف الحساب'!$G$4:$G$353,IFERROR(MATCH(42,'كشف الحساب'!$N$4:$N$353,0),0))),"")</f>
        <v>المحفظة</v>
      </c>
      <c r="H46" s="70" t="str">
        <f>IFERROR(IF(IFERROR(MATCH(42,'كشف الحساب'!$N$4:$N$353,0),0)=0,"",INDEX('كشف الحساب'!$H$4:$H$353,IFERROR(MATCH(42,'كشف الحساب'!$N$4:$N$353,0),0))),"")</f>
        <v>تم الدفع</v>
      </c>
      <c r="I46" s="70">
        <f>IFERROR(IF(IFERROR(MATCH(42,'كشف الحساب'!$N$4:$N$353,0),0)=0,"",INDEX('كشف الحساب'!$I$4:$I$353,IFERROR(MATCH(42,'كشف الحساب'!$N$4:$N$353,0),0))),"")</f>
        <v>0</v>
      </c>
      <c r="J46" s="74">
        <f>IFERROR(IF(IFERROR(MATCH(42,'كشف الحساب'!$N$4:$N$353,0),0)=0,"",INDEX('كشف الحساب'!$J$4:$J$353,IFERROR(MATCH(42,'كشف الحساب'!$N$4:$N$353,0),0))),"")</f>
        <v>97.94500000000005</v>
      </c>
      <c r="K46" s="70">
        <f>IFERROR(IF(IFERROR(MATCH(42,'كشف الحساب'!$N$4:$N$353,0),0)=0,"",INDEX('كشف الحساب'!$K$4:$K$353,IFERROR(MATCH(42,'كشف الحساب'!$N$4:$N$353,0),0))),"")</f>
        <v>0</v>
      </c>
    </row>
    <row r="47" spans="1:11" ht="15" customHeight="1" x14ac:dyDescent="0.25">
      <c r="A47" s="63">
        <f>IFERROR(IF(IFERROR(MATCH(43,'كشف الحساب'!$N$4:$N$353,0),0)=0,"",INDEX('كشف الحساب'!$A$4:$A$353,IFERROR(MATCH(43,'كشف الحساب'!$N$4:$N$353,0),0))),"")</f>
        <v>46265</v>
      </c>
      <c r="B47" s="64">
        <f>IFERROR(IF(IFERROR(MATCH(43,'كشف الحساب'!$N$4:$N$353,0),0)=0,"",INDEX('كشف الحساب'!$B$4:$B$353,IFERROR(MATCH(43,'كشف الحساب'!$N$4:$N$353,0),0))),"")</f>
        <v>0</v>
      </c>
      <c r="C47" s="65" t="str">
        <f>IFERROR(IF(IFERROR(MATCH(43,'كشف الحساب'!$N$4:$N$353,0),0)=0,"",INDEX('كشف الحساب'!$C$4:$C$353,IFERROR(MATCH(43,'كشف الحساب'!$N$4:$N$353,0),0))),"")</f>
        <v>نصف قيمه فلتر المالج</v>
      </c>
      <c r="D47" s="66">
        <f>IFERROR(IF(IFERROR(MATCH(43,'كشف الحساب'!$N$4:$N$353,0),0)=0,"",INDEX('كشف الحساب'!$D$4:$D$353,IFERROR(MATCH(43,'كشف الحساب'!$N$4:$N$353,0),0))),"")</f>
        <v>62.5</v>
      </c>
      <c r="E47" s="67">
        <f>IFERROR(IF(IFERROR(MATCH(43,'كشف الحساب'!$N$4:$N$353,0),0)=0,"",INDEX('كشف الحساب'!$E$4:$E$353,IFERROR(MATCH(43,'كشف الحساب'!$N$4:$N$353,0),0))),"")</f>
        <v>0</v>
      </c>
      <c r="F47" s="64">
        <f>IFERROR(IF(IFERROR(MATCH(43,'كشف الحساب'!$N$4:$N$353,0),0)=0,"",INDEX('كشف الحساب'!$F$4:$F$353,IFERROR(MATCH(43,'كشف الحساب'!$N$4:$N$353,0),0))),"")</f>
        <v>0</v>
      </c>
      <c r="G47" s="64" t="str">
        <f>IFERROR(IF(IFERROR(MATCH(43,'كشف الحساب'!$N$4:$N$353,0),0)=0,"",INDEX('كشف الحساب'!$G$4:$G$353,IFERROR(MATCH(43,'كشف الحساب'!$N$4:$N$353,0),0))),"")</f>
        <v>المحفظة</v>
      </c>
      <c r="H47" s="64" t="str">
        <f>IFERROR(IF(IFERROR(MATCH(43,'كشف الحساب'!$N$4:$N$353,0),0)=0,"",INDEX('كشف الحساب'!$H$4:$H$353,IFERROR(MATCH(43,'كشف الحساب'!$N$4:$N$353,0),0))),"")</f>
        <v>تم الدفع</v>
      </c>
      <c r="I47" s="64">
        <f>IFERROR(IF(IFERROR(MATCH(43,'كشف الحساب'!$N$4:$N$353,0),0)=0,"",INDEX('كشف الحساب'!$I$4:$I$353,IFERROR(MATCH(43,'كشف الحساب'!$N$4:$N$353,0),0))),"")</f>
        <v>0</v>
      </c>
      <c r="J47" s="68">
        <f>IFERROR(IF(IFERROR(MATCH(43,'كشف الحساب'!$N$4:$N$353,0),0)=0,"",INDEX('كشف الحساب'!$J$4:$J$353,IFERROR(MATCH(43,'كشف الحساب'!$N$4:$N$353,0),0))),"")</f>
        <v>35.44500000000005</v>
      </c>
      <c r="K47" s="64">
        <f>IFERROR(IF(IFERROR(MATCH(43,'كشف الحساب'!$N$4:$N$353,0),0)=0,"",INDEX('كشف الحساب'!$K$4:$K$353,IFERROR(MATCH(43,'كشف الحساب'!$N$4:$N$353,0),0))),"")</f>
        <v>0</v>
      </c>
    </row>
    <row r="48" spans="1:11" ht="15" customHeight="1" x14ac:dyDescent="0.25">
      <c r="A48" s="69">
        <f>IFERROR(IF(IFERROR(MATCH(44,'كشف الحساب'!$N$4:$N$353,0),0)=0,"",INDEX('كشف الحساب'!$A$4:$A$353,IFERROR(MATCH(44,'كشف الحساب'!$N$4:$N$353,0),0))),"")</f>
        <v>46265</v>
      </c>
      <c r="B48" s="70" t="str">
        <f>IFERROR(IF(IFERROR(MATCH(44,'كشف الحساب'!$N$4:$N$353,0),0)=0,"",INDEX('كشف الحساب'!$B$4:$B$353,IFERROR(MATCH(44,'كشف الحساب'!$N$4:$N$353,0),0))),"")</f>
        <v>Inv-132</v>
      </c>
      <c r="C48" s="71" t="str">
        <f>IFERROR(IF(IFERROR(MATCH(44,'كشف الحساب'!$N$4:$N$353,0),0)=0,"",INDEX('كشف الحساب'!$C$4:$C$353,IFERROR(MATCH(44,'كشف الحساب'!$N$4:$N$353,0),0))),"")</f>
        <v>ودليه عدد 2 الحبه 1</v>
      </c>
      <c r="D48" s="72">
        <f>IFERROR(IF(IFERROR(MATCH(44,'كشف الحساب'!$N$4:$N$353,0),0)=0,"",INDEX('كشف الحساب'!$D$4:$D$353,IFERROR(MATCH(44,'كشف الحساب'!$N$4:$N$353,0),0))),"")</f>
        <v>0</v>
      </c>
      <c r="E48" s="73">
        <f>IFERROR(IF(IFERROR(MATCH(44,'كشف الحساب'!$N$4:$N$353,0),0)=0,"",INDEX('كشف الحساب'!$E$4:$E$353,IFERROR(MATCH(44,'كشف الحساب'!$N$4:$N$353,0),0))),"")</f>
        <v>2</v>
      </c>
      <c r="F48" s="70" t="str">
        <f>IFERROR(IF(IFERROR(MATCH(44,'كشف الحساب'!$N$4:$N$353,0),0)=0,"",INDEX('كشف الحساب'!$F$4:$F$353,IFERROR(MATCH(44,'كشف الحساب'!$N$4:$N$353,0),0))),"")</f>
        <v>أون لاين</v>
      </c>
      <c r="G48" s="70">
        <f>IFERROR(IF(IFERROR(MATCH(44,'كشف الحساب'!$N$4:$N$353,0),0)=0,"",INDEX('كشف الحساب'!$G$4:$G$353,IFERROR(MATCH(44,'كشف الحساب'!$N$4:$N$353,0),0))),"")</f>
        <v>0</v>
      </c>
      <c r="H48" s="70" t="str">
        <f>IFERROR(IF(IFERROR(MATCH(44,'كشف الحساب'!$N$4:$N$353,0),0)=0,"",INDEX('كشف الحساب'!$H$4:$H$353,IFERROR(MATCH(44,'كشف الحساب'!$N$4:$N$353,0),0))),"")</f>
        <v>تم الدفع</v>
      </c>
      <c r="I48" s="70">
        <f>IFERROR(IF(IFERROR(MATCH(44,'كشف الحساب'!$N$4:$N$353,0),0)=0,"",INDEX('كشف الحساب'!$I$4:$I$353,IFERROR(MATCH(44,'كشف الحساب'!$N$4:$N$353,0),0))),"")</f>
        <v>0</v>
      </c>
      <c r="J48" s="74">
        <f>IFERROR(IF(IFERROR(MATCH(44,'كشف الحساب'!$N$4:$N$353,0),0)=0,"",INDEX('كشف الحساب'!$J$4:$J$353,IFERROR(MATCH(44,'كشف الحساب'!$N$4:$N$353,0),0))),"")</f>
        <v>37.44500000000005</v>
      </c>
      <c r="K48" s="70">
        <f>IFERROR(IF(IFERROR(MATCH(44,'كشف الحساب'!$N$4:$N$353,0),0)=0,"",INDEX('كشف الحساب'!$K$4:$K$353,IFERROR(MATCH(44,'كشف الحساب'!$N$4:$N$353,0),0))),"")</f>
        <v>0</v>
      </c>
    </row>
    <row r="49" spans="1:11" ht="15" customHeight="1" x14ac:dyDescent="0.25">
      <c r="A49" s="63" t="str">
        <f>IFERROR(IF(IFERROR(MATCH(45,'كشف الحساب'!$N$4:$N$353,0),0)=0,"",INDEX('كشف الحساب'!$A$4:$A$353,IFERROR(MATCH(45,'كشف الحساب'!$N$4:$N$353,0),0))),"")</f>
        <v/>
      </c>
      <c r="B49" s="64" t="str">
        <f>IFERROR(IF(IFERROR(MATCH(45,'كشف الحساب'!$N$4:$N$353,0),0)=0,"",INDEX('كشف الحساب'!$B$4:$B$353,IFERROR(MATCH(45,'كشف الحساب'!$N$4:$N$353,0),0))),"")</f>
        <v/>
      </c>
      <c r="C49" s="65" t="str">
        <f>IFERROR(IF(IFERROR(MATCH(45,'كشف الحساب'!$N$4:$N$353,0),0)=0,"",INDEX('كشف الحساب'!$C$4:$C$353,IFERROR(MATCH(45,'كشف الحساب'!$N$4:$N$353,0),0))),"")</f>
        <v/>
      </c>
      <c r="D49" s="66" t="str">
        <f>IFERROR(IF(IFERROR(MATCH(45,'كشف الحساب'!$N$4:$N$353,0),0)=0,"",INDEX('كشف الحساب'!$D$4:$D$353,IFERROR(MATCH(45,'كشف الحساب'!$N$4:$N$353,0),0))),"")</f>
        <v/>
      </c>
      <c r="E49" s="67" t="str">
        <f>IFERROR(IF(IFERROR(MATCH(45,'كشف الحساب'!$N$4:$N$353,0),0)=0,"",INDEX('كشف الحساب'!$E$4:$E$353,IFERROR(MATCH(45,'كشف الحساب'!$N$4:$N$353,0),0))),"")</f>
        <v/>
      </c>
      <c r="F49" s="64" t="str">
        <f>IFERROR(IF(IFERROR(MATCH(45,'كشف الحساب'!$N$4:$N$353,0),0)=0,"",INDEX('كشف الحساب'!$F$4:$F$353,IFERROR(MATCH(45,'كشف الحساب'!$N$4:$N$353,0),0))),"")</f>
        <v/>
      </c>
      <c r="G49" s="64" t="str">
        <f>IFERROR(IF(IFERROR(MATCH(45,'كشف الحساب'!$N$4:$N$353,0),0)=0,"",INDEX('كشف الحساب'!$G$4:$G$353,IFERROR(MATCH(45,'كشف الحساب'!$N$4:$N$353,0),0))),"")</f>
        <v/>
      </c>
      <c r="H49" s="64" t="str">
        <f>IFERROR(IF(IFERROR(MATCH(45,'كشف الحساب'!$N$4:$N$353,0),0)=0,"",INDEX('كشف الحساب'!$H$4:$H$353,IFERROR(MATCH(45,'كشف الحساب'!$N$4:$N$353,0),0))),"")</f>
        <v/>
      </c>
      <c r="I49" s="64" t="str">
        <f>IFERROR(IF(IFERROR(MATCH(45,'كشف الحساب'!$N$4:$N$353,0),0)=0,"",INDEX('كشف الحساب'!$I$4:$I$353,IFERROR(MATCH(45,'كشف الحساب'!$N$4:$N$353,0),0))),"")</f>
        <v/>
      </c>
      <c r="J49" s="68" t="str">
        <f>IFERROR(IF(IFERROR(MATCH(45,'كشف الحساب'!$N$4:$N$353,0),0)=0,"",INDEX('كشف الحساب'!$J$4:$J$353,IFERROR(MATCH(45,'كشف الحساب'!$N$4:$N$353,0),0))),"")</f>
        <v/>
      </c>
      <c r="K49" s="64" t="str">
        <f>IFERROR(IF(IFERROR(MATCH(45,'كشف الحساب'!$N$4:$N$353,0),0)=0,"",INDEX('كشف الحساب'!$K$4:$K$353,IFERROR(MATCH(45,'كشف الحساب'!$N$4:$N$353,0),0))),"")</f>
        <v/>
      </c>
    </row>
    <row r="50" spans="1:11" ht="15" customHeight="1" x14ac:dyDescent="0.25">
      <c r="A50" s="69" t="str">
        <f>IFERROR(IF(IFERROR(MATCH(46,'كشف الحساب'!$N$4:$N$353,0),0)=0,"",INDEX('كشف الحساب'!$A$4:$A$353,IFERROR(MATCH(46,'كشف الحساب'!$N$4:$N$353,0),0))),"")</f>
        <v/>
      </c>
      <c r="B50" s="70" t="str">
        <f>IFERROR(IF(IFERROR(MATCH(46,'كشف الحساب'!$N$4:$N$353,0),0)=0,"",INDEX('كشف الحساب'!$B$4:$B$353,IFERROR(MATCH(46,'كشف الحساب'!$N$4:$N$353,0),0))),"")</f>
        <v/>
      </c>
      <c r="C50" s="71" t="str">
        <f>IFERROR(IF(IFERROR(MATCH(46,'كشف الحساب'!$N$4:$N$353,0),0)=0,"",INDEX('كشف الحساب'!$C$4:$C$353,IFERROR(MATCH(46,'كشف الحساب'!$N$4:$N$353,0),0))),"")</f>
        <v/>
      </c>
      <c r="D50" s="72" t="str">
        <f>IFERROR(IF(IFERROR(MATCH(46,'كشف الحساب'!$N$4:$N$353,0),0)=0,"",INDEX('كشف الحساب'!$D$4:$D$353,IFERROR(MATCH(46,'كشف الحساب'!$N$4:$N$353,0),0))),"")</f>
        <v/>
      </c>
      <c r="E50" s="73" t="str">
        <f>IFERROR(IF(IFERROR(MATCH(46,'كشف الحساب'!$N$4:$N$353,0),0)=0,"",INDEX('كشف الحساب'!$E$4:$E$353,IFERROR(MATCH(46,'كشف الحساب'!$N$4:$N$353,0),0))),"")</f>
        <v/>
      </c>
      <c r="F50" s="70" t="str">
        <f>IFERROR(IF(IFERROR(MATCH(46,'كشف الحساب'!$N$4:$N$353,0),0)=0,"",INDEX('كشف الحساب'!$F$4:$F$353,IFERROR(MATCH(46,'كشف الحساب'!$N$4:$N$353,0),0))),"")</f>
        <v/>
      </c>
      <c r="G50" s="70" t="str">
        <f>IFERROR(IF(IFERROR(MATCH(46,'كشف الحساب'!$N$4:$N$353,0),0)=0,"",INDEX('كشف الحساب'!$G$4:$G$353,IFERROR(MATCH(46,'كشف الحساب'!$N$4:$N$353,0),0))),"")</f>
        <v/>
      </c>
      <c r="H50" s="70" t="str">
        <f>IFERROR(IF(IFERROR(MATCH(46,'كشف الحساب'!$N$4:$N$353,0),0)=0,"",INDEX('كشف الحساب'!$H$4:$H$353,IFERROR(MATCH(46,'كشف الحساب'!$N$4:$N$353,0),0))),"")</f>
        <v/>
      </c>
      <c r="I50" s="70" t="str">
        <f>IFERROR(IF(IFERROR(MATCH(46,'كشف الحساب'!$N$4:$N$353,0),0)=0,"",INDEX('كشف الحساب'!$I$4:$I$353,IFERROR(MATCH(46,'كشف الحساب'!$N$4:$N$353,0),0))),"")</f>
        <v/>
      </c>
      <c r="J50" s="74" t="str">
        <f>IFERROR(IF(IFERROR(MATCH(46,'كشف الحساب'!$N$4:$N$353,0),0)=0,"",INDEX('كشف الحساب'!$J$4:$J$353,IFERROR(MATCH(46,'كشف الحساب'!$N$4:$N$353,0),0))),"")</f>
        <v/>
      </c>
      <c r="K50" s="70" t="str">
        <f>IFERROR(IF(IFERROR(MATCH(46,'كشف الحساب'!$N$4:$N$353,0),0)=0,"",INDEX('كشف الحساب'!$K$4:$K$353,IFERROR(MATCH(46,'كشف الحساب'!$N$4:$N$353,0),0))),"")</f>
        <v/>
      </c>
    </row>
    <row r="51" spans="1:11" ht="15" customHeight="1" x14ac:dyDescent="0.25">
      <c r="A51" s="63" t="str">
        <f>IFERROR(IF(IFERROR(MATCH(47,'كشف الحساب'!$N$4:$N$353,0),0)=0,"",INDEX('كشف الحساب'!$A$4:$A$353,IFERROR(MATCH(47,'كشف الحساب'!$N$4:$N$353,0),0))),"")</f>
        <v/>
      </c>
      <c r="B51" s="64" t="str">
        <f>IFERROR(IF(IFERROR(MATCH(47,'كشف الحساب'!$N$4:$N$353,0),0)=0,"",INDEX('كشف الحساب'!$B$4:$B$353,IFERROR(MATCH(47,'كشف الحساب'!$N$4:$N$353,0),0))),"")</f>
        <v/>
      </c>
      <c r="C51" s="65" t="str">
        <f>IFERROR(IF(IFERROR(MATCH(47,'كشف الحساب'!$N$4:$N$353,0),0)=0,"",INDEX('كشف الحساب'!$C$4:$C$353,IFERROR(MATCH(47,'كشف الحساب'!$N$4:$N$353,0),0))),"")</f>
        <v/>
      </c>
      <c r="D51" s="66" t="str">
        <f>IFERROR(IF(IFERROR(MATCH(47,'كشف الحساب'!$N$4:$N$353,0),0)=0,"",INDEX('كشف الحساب'!$D$4:$D$353,IFERROR(MATCH(47,'كشف الحساب'!$N$4:$N$353,0),0))),"")</f>
        <v/>
      </c>
      <c r="E51" s="67" t="str">
        <f>IFERROR(IF(IFERROR(MATCH(47,'كشف الحساب'!$N$4:$N$353,0),0)=0,"",INDEX('كشف الحساب'!$E$4:$E$353,IFERROR(MATCH(47,'كشف الحساب'!$N$4:$N$353,0),0))),"")</f>
        <v/>
      </c>
      <c r="F51" s="64" t="str">
        <f>IFERROR(IF(IFERROR(MATCH(47,'كشف الحساب'!$N$4:$N$353,0),0)=0,"",INDEX('كشف الحساب'!$F$4:$F$353,IFERROR(MATCH(47,'كشف الحساب'!$N$4:$N$353,0),0))),"")</f>
        <v/>
      </c>
      <c r="G51" s="64" t="str">
        <f>IFERROR(IF(IFERROR(MATCH(47,'كشف الحساب'!$N$4:$N$353,0),0)=0,"",INDEX('كشف الحساب'!$G$4:$G$353,IFERROR(MATCH(47,'كشف الحساب'!$N$4:$N$353,0),0))),"")</f>
        <v/>
      </c>
      <c r="H51" s="64" t="str">
        <f>IFERROR(IF(IFERROR(MATCH(47,'كشف الحساب'!$N$4:$N$353,0),0)=0,"",INDEX('كشف الحساب'!$H$4:$H$353,IFERROR(MATCH(47,'كشف الحساب'!$N$4:$N$353,0),0))),"")</f>
        <v/>
      </c>
      <c r="I51" s="64" t="str">
        <f>IFERROR(IF(IFERROR(MATCH(47,'كشف الحساب'!$N$4:$N$353,0),0)=0,"",INDEX('كشف الحساب'!$I$4:$I$353,IFERROR(MATCH(47,'كشف الحساب'!$N$4:$N$353,0),0))),"")</f>
        <v/>
      </c>
      <c r="J51" s="68" t="str">
        <f>IFERROR(IF(IFERROR(MATCH(47,'كشف الحساب'!$N$4:$N$353,0),0)=0,"",INDEX('كشف الحساب'!$J$4:$J$353,IFERROR(MATCH(47,'كشف الحساب'!$N$4:$N$353,0),0))),"")</f>
        <v/>
      </c>
      <c r="K51" s="64" t="str">
        <f>IFERROR(IF(IFERROR(MATCH(47,'كشف الحساب'!$N$4:$N$353,0),0)=0,"",INDEX('كشف الحساب'!$K$4:$K$353,IFERROR(MATCH(47,'كشف الحساب'!$N$4:$N$353,0),0))),"")</f>
        <v/>
      </c>
    </row>
    <row r="52" spans="1:11" ht="15" customHeight="1" x14ac:dyDescent="0.25">
      <c r="A52" s="69" t="str">
        <f>IFERROR(IF(IFERROR(MATCH(48,'كشف الحساب'!$N$4:$N$353,0),0)=0,"",INDEX('كشف الحساب'!$A$4:$A$353,IFERROR(MATCH(48,'كشف الحساب'!$N$4:$N$353,0),0))),"")</f>
        <v/>
      </c>
      <c r="B52" s="70" t="str">
        <f>IFERROR(IF(IFERROR(MATCH(48,'كشف الحساب'!$N$4:$N$353,0),0)=0,"",INDEX('كشف الحساب'!$B$4:$B$353,IFERROR(MATCH(48,'كشف الحساب'!$N$4:$N$353,0),0))),"")</f>
        <v/>
      </c>
      <c r="C52" s="71" t="str">
        <f>IFERROR(IF(IFERROR(MATCH(48,'كشف الحساب'!$N$4:$N$353,0),0)=0,"",INDEX('كشف الحساب'!$C$4:$C$353,IFERROR(MATCH(48,'كشف الحساب'!$N$4:$N$353,0),0))),"")</f>
        <v/>
      </c>
      <c r="D52" s="72" t="str">
        <f>IFERROR(IF(IFERROR(MATCH(48,'كشف الحساب'!$N$4:$N$353,0),0)=0,"",INDEX('كشف الحساب'!$D$4:$D$353,IFERROR(MATCH(48,'كشف الحساب'!$N$4:$N$353,0),0))),"")</f>
        <v/>
      </c>
      <c r="E52" s="73" t="str">
        <f>IFERROR(IF(IFERROR(MATCH(48,'كشف الحساب'!$N$4:$N$353,0),0)=0,"",INDEX('كشف الحساب'!$E$4:$E$353,IFERROR(MATCH(48,'كشف الحساب'!$N$4:$N$353,0),0))),"")</f>
        <v/>
      </c>
      <c r="F52" s="70" t="str">
        <f>IFERROR(IF(IFERROR(MATCH(48,'كشف الحساب'!$N$4:$N$353,0),0)=0,"",INDEX('كشف الحساب'!$F$4:$F$353,IFERROR(MATCH(48,'كشف الحساب'!$N$4:$N$353,0),0))),"")</f>
        <v/>
      </c>
      <c r="G52" s="70" t="str">
        <f>IFERROR(IF(IFERROR(MATCH(48,'كشف الحساب'!$N$4:$N$353,0),0)=0,"",INDEX('كشف الحساب'!$G$4:$G$353,IFERROR(MATCH(48,'كشف الحساب'!$N$4:$N$353,0),0))),"")</f>
        <v/>
      </c>
      <c r="H52" s="70" t="str">
        <f>IFERROR(IF(IFERROR(MATCH(48,'كشف الحساب'!$N$4:$N$353,0),0)=0,"",INDEX('كشف الحساب'!$H$4:$H$353,IFERROR(MATCH(48,'كشف الحساب'!$N$4:$N$353,0),0))),"")</f>
        <v/>
      </c>
      <c r="I52" s="70" t="str">
        <f>IFERROR(IF(IFERROR(MATCH(48,'كشف الحساب'!$N$4:$N$353,0),0)=0,"",INDEX('كشف الحساب'!$I$4:$I$353,IFERROR(MATCH(48,'كشف الحساب'!$N$4:$N$353,0),0))),"")</f>
        <v/>
      </c>
      <c r="J52" s="74" t="str">
        <f>IFERROR(IF(IFERROR(MATCH(48,'كشف الحساب'!$N$4:$N$353,0),0)=0,"",INDEX('كشف الحساب'!$J$4:$J$353,IFERROR(MATCH(48,'كشف الحساب'!$N$4:$N$353,0),0))),"")</f>
        <v/>
      </c>
      <c r="K52" s="70" t="str">
        <f>IFERROR(IF(IFERROR(MATCH(48,'كشف الحساب'!$N$4:$N$353,0),0)=0,"",INDEX('كشف الحساب'!$K$4:$K$353,IFERROR(MATCH(48,'كشف الحساب'!$N$4:$N$353,0),0))),"")</f>
        <v/>
      </c>
    </row>
    <row r="53" spans="1:11" ht="15" customHeight="1" x14ac:dyDescent="0.25">
      <c r="A53" s="63" t="str">
        <f>IFERROR(IF(IFERROR(MATCH(49,'كشف الحساب'!$N$4:$N$353,0),0)=0,"",INDEX('كشف الحساب'!$A$4:$A$353,IFERROR(MATCH(49,'كشف الحساب'!$N$4:$N$353,0),0))),"")</f>
        <v/>
      </c>
      <c r="B53" s="64" t="str">
        <f>IFERROR(IF(IFERROR(MATCH(49,'كشف الحساب'!$N$4:$N$353,0),0)=0,"",INDEX('كشف الحساب'!$B$4:$B$353,IFERROR(MATCH(49,'كشف الحساب'!$N$4:$N$353,0),0))),"")</f>
        <v/>
      </c>
      <c r="C53" s="65" t="str">
        <f>IFERROR(IF(IFERROR(MATCH(49,'كشف الحساب'!$N$4:$N$353,0),0)=0,"",INDEX('كشف الحساب'!$C$4:$C$353,IFERROR(MATCH(49,'كشف الحساب'!$N$4:$N$353,0),0))),"")</f>
        <v/>
      </c>
      <c r="D53" s="66" t="str">
        <f>IFERROR(IF(IFERROR(MATCH(49,'كشف الحساب'!$N$4:$N$353,0),0)=0,"",INDEX('كشف الحساب'!$D$4:$D$353,IFERROR(MATCH(49,'كشف الحساب'!$N$4:$N$353,0),0))),"")</f>
        <v/>
      </c>
      <c r="E53" s="67" t="str">
        <f>IFERROR(IF(IFERROR(MATCH(49,'كشف الحساب'!$N$4:$N$353,0),0)=0,"",INDEX('كشف الحساب'!$E$4:$E$353,IFERROR(MATCH(49,'كشف الحساب'!$N$4:$N$353,0),0))),"")</f>
        <v/>
      </c>
      <c r="F53" s="64" t="str">
        <f>IFERROR(IF(IFERROR(MATCH(49,'كشف الحساب'!$N$4:$N$353,0),0)=0,"",INDEX('كشف الحساب'!$F$4:$F$353,IFERROR(MATCH(49,'كشف الحساب'!$N$4:$N$353,0),0))),"")</f>
        <v/>
      </c>
      <c r="G53" s="64" t="str">
        <f>IFERROR(IF(IFERROR(MATCH(49,'كشف الحساب'!$N$4:$N$353,0),0)=0,"",INDEX('كشف الحساب'!$G$4:$G$353,IFERROR(MATCH(49,'كشف الحساب'!$N$4:$N$353,0),0))),"")</f>
        <v/>
      </c>
      <c r="H53" s="64" t="str">
        <f>IFERROR(IF(IFERROR(MATCH(49,'كشف الحساب'!$N$4:$N$353,0),0)=0,"",INDEX('كشف الحساب'!$H$4:$H$353,IFERROR(MATCH(49,'كشف الحساب'!$N$4:$N$353,0),0))),"")</f>
        <v/>
      </c>
      <c r="I53" s="64" t="str">
        <f>IFERROR(IF(IFERROR(MATCH(49,'كشف الحساب'!$N$4:$N$353,0),0)=0,"",INDEX('كشف الحساب'!$I$4:$I$353,IFERROR(MATCH(49,'كشف الحساب'!$N$4:$N$353,0),0))),"")</f>
        <v/>
      </c>
      <c r="J53" s="68" t="str">
        <f>IFERROR(IF(IFERROR(MATCH(49,'كشف الحساب'!$N$4:$N$353,0),0)=0,"",INDEX('كشف الحساب'!$J$4:$J$353,IFERROR(MATCH(49,'كشف الحساب'!$N$4:$N$353,0),0))),"")</f>
        <v/>
      </c>
      <c r="K53" s="64" t="str">
        <f>IFERROR(IF(IFERROR(MATCH(49,'كشف الحساب'!$N$4:$N$353,0),0)=0,"",INDEX('كشف الحساب'!$K$4:$K$353,IFERROR(MATCH(49,'كشف الحساب'!$N$4:$N$353,0),0))),"")</f>
        <v/>
      </c>
    </row>
    <row r="54" spans="1:11" ht="15" customHeight="1" x14ac:dyDescent="0.25">
      <c r="A54" s="69" t="str">
        <f>IFERROR(IF(IFERROR(MATCH(50,'كشف الحساب'!$N$4:$N$353,0),0)=0,"",INDEX('كشف الحساب'!$A$4:$A$353,IFERROR(MATCH(50,'كشف الحساب'!$N$4:$N$353,0),0))),"")</f>
        <v/>
      </c>
      <c r="B54" s="70" t="str">
        <f>IFERROR(IF(IFERROR(MATCH(50,'كشف الحساب'!$N$4:$N$353,0),0)=0,"",INDEX('كشف الحساب'!$B$4:$B$353,IFERROR(MATCH(50,'كشف الحساب'!$N$4:$N$353,0),0))),"")</f>
        <v/>
      </c>
      <c r="C54" s="71" t="str">
        <f>IFERROR(IF(IFERROR(MATCH(50,'كشف الحساب'!$N$4:$N$353,0),0)=0,"",INDEX('كشف الحساب'!$C$4:$C$353,IFERROR(MATCH(50,'كشف الحساب'!$N$4:$N$353,0),0))),"")</f>
        <v/>
      </c>
      <c r="D54" s="72" t="str">
        <f>IFERROR(IF(IFERROR(MATCH(50,'كشف الحساب'!$N$4:$N$353,0),0)=0,"",INDEX('كشف الحساب'!$D$4:$D$353,IFERROR(MATCH(50,'كشف الحساب'!$N$4:$N$353,0),0))),"")</f>
        <v/>
      </c>
      <c r="E54" s="73" t="str">
        <f>IFERROR(IF(IFERROR(MATCH(50,'كشف الحساب'!$N$4:$N$353,0),0)=0,"",INDEX('كشف الحساب'!$E$4:$E$353,IFERROR(MATCH(50,'كشف الحساب'!$N$4:$N$353,0),0))),"")</f>
        <v/>
      </c>
      <c r="F54" s="70" t="str">
        <f>IFERROR(IF(IFERROR(MATCH(50,'كشف الحساب'!$N$4:$N$353,0),0)=0,"",INDEX('كشف الحساب'!$F$4:$F$353,IFERROR(MATCH(50,'كشف الحساب'!$N$4:$N$353,0),0))),"")</f>
        <v/>
      </c>
      <c r="G54" s="70" t="str">
        <f>IFERROR(IF(IFERROR(MATCH(50,'كشف الحساب'!$N$4:$N$353,0),0)=0,"",INDEX('كشف الحساب'!$G$4:$G$353,IFERROR(MATCH(50,'كشف الحساب'!$N$4:$N$353,0),0))),"")</f>
        <v/>
      </c>
      <c r="H54" s="70" t="str">
        <f>IFERROR(IF(IFERROR(MATCH(50,'كشف الحساب'!$N$4:$N$353,0),0)=0,"",INDEX('كشف الحساب'!$H$4:$H$353,IFERROR(MATCH(50,'كشف الحساب'!$N$4:$N$353,0),0))),"")</f>
        <v/>
      </c>
      <c r="I54" s="70" t="str">
        <f>IFERROR(IF(IFERROR(MATCH(50,'كشف الحساب'!$N$4:$N$353,0),0)=0,"",INDEX('كشف الحساب'!$I$4:$I$353,IFERROR(MATCH(50,'كشف الحساب'!$N$4:$N$353,0),0))),"")</f>
        <v/>
      </c>
      <c r="J54" s="74" t="str">
        <f>IFERROR(IF(IFERROR(MATCH(50,'كشف الحساب'!$N$4:$N$353,0),0)=0,"",INDEX('كشف الحساب'!$J$4:$J$353,IFERROR(MATCH(50,'كشف الحساب'!$N$4:$N$353,0),0))),"")</f>
        <v/>
      </c>
      <c r="K54" s="70" t="str">
        <f>IFERROR(IF(IFERROR(MATCH(50,'كشف الحساب'!$N$4:$N$353,0),0)=0,"",INDEX('كشف الحساب'!$K$4:$K$353,IFERROR(MATCH(50,'كشف الحساب'!$N$4:$N$353,0),0))),"")</f>
        <v/>
      </c>
    </row>
    <row r="55" spans="1:11" ht="15" customHeight="1" x14ac:dyDescent="0.25">
      <c r="A55" s="63" t="str">
        <f>IFERROR(IF(IFERROR(MATCH(51,'كشف الحساب'!$N$4:$N$353,0),0)=0,"",INDEX('كشف الحساب'!$A$4:$A$353,IFERROR(MATCH(51,'كشف الحساب'!$N$4:$N$353,0),0))),"")</f>
        <v/>
      </c>
      <c r="B55" s="64" t="str">
        <f>IFERROR(IF(IFERROR(MATCH(51,'كشف الحساب'!$N$4:$N$353,0),0)=0,"",INDEX('كشف الحساب'!$B$4:$B$353,IFERROR(MATCH(51,'كشف الحساب'!$N$4:$N$353,0),0))),"")</f>
        <v/>
      </c>
      <c r="C55" s="65" t="str">
        <f>IFERROR(IF(IFERROR(MATCH(51,'كشف الحساب'!$N$4:$N$353,0),0)=0,"",INDEX('كشف الحساب'!$C$4:$C$353,IFERROR(MATCH(51,'كشف الحساب'!$N$4:$N$353,0),0))),"")</f>
        <v/>
      </c>
      <c r="D55" s="66" t="str">
        <f>IFERROR(IF(IFERROR(MATCH(51,'كشف الحساب'!$N$4:$N$353,0),0)=0,"",INDEX('كشف الحساب'!$D$4:$D$353,IFERROR(MATCH(51,'كشف الحساب'!$N$4:$N$353,0),0))),"")</f>
        <v/>
      </c>
      <c r="E55" s="67" t="str">
        <f>IFERROR(IF(IFERROR(MATCH(51,'كشف الحساب'!$N$4:$N$353,0),0)=0,"",INDEX('كشف الحساب'!$E$4:$E$353,IFERROR(MATCH(51,'كشف الحساب'!$N$4:$N$353,0),0))),"")</f>
        <v/>
      </c>
      <c r="F55" s="64" t="str">
        <f>IFERROR(IF(IFERROR(MATCH(51,'كشف الحساب'!$N$4:$N$353,0),0)=0,"",INDEX('كشف الحساب'!$F$4:$F$353,IFERROR(MATCH(51,'كشف الحساب'!$N$4:$N$353,0),0))),"")</f>
        <v/>
      </c>
      <c r="G55" s="64" t="str">
        <f>IFERROR(IF(IFERROR(MATCH(51,'كشف الحساب'!$N$4:$N$353,0),0)=0,"",INDEX('كشف الحساب'!$G$4:$G$353,IFERROR(MATCH(51,'كشف الحساب'!$N$4:$N$353,0),0))),"")</f>
        <v/>
      </c>
      <c r="H55" s="64" t="str">
        <f>IFERROR(IF(IFERROR(MATCH(51,'كشف الحساب'!$N$4:$N$353,0),0)=0,"",INDEX('كشف الحساب'!$H$4:$H$353,IFERROR(MATCH(51,'كشف الحساب'!$N$4:$N$353,0),0))),"")</f>
        <v/>
      </c>
      <c r="I55" s="64" t="str">
        <f>IFERROR(IF(IFERROR(MATCH(51,'كشف الحساب'!$N$4:$N$353,0),0)=0,"",INDEX('كشف الحساب'!$I$4:$I$353,IFERROR(MATCH(51,'كشف الحساب'!$N$4:$N$353,0),0))),"")</f>
        <v/>
      </c>
      <c r="J55" s="68" t="str">
        <f>IFERROR(IF(IFERROR(MATCH(51,'كشف الحساب'!$N$4:$N$353,0),0)=0,"",INDEX('كشف الحساب'!$J$4:$J$353,IFERROR(MATCH(51,'كشف الحساب'!$N$4:$N$353,0),0))),"")</f>
        <v/>
      </c>
      <c r="K55" s="64" t="str">
        <f>IFERROR(IF(IFERROR(MATCH(51,'كشف الحساب'!$N$4:$N$353,0),0)=0,"",INDEX('كشف الحساب'!$K$4:$K$353,IFERROR(MATCH(51,'كشف الحساب'!$N$4:$N$353,0),0))),"")</f>
        <v/>
      </c>
    </row>
    <row r="56" spans="1:11" ht="15" customHeight="1" x14ac:dyDescent="0.25">
      <c r="A56" s="69" t="str">
        <f>IFERROR(IF(IFERROR(MATCH(52,'كشف الحساب'!$N$4:$N$353,0),0)=0,"",INDEX('كشف الحساب'!$A$4:$A$353,IFERROR(MATCH(52,'كشف الحساب'!$N$4:$N$353,0),0))),"")</f>
        <v/>
      </c>
      <c r="B56" s="70" t="str">
        <f>IFERROR(IF(IFERROR(MATCH(52,'كشف الحساب'!$N$4:$N$353,0),0)=0,"",INDEX('كشف الحساب'!$B$4:$B$353,IFERROR(MATCH(52,'كشف الحساب'!$N$4:$N$353,0),0))),"")</f>
        <v/>
      </c>
      <c r="C56" s="71" t="str">
        <f>IFERROR(IF(IFERROR(MATCH(52,'كشف الحساب'!$N$4:$N$353,0),0)=0,"",INDEX('كشف الحساب'!$C$4:$C$353,IFERROR(MATCH(52,'كشف الحساب'!$N$4:$N$353,0),0))),"")</f>
        <v/>
      </c>
      <c r="D56" s="72" t="str">
        <f>IFERROR(IF(IFERROR(MATCH(52,'كشف الحساب'!$N$4:$N$353,0),0)=0,"",INDEX('كشف الحساب'!$D$4:$D$353,IFERROR(MATCH(52,'كشف الحساب'!$N$4:$N$353,0),0))),"")</f>
        <v/>
      </c>
      <c r="E56" s="73" t="str">
        <f>IFERROR(IF(IFERROR(MATCH(52,'كشف الحساب'!$N$4:$N$353,0),0)=0,"",INDEX('كشف الحساب'!$E$4:$E$353,IFERROR(MATCH(52,'كشف الحساب'!$N$4:$N$353,0),0))),"")</f>
        <v/>
      </c>
      <c r="F56" s="70" t="str">
        <f>IFERROR(IF(IFERROR(MATCH(52,'كشف الحساب'!$N$4:$N$353,0),0)=0,"",INDEX('كشف الحساب'!$F$4:$F$353,IFERROR(MATCH(52,'كشف الحساب'!$N$4:$N$353,0),0))),"")</f>
        <v/>
      </c>
      <c r="G56" s="70" t="str">
        <f>IFERROR(IF(IFERROR(MATCH(52,'كشف الحساب'!$N$4:$N$353,0),0)=0,"",INDEX('كشف الحساب'!$G$4:$G$353,IFERROR(MATCH(52,'كشف الحساب'!$N$4:$N$353,0),0))),"")</f>
        <v/>
      </c>
      <c r="H56" s="70" t="str">
        <f>IFERROR(IF(IFERROR(MATCH(52,'كشف الحساب'!$N$4:$N$353,0),0)=0,"",INDEX('كشف الحساب'!$H$4:$H$353,IFERROR(MATCH(52,'كشف الحساب'!$N$4:$N$353,0),0))),"")</f>
        <v/>
      </c>
      <c r="I56" s="70" t="str">
        <f>IFERROR(IF(IFERROR(MATCH(52,'كشف الحساب'!$N$4:$N$353,0),0)=0,"",INDEX('كشف الحساب'!$I$4:$I$353,IFERROR(MATCH(52,'كشف الحساب'!$N$4:$N$353,0),0))),"")</f>
        <v/>
      </c>
      <c r="J56" s="74" t="str">
        <f>IFERROR(IF(IFERROR(MATCH(52,'كشف الحساب'!$N$4:$N$353,0),0)=0,"",INDEX('كشف الحساب'!$J$4:$J$353,IFERROR(MATCH(52,'كشف الحساب'!$N$4:$N$353,0),0))),"")</f>
        <v/>
      </c>
      <c r="K56" s="70" t="str">
        <f>IFERROR(IF(IFERROR(MATCH(52,'كشف الحساب'!$N$4:$N$353,0),0)=0,"",INDEX('كشف الحساب'!$K$4:$K$353,IFERROR(MATCH(52,'كشف الحساب'!$N$4:$N$353,0),0))),"")</f>
        <v/>
      </c>
    </row>
    <row r="57" spans="1:11" ht="15" customHeight="1" x14ac:dyDescent="0.25">
      <c r="A57" s="63" t="str">
        <f>IFERROR(IF(IFERROR(MATCH(53,'كشف الحساب'!$N$4:$N$353,0),0)=0,"",INDEX('كشف الحساب'!$A$4:$A$353,IFERROR(MATCH(53,'كشف الحساب'!$N$4:$N$353,0),0))),"")</f>
        <v/>
      </c>
      <c r="B57" s="64" t="str">
        <f>IFERROR(IF(IFERROR(MATCH(53,'كشف الحساب'!$N$4:$N$353,0),0)=0,"",INDEX('كشف الحساب'!$B$4:$B$353,IFERROR(MATCH(53,'كشف الحساب'!$N$4:$N$353,0),0))),"")</f>
        <v/>
      </c>
      <c r="C57" s="65" t="str">
        <f>IFERROR(IF(IFERROR(MATCH(53,'كشف الحساب'!$N$4:$N$353,0),0)=0,"",INDEX('كشف الحساب'!$C$4:$C$353,IFERROR(MATCH(53,'كشف الحساب'!$N$4:$N$353,0),0))),"")</f>
        <v/>
      </c>
      <c r="D57" s="66" t="str">
        <f>IFERROR(IF(IFERROR(MATCH(53,'كشف الحساب'!$N$4:$N$353,0),0)=0,"",INDEX('كشف الحساب'!$D$4:$D$353,IFERROR(MATCH(53,'كشف الحساب'!$N$4:$N$353,0),0))),"")</f>
        <v/>
      </c>
      <c r="E57" s="67" t="str">
        <f>IFERROR(IF(IFERROR(MATCH(53,'كشف الحساب'!$N$4:$N$353,0),0)=0,"",INDEX('كشف الحساب'!$E$4:$E$353,IFERROR(MATCH(53,'كشف الحساب'!$N$4:$N$353,0),0))),"")</f>
        <v/>
      </c>
      <c r="F57" s="64" t="str">
        <f>IFERROR(IF(IFERROR(MATCH(53,'كشف الحساب'!$N$4:$N$353,0),0)=0,"",INDEX('كشف الحساب'!$F$4:$F$353,IFERROR(MATCH(53,'كشف الحساب'!$N$4:$N$353,0),0))),"")</f>
        <v/>
      </c>
      <c r="G57" s="64" t="str">
        <f>IFERROR(IF(IFERROR(MATCH(53,'كشف الحساب'!$N$4:$N$353,0),0)=0,"",INDEX('كشف الحساب'!$G$4:$G$353,IFERROR(MATCH(53,'كشف الحساب'!$N$4:$N$353,0),0))),"")</f>
        <v/>
      </c>
      <c r="H57" s="64" t="str">
        <f>IFERROR(IF(IFERROR(MATCH(53,'كشف الحساب'!$N$4:$N$353,0),0)=0,"",INDEX('كشف الحساب'!$H$4:$H$353,IFERROR(MATCH(53,'كشف الحساب'!$N$4:$N$353,0),0))),"")</f>
        <v/>
      </c>
      <c r="I57" s="64" t="str">
        <f>IFERROR(IF(IFERROR(MATCH(53,'كشف الحساب'!$N$4:$N$353,0),0)=0,"",INDEX('كشف الحساب'!$I$4:$I$353,IFERROR(MATCH(53,'كشف الحساب'!$N$4:$N$353,0),0))),"")</f>
        <v/>
      </c>
      <c r="J57" s="68" t="str">
        <f>IFERROR(IF(IFERROR(MATCH(53,'كشف الحساب'!$N$4:$N$353,0),0)=0,"",INDEX('كشف الحساب'!$J$4:$J$353,IFERROR(MATCH(53,'كشف الحساب'!$N$4:$N$353,0),0))),"")</f>
        <v/>
      </c>
      <c r="K57" s="64" t="str">
        <f>IFERROR(IF(IFERROR(MATCH(53,'كشف الحساب'!$N$4:$N$353,0),0)=0,"",INDEX('كشف الحساب'!$K$4:$K$353,IFERROR(MATCH(53,'كشف الحساب'!$N$4:$N$353,0),0))),"")</f>
        <v/>
      </c>
    </row>
    <row r="58" spans="1:11" ht="15" customHeight="1" x14ac:dyDescent="0.25">
      <c r="A58" s="69" t="str">
        <f>IFERROR(IF(IFERROR(MATCH(54,'كشف الحساب'!$N$4:$N$353,0),0)=0,"",INDEX('كشف الحساب'!$A$4:$A$353,IFERROR(MATCH(54,'كشف الحساب'!$N$4:$N$353,0),0))),"")</f>
        <v/>
      </c>
      <c r="B58" s="70" t="str">
        <f>IFERROR(IF(IFERROR(MATCH(54,'كشف الحساب'!$N$4:$N$353,0),0)=0,"",INDEX('كشف الحساب'!$B$4:$B$353,IFERROR(MATCH(54,'كشف الحساب'!$N$4:$N$353,0),0))),"")</f>
        <v/>
      </c>
      <c r="C58" s="71" t="str">
        <f>IFERROR(IF(IFERROR(MATCH(54,'كشف الحساب'!$N$4:$N$353,0),0)=0,"",INDEX('كشف الحساب'!$C$4:$C$353,IFERROR(MATCH(54,'كشف الحساب'!$N$4:$N$353,0),0))),"")</f>
        <v/>
      </c>
      <c r="D58" s="72" t="str">
        <f>IFERROR(IF(IFERROR(MATCH(54,'كشف الحساب'!$N$4:$N$353,0),0)=0,"",INDEX('كشف الحساب'!$D$4:$D$353,IFERROR(MATCH(54,'كشف الحساب'!$N$4:$N$353,0),0))),"")</f>
        <v/>
      </c>
      <c r="E58" s="73" t="str">
        <f>IFERROR(IF(IFERROR(MATCH(54,'كشف الحساب'!$N$4:$N$353,0),0)=0,"",INDEX('كشف الحساب'!$E$4:$E$353,IFERROR(MATCH(54,'كشف الحساب'!$N$4:$N$353,0),0))),"")</f>
        <v/>
      </c>
      <c r="F58" s="70" t="str">
        <f>IFERROR(IF(IFERROR(MATCH(54,'كشف الحساب'!$N$4:$N$353,0),0)=0,"",INDEX('كشف الحساب'!$F$4:$F$353,IFERROR(MATCH(54,'كشف الحساب'!$N$4:$N$353,0),0))),"")</f>
        <v/>
      </c>
      <c r="G58" s="70" t="str">
        <f>IFERROR(IF(IFERROR(MATCH(54,'كشف الحساب'!$N$4:$N$353,0),0)=0,"",INDEX('كشف الحساب'!$G$4:$G$353,IFERROR(MATCH(54,'كشف الحساب'!$N$4:$N$353,0),0))),"")</f>
        <v/>
      </c>
      <c r="H58" s="70" t="str">
        <f>IFERROR(IF(IFERROR(MATCH(54,'كشف الحساب'!$N$4:$N$353,0),0)=0,"",INDEX('كشف الحساب'!$H$4:$H$353,IFERROR(MATCH(54,'كشف الحساب'!$N$4:$N$353,0),0))),"")</f>
        <v/>
      </c>
      <c r="I58" s="70" t="str">
        <f>IFERROR(IF(IFERROR(MATCH(54,'كشف الحساب'!$N$4:$N$353,0),0)=0,"",INDEX('كشف الحساب'!$I$4:$I$353,IFERROR(MATCH(54,'كشف الحساب'!$N$4:$N$353,0),0))),"")</f>
        <v/>
      </c>
      <c r="J58" s="74" t="str">
        <f>IFERROR(IF(IFERROR(MATCH(54,'كشف الحساب'!$N$4:$N$353,0),0)=0,"",INDEX('كشف الحساب'!$J$4:$J$353,IFERROR(MATCH(54,'كشف الحساب'!$N$4:$N$353,0),0))),"")</f>
        <v/>
      </c>
      <c r="K58" s="70" t="str">
        <f>IFERROR(IF(IFERROR(MATCH(54,'كشف الحساب'!$N$4:$N$353,0),0)=0,"",INDEX('كشف الحساب'!$K$4:$K$353,IFERROR(MATCH(54,'كشف الحساب'!$N$4:$N$353,0),0))),"")</f>
        <v/>
      </c>
    </row>
    <row r="59" spans="1:11" ht="15" customHeight="1" x14ac:dyDescent="0.25">
      <c r="A59" s="63" t="str">
        <f>IFERROR(IF(IFERROR(MATCH(55,'كشف الحساب'!$N$4:$N$353,0),0)=0,"",INDEX('كشف الحساب'!$A$4:$A$353,IFERROR(MATCH(55,'كشف الحساب'!$N$4:$N$353,0),0))),"")</f>
        <v/>
      </c>
      <c r="B59" s="64" t="str">
        <f>IFERROR(IF(IFERROR(MATCH(55,'كشف الحساب'!$N$4:$N$353,0),0)=0,"",INDEX('كشف الحساب'!$B$4:$B$353,IFERROR(MATCH(55,'كشف الحساب'!$N$4:$N$353,0),0))),"")</f>
        <v/>
      </c>
      <c r="C59" s="65" t="str">
        <f>IFERROR(IF(IFERROR(MATCH(55,'كشف الحساب'!$N$4:$N$353,0),0)=0,"",INDEX('كشف الحساب'!$C$4:$C$353,IFERROR(MATCH(55,'كشف الحساب'!$N$4:$N$353,0),0))),"")</f>
        <v/>
      </c>
      <c r="D59" s="66" t="str">
        <f>IFERROR(IF(IFERROR(MATCH(55,'كشف الحساب'!$N$4:$N$353,0),0)=0,"",INDEX('كشف الحساب'!$D$4:$D$353,IFERROR(MATCH(55,'كشف الحساب'!$N$4:$N$353,0),0))),"")</f>
        <v/>
      </c>
      <c r="E59" s="67" t="str">
        <f>IFERROR(IF(IFERROR(MATCH(55,'كشف الحساب'!$N$4:$N$353,0),0)=0,"",INDEX('كشف الحساب'!$E$4:$E$353,IFERROR(MATCH(55,'كشف الحساب'!$N$4:$N$353,0),0))),"")</f>
        <v/>
      </c>
      <c r="F59" s="64" t="str">
        <f>IFERROR(IF(IFERROR(MATCH(55,'كشف الحساب'!$N$4:$N$353,0),0)=0,"",INDEX('كشف الحساب'!$F$4:$F$353,IFERROR(MATCH(55,'كشف الحساب'!$N$4:$N$353,0),0))),"")</f>
        <v/>
      </c>
      <c r="G59" s="64" t="str">
        <f>IFERROR(IF(IFERROR(MATCH(55,'كشف الحساب'!$N$4:$N$353,0),0)=0,"",INDEX('كشف الحساب'!$G$4:$G$353,IFERROR(MATCH(55,'كشف الحساب'!$N$4:$N$353,0),0))),"")</f>
        <v/>
      </c>
      <c r="H59" s="64" t="str">
        <f>IFERROR(IF(IFERROR(MATCH(55,'كشف الحساب'!$N$4:$N$353,0),0)=0,"",INDEX('كشف الحساب'!$H$4:$H$353,IFERROR(MATCH(55,'كشف الحساب'!$N$4:$N$353,0),0))),"")</f>
        <v/>
      </c>
      <c r="I59" s="64" t="str">
        <f>IFERROR(IF(IFERROR(MATCH(55,'كشف الحساب'!$N$4:$N$353,0),0)=0,"",INDEX('كشف الحساب'!$I$4:$I$353,IFERROR(MATCH(55,'كشف الحساب'!$N$4:$N$353,0),0))),"")</f>
        <v/>
      </c>
      <c r="J59" s="68" t="str">
        <f>IFERROR(IF(IFERROR(MATCH(55,'كشف الحساب'!$N$4:$N$353,0),0)=0,"",INDEX('كشف الحساب'!$J$4:$J$353,IFERROR(MATCH(55,'كشف الحساب'!$N$4:$N$353,0),0))),"")</f>
        <v/>
      </c>
      <c r="K59" s="64" t="str">
        <f>IFERROR(IF(IFERROR(MATCH(55,'كشف الحساب'!$N$4:$N$353,0),0)=0,"",INDEX('كشف الحساب'!$K$4:$K$353,IFERROR(MATCH(55,'كشف الحساب'!$N$4:$N$353,0),0))),"")</f>
        <v/>
      </c>
    </row>
    <row r="60" spans="1:11" ht="15" customHeight="1" x14ac:dyDescent="0.25">
      <c r="A60" s="69" t="str">
        <f>IFERROR(IF(IFERROR(MATCH(56,'كشف الحساب'!$N$4:$N$353,0),0)=0,"",INDEX('كشف الحساب'!$A$4:$A$353,IFERROR(MATCH(56,'كشف الحساب'!$N$4:$N$353,0),0))),"")</f>
        <v/>
      </c>
      <c r="B60" s="70" t="str">
        <f>IFERROR(IF(IFERROR(MATCH(56,'كشف الحساب'!$N$4:$N$353,0),0)=0,"",INDEX('كشف الحساب'!$B$4:$B$353,IFERROR(MATCH(56,'كشف الحساب'!$N$4:$N$353,0),0))),"")</f>
        <v/>
      </c>
      <c r="C60" s="71" t="str">
        <f>IFERROR(IF(IFERROR(MATCH(56,'كشف الحساب'!$N$4:$N$353,0),0)=0,"",INDEX('كشف الحساب'!$C$4:$C$353,IFERROR(MATCH(56,'كشف الحساب'!$N$4:$N$353,0),0))),"")</f>
        <v/>
      </c>
      <c r="D60" s="72" t="str">
        <f>IFERROR(IF(IFERROR(MATCH(56,'كشف الحساب'!$N$4:$N$353,0),0)=0,"",INDEX('كشف الحساب'!$D$4:$D$353,IFERROR(MATCH(56,'كشف الحساب'!$N$4:$N$353,0),0))),"")</f>
        <v/>
      </c>
      <c r="E60" s="73" t="str">
        <f>IFERROR(IF(IFERROR(MATCH(56,'كشف الحساب'!$N$4:$N$353,0),0)=0,"",INDEX('كشف الحساب'!$E$4:$E$353,IFERROR(MATCH(56,'كشف الحساب'!$N$4:$N$353,0),0))),"")</f>
        <v/>
      </c>
      <c r="F60" s="70" t="str">
        <f>IFERROR(IF(IFERROR(MATCH(56,'كشف الحساب'!$N$4:$N$353,0),0)=0,"",INDEX('كشف الحساب'!$F$4:$F$353,IFERROR(MATCH(56,'كشف الحساب'!$N$4:$N$353,0),0))),"")</f>
        <v/>
      </c>
      <c r="G60" s="70" t="str">
        <f>IFERROR(IF(IFERROR(MATCH(56,'كشف الحساب'!$N$4:$N$353,0),0)=0,"",INDEX('كشف الحساب'!$G$4:$G$353,IFERROR(MATCH(56,'كشف الحساب'!$N$4:$N$353,0),0))),"")</f>
        <v/>
      </c>
      <c r="H60" s="70" t="str">
        <f>IFERROR(IF(IFERROR(MATCH(56,'كشف الحساب'!$N$4:$N$353,0),0)=0,"",INDEX('كشف الحساب'!$H$4:$H$353,IFERROR(MATCH(56,'كشف الحساب'!$N$4:$N$353,0),0))),"")</f>
        <v/>
      </c>
      <c r="I60" s="70" t="str">
        <f>IFERROR(IF(IFERROR(MATCH(56,'كشف الحساب'!$N$4:$N$353,0),0)=0,"",INDEX('كشف الحساب'!$I$4:$I$353,IFERROR(MATCH(56,'كشف الحساب'!$N$4:$N$353,0),0))),"")</f>
        <v/>
      </c>
      <c r="J60" s="74" t="str">
        <f>IFERROR(IF(IFERROR(MATCH(56,'كشف الحساب'!$N$4:$N$353,0),0)=0,"",INDEX('كشف الحساب'!$J$4:$J$353,IFERROR(MATCH(56,'كشف الحساب'!$N$4:$N$353,0),0))),"")</f>
        <v/>
      </c>
      <c r="K60" s="70" t="str">
        <f>IFERROR(IF(IFERROR(MATCH(56,'كشف الحساب'!$N$4:$N$353,0),0)=0,"",INDEX('كشف الحساب'!$K$4:$K$353,IFERROR(MATCH(56,'كشف الحساب'!$N$4:$N$353,0),0))),"")</f>
        <v/>
      </c>
    </row>
    <row r="61" spans="1:11" ht="15" customHeight="1" x14ac:dyDescent="0.25">
      <c r="A61" s="63" t="str">
        <f>IFERROR(IF(IFERROR(MATCH(57,'كشف الحساب'!$N$4:$N$353,0),0)=0,"",INDEX('كشف الحساب'!$A$4:$A$353,IFERROR(MATCH(57,'كشف الحساب'!$N$4:$N$353,0),0))),"")</f>
        <v/>
      </c>
      <c r="B61" s="64" t="str">
        <f>IFERROR(IF(IFERROR(MATCH(57,'كشف الحساب'!$N$4:$N$353,0),0)=0,"",INDEX('كشف الحساب'!$B$4:$B$353,IFERROR(MATCH(57,'كشف الحساب'!$N$4:$N$353,0),0))),"")</f>
        <v/>
      </c>
      <c r="C61" s="65" t="str">
        <f>IFERROR(IF(IFERROR(MATCH(57,'كشف الحساب'!$N$4:$N$353,0),0)=0,"",INDEX('كشف الحساب'!$C$4:$C$353,IFERROR(MATCH(57,'كشف الحساب'!$N$4:$N$353,0),0))),"")</f>
        <v/>
      </c>
      <c r="D61" s="66" t="str">
        <f>IFERROR(IF(IFERROR(MATCH(57,'كشف الحساب'!$N$4:$N$353,0),0)=0,"",INDEX('كشف الحساب'!$D$4:$D$353,IFERROR(MATCH(57,'كشف الحساب'!$N$4:$N$353,0),0))),"")</f>
        <v/>
      </c>
      <c r="E61" s="67" t="str">
        <f>IFERROR(IF(IFERROR(MATCH(57,'كشف الحساب'!$N$4:$N$353,0),0)=0,"",INDEX('كشف الحساب'!$E$4:$E$353,IFERROR(MATCH(57,'كشف الحساب'!$N$4:$N$353,0),0))),"")</f>
        <v/>
      </c>
      <c r="F61" s="64" t="str">
        <f>IFERROR(IF(IFERROR(MATCH(57,'كشف الحساب'!$N$4:$N$353,0),0)=0,"",INDEX('كشف الحساب'!$F$4:$F$353,IFERROR(MATCH(57,'كشف الحساب'!$N$4:$N$353,0),0))),"")</f>
        <v/>
      </c>
      <c r="G61" s="64" t="str">
        <f>IFERROR(IF(IFERROR(MATCH(57,'كشف الحساب'!$N$4:$N$353,0),0)=0,"",INDEX('كشف الحساب'!$G$4:$G$353,IFERROR(MATCH(57,'كشف الحساب'!$N$4:$N$353,0),0))),"")</f>
        <v/>
      </c>
      <c r="H61" s="64" t="str">
        <f>IFERROR(IF(IFERROR(MATCH(57,'كشف الحساب'!$N$4:$N$353,0),0)=0,"",INDEX('كشف الحساب'!$H$4:$H$353,IFERROR(MATCH(57,'كشف الحساب'!$N$4:$N$353,0),0))),"")</f>
        <v/>
      </c>
      <c r="I61" s="64" t="str">
        <f>IFERROR(IF(IFERROR(MATCH(57,'كشف الحساب'!$N$4:$N$353,0),0)=0,"",INDEX('كشف الحساب'!$I$4:$I$353,IFERROR(MATCH(57,'كشف الحساب'!$N$4:$N$353,0),0))),"")</f>
        <v/>
      </c>
      <c r="J61" s="68" t="str">
        <f>IFERROR(IF(IFERROR(MATCH(57,'كشف الحساب'!$N$4:$N$353,0),0)=0,"",INDEX('كشف الحساب'!$J$4:$J$353,IFERROR(MATCH(57,'كشف الحساب'!$N$4:$N$353,0),0))),"")</f>
        <v/>
      </c>
      <c r="K61" s="64" t="str">
        <f>IFERROR(IF(IFERROR(MATCH(57,'كشف الحساب'!$N$4:$N$353,0),0)=0,"",INDEX('كشف الحساب'!$K$4:$K$353,IFERROR(MATCH(57,'كشف الحساب'!$N$4:$N$353,0),0))),"")</f>
        <v/>
      </c>
    </row>
    <row r="62" spans="1:11" ht="15" customHeight="1" x14ac:dyDescent="0.25">
      <c r="A62" s="69" t="str">
        <f>IFERROR(IF(IFERROR(MATCH(58,'كشف الحساب'!$N$4:$N$353,0),0)=0,"",INDEX('كشف الحساب'!$A$4:$A$353,IFERROR(MATCH(58,'كشف الحساب'!$N$4:$N$353,0),0))),"")</f>
        <v/>
      </c>
      <c r="B62" s="70" t="str">
        <f>IFERROR(IF(IFERROR(MATCH(58,'كشف الحساب'!$N$4:$N$353,0),0)=0,"",INDEX('كشف الحساب'!$B$4:$B$353,IFERROR(MATCH(58,'كشف الحساب'!$N$4:$N$353,0),0))),"")</f>
        <v/>
      </c>
      <c r="C62" s="71" t="str">
        <f>IFERROR(IF(IFERROR(MATCH(58,'كشف الحساب'!$N$4:$N$353,0),0)=0,"",INDEX('كشف الحساب'!$C$4:$C$353,IFERROR(MATCH(58,'كشف الحساب'!$N$4:$N$353,0),0))),"")</f>
        <v/>
      </c>
      <c r="D62" s="72" t="str">
        <f>IFERROR(IF(IFERROR(MATCH(58,'كشف الحساب'!$N$4:$N$353,0),0)=0,"",INDEX('كشف الحساب'!$D$4:$D$353,IFERROR(MATCH(58,'كشف الحساب'!$N$4:$N$353,0),0))),"")</f>
        <v/>
      </c>
      <c r="E62" s="73" t="str">
        <f>IFERROR(IF(IFERROR(MATCH(58,'كشف الحساب'!$N$4:$N$353,0),0)=0,"",INDEX('كشف الحساب'!$E$4:$E$353,IFERROR(MATCH(58,'كشف الحساب'!$N$4:$N$353,0),0))),"")</f>
        <v/>
      </c>
      <c r="F62" s="70" t="str">
        <f>IFERROR(IF(IFERROR(MATCH(58,'كشف الحساب'!$N$4:$N$353,0),0)=0,"",INDEX('كشف الحساب'!$F$4:$F$353,IFERROR(MATCH(58,'كشف الحساب'!$N$4:$N$353,0),0))),"")</f>
        <v/>
      </c>
      <c r="G62" s="70" t="str">
        <f>IFERROR(IF(IFERROR(MATCH(58,'كشف الحساب'!$N$4:$N$353,0),0)=0,"",INDEX('كشف الحساب'!$G$4:$G$353,IFERROR(MATCH(58,'كشف الحساب'!$N$4:$N$353,0),0))),"")</f>
        <v/>
      </c>
      <c r="H62" s="70" t="str">
        <f>IFERROR(IF(IFERROR(MATCH(58,'كشف الحساب'!$N$4:$N$353,0),0)=0,"",INDEX('كشف الحساب'!$H$4:$H$353,IFERROR(MATCH(58,'كشف الحساب'!$N$4:$N$353,0),0))),"")</f>
        <v/>
      </c>
      <c r="I62" s="70" t="str">
        <f>IFERROR(IF(IFERROR(MATCH(58,'كشف الحساب'!$N$4:$N$353,0),0)=0,"",INDEX('كشف الحساب'!$I$4:$I$353,IFERROR(MATCH(58,'كشف الحساب'!$N$4:$N$353,0),0))),"")</f>
        <v/>
      </c>
      <c r="J62" s="74" t="str">
        <f>IFERROR(IF(IFERROR(MATCH(58,'كشف الحساب'!$N$4:$N$353,0),0)=0,"",INDEX('كشف الحساب'!$J$4:$J$353,IFERROR(MATCH(58,'كشف الحساب'!$N$4:$N$353,0),0))),"")</f>
        <v/>
      </c>
      <c r="K62" s="70" t="str">
        <f>IFERROR(IF(IFERROR(MATCH(58,'كشف الحساب'!$N$4:$N$353,0),0)=0,"",INDEX('كشف الحساب'!$K$4:$K$353,IFERROR(MATCH(58,'كشف الحساب'!$N$4:$N$353,0),0))),"")</f>
        <v/>
      </c>
    </row>
    <row r="63" spans="1:11" ht="15" customHeight="1" x14ac:dyDescent="0.25">
      <c r="A63" s="63" t="str">
        <f>IFERROR(IF(IFERROR(MATCH(59,'كشف الحساب'!$N$4:$N$353,0),0)=0,"",INDEX('كشف الحساب'!$A$4:$A$353,IFERROR(MATCH(59,'كشف الحساب'!$N$4:$N$353,0),0))),"")</f>
        <v/>
      </c>
      <c r="B63" s="64" t="str">
        <f>IFERROR(IF(IFERROR(MATCH(59,'كشف الحساب'!$N$4:$N$353,0),0)=0,"",INDEX('كشف الحساب'!$B$4:$B$353,IFERROR(MATCH(59,'كشف الحساب'!$N$4:$N$353,0),0))),"")</f>
        <v/>
      </c>
      <c r="C63" s="65" t="str">
        <f>IFERROR(IF(IFERROR(MATCH(59,'كشف الحساب'!$N$4:$N$353,0),0)=0,"",INDEX('كشف الحساب'!$C$4:$C$353,IFERROR(MATCH(59,'كشف الحساب'!$N$4:$N$353,0),0))),"")</f>
        <v/>
      </c>
      <c r="D63" s="66" t="str">
        <f>IFERROR(IF(IFERROR(MATCH(59,'كشف الحساب'!$N$4:$N$353,0),0)=0,"",INDEX('كشف الحساب'!$D$4:$D$353,IFERROR(MATCH(59,'كشف الحساب'!$N$4:$N$353,0),0))),"")</f>
        <v/>
      </c>
      <c r="E63" s="67" t="str">
        <f>IFERROR(IF(IFERROR(MATCH(59,'كشف الحساب'!$N$4:$N$353,0),0)=0,"",INDEX('كشف الحساب'!$E$4:$E$353,IFERROR(MATCH(59,'كشف الحساب'!$N$4:$N$353,0),0))),"")</f>
        <v/>
      </c>
      <c r="F63" s="64" t="str">
        <f>IFERROR(IF(IFERROR(MATCH(59,'كشف الحساب'!$N$4:$N$353,0),0)=0,"",INDEX('كشف الحساب'!$F$4:$F$353,IFERROR(MATCH(59,'كشف الحساب'!$N$4:$N$353,0),0))),"")</f>
        <v/>
      </c>
      <c r="G63" s="64" t="str">
        <f>IFERROR(IF(IFERROR(MATCH(59,'كشف الحساب'!$N$4:$N$353,0),0)=0,"",INDEX('كشف الحساب'!$G$4:$G$353,IFERROR(MATCH(59,'كشف الحساب'!$N$4:$N$353,0),0))),"")</f>
        <v/>
      </c>
      <c r="H63" s="64" t="str">
        <f>IFERROR(IF(IFERROR(MATCH(59,'كشف الحساب'!$N$4:$N$353,0),0)=0,"",INDEX('كشف الحساب'!$H$4:$H$353,IFERROR(MATCH(59,'كشف الحساب'!$N$4:$N$353,0),0))),"")</f>
        <v/>
      </c>
      <c r="I63" s="64" t="str">
        <f>IFERROR(IF(IFERROR(MATCH(59,'كشف الحساب'!$N$4:$N$353,0),0)=0,"",INDEX('كشف الحساب'!$I$4:$I$353,IFERROR(MATCH(59,'كشف الحساب'!$N$4:$N$353,0),0))),"")</f>
        <v/>
      </c>
      <c r="J63" s="68" t="str">
        <f>IFERROR(IF(IFERROR(MATCH(59,'كشف الحساب'!$N$4:$N$353,0),0)=0,"",INDEX('كشف الحساب'!$J$4:$J$353,IFERROR(MATCH(59,'كشف الحساب'!$N$4:$N$353,0),0))),"")</f>
        <v/>
      </c>
      <c r="K63" s="64" t="str">
        <f>IFERROR(IF(IFERROR(MATCH(59,'كشف الحساب'!$N$4:$N$353,0),0)=0,"",INDEX('كشف الحساب'!$K$4:$K$353,IFERROR(MATCH(59,'كشف الحساب'!$N$4:$N$353,0),0))),"")</f>
        <v/>
      </c>
    </row>
    <row r="64" spans="1:11" ht="15" customHeight="1" x14ac:dyDescent="0.25">
      <c r="A64" s="69" t="str">
        <f>IFERROR(IF(IFERROR(MATCH(60,'كشف الحساب'!$N$4:$N$353,0),0)=0,"",INDEX('كشف الحساب'!$A$4:$A$353,IFERROR(MATCH(60,'كشف الحساب'!$N$4:$N$353,0),0))),"")</f>
        <v/>
      </c>
      <c r="B64" s="70" t="str">
        <f>IFERROR(IF(IFERROR(MATCH(60,'كشف الحساب'!$N$4:$N$353,0),0)=0,"",INDEX('كشف الحساب'!$B$4:$B$353,IFERROR(MATCH(60,'كشف الحساب'!$N$4:$N$353,0),0))),"")</f>
        <v/>
      </c>
      <c r="C64" s="71" t="str">
        <f>IFERROR(IF(IFERROR(MATCH(60,'كشف الحساب'!$N$4:$N$353,0),0)=0,"",INDEX('كشف الحساب'!$C$4:$C$353,IFERROR(MATCH(60,'كشف الحساب'!$N$4:$N$353,0),0))),"")</f>
        <v/>
      </c>
      <c r="D64" s="72" t="str">
        <f>IFERROR(IF(IFERROR(MATCH(60,'كشف الحساب'!$N$4:$N$353,0),0)=0,"",INDEX('كشف الحساب'!$D$4:$D$353,IFERROR(MATCH(60,'كشف الحساب'!$N$4:$N$353,0),0))),"")</f>
        <v/>
      </c>
      <c r="E64" s="73" t="str">
        <f>IFERROR(IF(IFERROR(MATCH(60,'كشف الحساب'!$N$4:$N$353,0),0)=0,"",INDEX('كشف الحساب'!$E$4:$E$353,IFERROR(MATCH(60,'كشف الحساب'!$N$4:$N$353,0),0))),"")</f>
        <v/>
      </c>
      <c r="F64" s="70" t="str">
        <f>IFERROR(IF(IFERROR(MATCH(60,'كشف الحساب'!$N$4:$N$353,0),0)=0,"",INDEX('كشف الحساب'!$F$4:$F$353,IFERROR(MATCH(60,'كشف الحساب'!$N$4:$N$353,0),0))),"")</f>
        <v/>
      </c>
      <c r="G64" s="70" t="str">
        <f>IFERROR(IF(IFERROR(MATCH(60,'كشف الحساب'!$N$4:$N$353,0),0)=0,"",INDEX('كشف الحساب'!$G$4:$G$353,IFERROR(MATCH(60,'كشف الحساب'!$N$4:$N$353,0),0))),"")</f>
        <v/>
      </c>
      <c r="H64" s="70" t="str">
        <f>IFERROR(IF(IFERROR(MATCH(60,'كشف الحساب'!$N$4:$N$353,0),0)=0,"",INDEX('كشف الحساب'!$H$4:$H$353,IFERROR(MATCH(60,'كشف الحساب'!$N$4:$N$353,0),0))),"")</f>
        <v/>
      </c>
      <c r="I64" s="70" t="str">
        <f>IFERROR(IF(IFERROR(MATCH(60,'كشف الحساب'!$N$4:$N$353,0),0)=0,"",INDEX('كشف الحساب'!$I$4:$I$353,IFERROR(MATCH(60,'كشف الحساب'!$N$4:$N$353,0),0))),"")</f>
        <v/>
      </c>
      <c r="J64" s="74" t="str">
        <f>IFERROR(IF(IFERROR(MATCH(60,'كشف الحساب'!$N$4:$N$353,0),0)=0,"",INDEX('كشف الحساب'!$J$4:$J$353,IFERROR(MATCH(60,'كشف الحساب'!$N$4:$N$353,0),0))),"")</f>
        <v/>
      </c>
      <c r="K64" s="70" t="str">
        <f>IFERROR(IF(IFERROR(MATCH(60,'كشف الحساب'!$N$4:$N$353,0),0)=0,"",INDEX('كشف الحساب'!$K$4:$K$353,IFERROR(MATCH(60,'كشف الحساب'!$N$4:$N$353,0),0))),"")</f>
        <v/>
      </c>
    </row>
    <row r="65" spans="1:11" ht="15" customHeight="1" x14ac:dyDescent="0.25">
      <c r="A65" s="63" t="str">
        <f>IFERROR(IF(IFERROR(MATCH(61,'كشف الحساب'!$N$4:$N$353,0),0)=0,"",INDEX('كشف الحساب'!$A$4:$A$353,IFERROR(MATCH(61,'كشف الحساب'!$N$4:$N$353,0),0))),"")</f>
        <v/>
      </c>
      <c r="B65" s="64" t="str">
        <f>IFERROR(IF(IFERROR(MATCH(61,'كشف الحساب'!$N$4:$N$353,0),0)=0,"",INDEX('كشف الحساب'!$B$4:$B$353,IFERROR(MATCH(61,'كشف الحساب'!$N$4:$N$353,0),0))),"")</f>
        <v/>
      </c>
      <c r="C65" s="65" t="str">
        <f>IFERROR(IF(IFERROR(MATCH(61,'كشف الحساب'!$N$4:$N$353,0),0)=0,"",INDEX('كشف الحساب'!$C$4:$C$353,IFERROR(MATCH(61,'كشف الحساب'!$N$4:$N$353,0),0))),"")</f>
        <v/>
      </c>
      <c r="D65" s="66" t="str">
        <f>IFERROR(IF(IFERROR(MATCH(61,'كشف الحساب'!$N$4:$N$353,0),0)=0,"",INDEX('كشف الحساب'!$D$4:$D$353,IFERROR(MATCH(61,'كشف الحساب'!$N$4:$N$353,0),0))),"")</f>
        <v/>
      </c>
      <c r="E65" s="67" t="str">
        <f>IFERROR(IF(IFERROR(MATCH(61,'كشف الحساب'!$N$4:$N$353,0),0)=0,"",INDEX('كشف الحساب'!$E$4:$E$353,IFERROR(MATCH(61,'كشف الحساب'!$N$4:$N$353,0),0))),"")</f>
        <v/>
      </c>
      <c r="F65" s="64" t="str">
        <f>IFERROR(IF(IFERROR(MATCH(61,'كشف الحساب'!$N$4:$N$353,0),0)=0,"",INDEX('كشف الحساب'!$F$4:$F$353,IFERROR(MATCH(61,'كشف الحساب'!$N$4:$N$353,0),0))),"")</f>
        <v/>
      </c>
      <c r="G65" s="64" t="str">
        <f>IFERROR(IF(IFERROR(MATCH(61,'كشف الحساب'!$N$4:$N$353,0),0)=0,"",INDEX('كشف الحساب'!$G$4:$G$353,IFERROR(MATCH(61,'كشف الحساب'!$N$4:$N$353,0),0))),"")</f>
        <v/>
      </c>
      <c r="H65" s="64" t="str">
        <f>IFERROR(IF(IFERROR(MATCH(61,'كشف الحساب'!$N$4:$N$353,0),0)=0,"",INDEX('كشف الحساب'!$H$4:$H$353,IFERROR(MATCH(61,'كشف الحساب'!$N$4:$N$353,0),0))),"")</f>
        <v/>
      </c>
      <c r="I65" s="64" t="str">
        <f>IFERROR(IF(IFERROR(MATCH(61,'كشف الحساب'!$N$4:$N$353,0),0)=0,"",INDEX('كشف الحساب'!$I$4:$I$353,IFERROR(MATCH(61,'كشف الحساب'!$N$4:$N$353,0),0))),"")</f>
        <v/>
      </c>
      <c r="J65" s="68" t="str">
        <f>IFERROR(IF(IFERROR(MATCH(61,'كشف الحساب'!$N$4:$N$353,0),0)=0,"",INDEX('كشف الحساب'!$J$4:$J$353,IFERROR(MATCH(61,'كشف الحساب'!$N$4:$N$353,0),0))),"")</f>
        <v/>
      </c>
      <c r="K65" s="64" t="str">
        <f>IFERROR(IF(IFERROR(MATCH(61,'كشف الحساب'!$N$4:$N$353,0),0)=0,"",INDEX('كشف الحساب'!$K$4:$K$353,IFERROR(MATCH(61,'كشف الحساب'!$N$4:$N$353,0),0))),"")</f>
        <v/>
      </c>
    </row>
    <row r="66" spans="1:11" ht="15" customHeight="1" x14ac:dyDescent="0.25">
      <c r="A66" s="69" t="str">
        <f>IFERROR(IF(IFERROR(MATCH(62,'كشف الحساب'!$N$4:$N$353,0),0)=0,"",INDEX('كشف الحساب'!$A$4:$A$353,IFERROR(MATCH(62,'كشف الحساب'!$N$4:$N$353,0),0))),"")</f>
        <v/>
      </c>
      <c r="B66" s="70" t="str">
        <f>IFERROR(IF(IFERROR(MATCH(62,'كشف الحساب'!$N$4:$N$353,0),0)=0,"",INDEX('كشف الحساب'!$B$4:$B$353,IFERROR(MATCH(62,'كشف الحساب'!$N$4:$N$353,0),0))),"")</f>
        <v/>
      </c>
      <c r="C66" s="71" t="str">
        <f>IFERROR(IF(IFERROR(MATCH(62,'كشف الحساب'!$N$4:$N$353,0),0)=0,"",INDEX('كشف الحساب'!$C$4:$C$353,IFERROR(MATCH(62,'كشف الحساب'!$N$4:$N$353,0),0))),"")</f>
        <v/>
      </c>
      <c r="D66" s="72" t="str">
        <f>IFERROR(IF(IFERROR(MATCH(62,'كشف الحساب'!$N$4:$N$353,0),0)=0,"",INDEX('كشف الحساب'!$D$4:$D$353,IFERROR(MATCH(62,'كشف الحساب'!$N$4:$N$353,0),0))),"")</f>
        <v/>
      </c>
      <c r="E66" s="73" t="str">
        <f>IFERROR(IF(IFERROR(MATCH(62,'كشف الحساب'!$N$4:$N$353,0),0)=0,"",INDEX('كشف الحساب'!$E$4:$E$353,IFERROR(MATCH(62,'كشف الحساب'!$N$4:$N$353,0),0))),"")</f>
        <v/>
      </c>
      <c r="F66" s="70" t="str">
        <f>IFERROR(IF(IFERROR(MATCH(62,'كشف الحساب'!$N$4:$N$353,0),0)=0,"",INDEX('كشف الحساب'!$F$4:$F$353,IFERROR(MATCH(62,'كشف الحساب'!$N$4:$N$353,0),0))),"")</f>
        <v/>
      </c>
      <c r="G66" s="70" t="str">
        <f>IFERROR(IF(IFERROR(MATCH(62,'كشف الحساب'!$N$4:$N$353,0),0)=0,"",INDEX('كشف الحساب'!$G$4:$G$353,IFERROR(MATCH(62,'كشف الحساب'!$N$4:$N$353,0),0))),"")</f>
        <v/>
      </c>
      <c r="H66" s="70" t="str">
        <f>IFERROR(IF(IFERROR(MATCH(62,'كشف الحساب'!$N$4:$N$353,0),0)=0,"",INDEX('كشف الحساب'!$H$4:$H$353,IFERROR(MATCH(62,'كشف الحساب'!$N$4:$N$353,0),0))),"")</f>
        <v/>
      </c>
      <c r="I66" s="70" t="str">
        <f>IFERROR(IF(IFERROR(MATCH(62,'كشف الحساب'!$N$4:$N$353,0),0)=0,"",INDEX('كشف الحساب'!$I$4:$I$353,IFERROR(MATCH(62,'كشف الحساب'!$N$4:$N$353,0),0))),"")</f>
        <v/>
      </c>
      <c r="J66" s="74" t="str">
        <f>IFERROR(IF(IFERROR(MATCH(62,'كشف الحساب'!$N$4:$N$353,0),0)=0,"",INDEX('كشف الحساب'!$J$4:$J$353,IFERROR(MATCH(62,'كشف الحساب'!$N$4:$N$353,0),0))),"")</f>
        <v/>
      </c>
      <c r="K66" s="70" t="str">
        <f>IFERROR(IF(IFERROR(MATCH(62,'كشف الحساب'!$N$4:$N$353,0),0)=0,"",INDEX('كشف الحساب'!$K$4:$K$353,IFERROR(MATCH(62,'كشف الحساب'!$N$4:$N$353,0),0))),"")</f>
        <v/>
      </c>
    </row>
    <row r="67" spans="1:11" ht="15" customHeight="1" x14ac:dyDescent="0.25">
      <c r="A67" s="63" t="str">
        <f>IFERROR(IF(IFERROR(MATCH(63,'كشف الحساب'!$N$4:$N$353,0),0)=0,"",INDEX('كشف الحساب'!$A$4:$A$353,IFERROR(MATCH(63,'كشف الحساب'!$N$4:$N$353,0),0))),"")</f>
        <v/>
      </c>
      <c r="B67" s="64" t="str">
        <f>IFERROR(IF(IFERROR(MATCH(63,'كشف الحساب'!$N$4:$N$353,0),0)=0,"",INDEX('كشف الحساب'!$B$4:$B$353,IFERROR(MATCH(63,'كشف الحساب'!$N$4:$N$353,0),0))),"")</f>
        <v/>
      </c>
      <c r="C67" s="65" t="str">
        <f>IFERROR(IF(IFERROR(MATCH(63,'كشف الحساب'!$N$4:$N$353,0),0)=0,"",INDEX('كشف الحساب'!$C$4:$C$353,IFERROR(MATCH(63,'كشف الحساب'!$N$4:$N$353,0),0))),"")</f>
        <v/>
      </c>
      <c r="D67" s="66" t="str">
        <f>IFERROR(IF(IFERROR(MATCH(63,'كشف الحساب'!$N$4:$N$353,0),0)=0,"",INDEX('كشف الحساب'!$D$4:$D$353,IFERROR(MATCH(63,'كشف الحساب'!$N$4:$N$353,0),0))),"")</f>
        <v/>
      </c>
      <c r="E67" s="67" t="str">
        <f>IFERROR(IF(IFERROR(MATCH(63,'كشف الحساب'!$N$4:$N$353,0),0)=0,"",INDEX('كشف الحساب'!$E$4:$E$353,IFERROR(MATCH(63,'كشف الحساب'!$N$4:$N$353,0),0))),"")</f>
        <v/>
      </c>
      <c r="F67" s="64" t="str">
        <f>IFERROR(IF(IFERROR(MATCH(63,'كشف الحساب'!$N$4:$N$353,0),0)=0,"",INDEX('كشف الحساب'!$F$4:$F$353,IFERROR(MATCH(63,'كشف الحساب'!$N$4:$N$353,0),0))),"")</f>
        <v/>
      </c>
      <c r="G67" s="64" t="str">
        <f>IFERROR(IF(IFERROR(MATCH(63,'كشف الحساب'!$N$4:$N$353,0),0)=0,"",INDEX('كشف الحساب'!$G$4:$G$353,IFERROR(MATCH(63,'كشف الحساب'!$N$4:$N$353,0),0))),"")</f>
        <v/>
      </c>
      <c r="H67" s="64" t="str">
        <f>IFERROR(IF(IFERROR(MATCH(63,'كشف الحساب'!$N$4:$N$353,0),0)=0,"",INDEX('كشف الحساب'!$H$4:$H$353,IFERROR(MATCH(63,'كشف الحساب'!$N$4:$N$353,0),0))),"")</f>
        <v/>
      </c>
      <c r="I67" s="64" t="str">
        <f>IFERROR(IF(IFERROR(MATCH(63,'كشف الحساب'!$N$4:$N$353,0),0)=0,"",INDEX('كشف الحساب'!$I$4:$I$353,IFERROR(MATCH(63,'كشف الحساب'!$N$4:$N$353,0),0))),"")</f>
        <v/>
      </c>
      <c r="J67" s="68" t="str">
        <f>IFERROR(IF(IFERROR(MATCH(63,'كشف الحساب'!$N$4:$N$353,0),0)=0,"",INDEX('كشف الحساب'!$J$4:$J$353,IFERROR(MATCH(63,'كشف الحساب'!$N$4:$N$353,0),0))),"")</f>
        <v/>
      </c>
      <c r="K67" s="64" t="str">
        <f>IFERROR(IF(IFERROR(MATCH(63,'كشف الحساب'!$N$4:$N$353,0),0)=0,"",INDEX('كشف الحساب'!$K$4:$K$353,IFERROR(MATCH(63,'كشف الحساب'!$N$4:$N$353,0),0))),"")</f>
        <v/>
      </c>
    </row>
    <row r="68" spans="1:11" ht="15" customHeight="1" x14ac:dyDescent="0.25">
      <c r="A68" s="69" t="str">
        <f>IFERROR(IF(IFERROR(MATCH(64,'كشف الحساب'!$N$4:$N$353,0),0)=0,"",INDEX('كشف الحساب'!$A$4:$A$353,IFERROR(MATCH(64,'كشف الحساب'!$N$4:$N$353,0),0))),"")</f>
        <v/>
      </c>
      <c r="B68" s="70" t="str">
        <f>IFERROR(IF(IFERROR(MATCH(64,'كشف الحساب'!$N$4:$N$353,0),0)=0,"",INDEX('كشف الحساب'!$B$4:$B$353,IFERROR(MATCH(64,'كشف الحساب'!$N$4:$N$353,0),0))),"")</f>
        <v/>
      </c>
      <c r="C68" s="71" t="str">
        <f>IFERROR(IF(IFERROR(MATCH(64,'كشف الحساب'!$N$4:$N$353,0),0)=0,"",INDEX('كشف الحساب'!$C$4:$C$353,IFERROR(MATCH(64,'كشف الحساب'!$N$4:$N$353,0),0))),"")</f>
        <v/>
      </c>
      <c r="D68" s="72" t="str">
        <f>IFERROR(IF(IFERROR(MATCH(64,'كشف الحساب'!$N$4:$N$353,0),0)=0,"",INDEX('كشف الحساب'!$D$4:$D$353,IFERROR(MATCH(64,'كشف الحساب'!$N$4:$N$353,0),0))),"")</f>
        <v/>
      </c>
      <c r="E68" s="73" t="str">
        <f>IFERROR(IF(IFERROR(MATCH(64,'كشف الحساب'!$N$4:$N$353,0),0)=0,"",INDEX('كشف الحساب'!$E$4:$E$353,IFERROR(MATCH(64,'كشف الحساب'!$N$4:$N$353,0),0))),"")</f>
        <v/>
      </c>
      <c r="F68" s="70" t="str">
        <f>IFERROR(IF(IFERROR(MATCH(64,'كشف الحساب'!$N$4:$N$353,0),0)=0,"",INDEX('كشف الحساب'!$F$4:$F$353,IFERROR(MATCH(64,'كشف الحساب'!$N$4:$N$353,0),0))),"")</f>
        <v/>
      </c>
      <c r="G68" s="70" t="str">
        <f>IFERROR(IF(IFERROR(MATCH(64,'كشف الحساب'!$N$4:$N$353,0),0)=0,"",INDEX('كشف الحساب'!$G$4:$G$353,IFERROR(MATCH(64,'كشف الحساب'!$N$4:$N$353,0),0))),"")</f>
        <v/>
      </c>
      <c r="H68" s="70" t="str">
        <f>IFERROR(IF(IFERROR(MATCH(64,'كشف الحساب'!$N$4:$N$353,0),0)=0,"",INDEX('كشف الحساب'!$H$4:$H$353,IFERROR(MATCH(64,'كشف الحساب'!$N$4:$N$353,0),0))),"")</f>
        <v/>
      </c>
      <c r="I68" s="70" t="str">
        <f>IFERROR(IF(IFERROR(MATCH(64,'كشف الحساب'!$N$4:$N$353,0),0)=0,"",INDEX('كشف الحساب'!$I$4:$I$353,IFERROR(MATCH(64,'كشف الحساب'!$N$4:$N$353,0),0))),"")</f>
        <v/>
      </c>
      <c r="J68" s="74" t="str">
        <f>IFERROR(IF(IFERROR(MATCH(64,'كشف الحساب'!$N$4:$N$353,0),0)=0,"",INDEX('كشف الحساب'!$J$4:$J$353,IFERROR(MATCH(64,'كشف الحساب'!$N$4:$N$353,0),0))),"")</f>
        <v/>
      </c>
      <c r="K68" s="70" t="str">
        <f>IFERROR(IF(IFERROR(MATCH(64,'كشف الحساب'!$N$4:$N$353,0),0)=0,"",INDEX('كشف الحساب'!$K$4:$K$353,IFERROR(MATCH(64,'كشف الحساب'!$N$4:$N$353,0),0))),"")</f>
        <v/>
      </c>
    </row>
    <row r="69" spans="1:11" ht="15" customHeight="1" x14ac:dyDescent="0.25">
      <c r="A69" s="63" t="str">
        <f>IFERROR(IF(IFERROR(MATCH(65,'كشف الحساب'!$N$4:$N$353,0),0)=0,"",INDEX('كشف الحساب'!$A$4:$A$353,IFERROR(MATCH(65,'كشف الحساب'!$N$4:$N$353,0),0))),"")</f>
        <v/>
      </c>
      <c r="B69" s="64" t="str">
        <f>IFERROR(IF(IFERROR(MATCH(65,'كشف الحساب'!$N$4:$N$353,0),0)=0,"",INDEX('كشف الحساب'!$B$4:$B$353,IFERROR(MATCH(65,'كشف الحساب'!$N$4:$N$353,0),0))),"")</f>
        <v/>
      </c>
      <c r="C69" s="65" t="str">
        <f>IFERROR(IF(IFERROR(MATCH(65,'كشف الحساب'!$N$4:$N$353,0),0)=0,"",INDEX('كشف الحساب'!$C$4:$C$353,IFERROR(MATCH(65,'كشف الحساب'!$N$4:$N$353,0),0))),"")</f>
        <v/>
      </c>
      <c r="D69" s="66" t="str">
        <f>IFERROR(IF(IFERROR(MATCH(65,'كشف الحساب'!$N$4:$N$353,0),0)=0,"",INDEX('كشف الحساب'!$D$4:$D$353,IFERROR(MATCH(65,'كشف الحساب'!$N$4:$N$353,0),0))),"")</f>
        <v/>
      </c>
      <c r="E69" s="67" t="str">
        <f>IFERROR(IF(IFERROR(MATCH(65,'كشف الحساب'!$N$4:$N$353,0),0)=0,"",INDEX('كشف الحساب'!$E$4:$E$353,IFERROR(MATCH(65,'كشف الحساب'!$N$4:$N$353,0),0))),"")</f>
        <v/>
      </c>
      <c r="F69" s="64" t="str">
        <f>IFERROR(IF(IFERROR(MATCH(65,'كشف الحساب'!$N$4:$N$353,0),0)=0,"",INDEX('كشف الحساب'!$F$4:$F$353,IFERROR(MATCH(65,'كشف الحساب'!$N$4:$N$353,0),0))),"")</f>
        <v/>
      </c>
      <c r="G69" s="64" t="str">
        <f>IFERROR(IF(IFERROR(MATCH(65,'كشف الحساب'!$N$4:$N$353,0),0)=0,"",INDEX('كشف الحساب'!$G$4:$G$353,IFERROR(MATCH(65,'كشف الحساب'!$N$4:$N$353,0),0))),"")</f>
        <v/>
      </c>
      <c r="H69" s="64" t="str">
        <f>IFERROR(IF(IFERROR(MATCH(65,'كشف الحساب'!$N$4:$N$353,0),0)=0,"",INDEX('كشف الحساب'!$H$4:$H$353,IFERROR(MATCH(65,'كشف الحساب'!$N$4:$N$353,0),0))),"")</f>
        <v/>
      </c>
      <c r="I69" s="64" t="str">
        <f>IFERROR(IF(IFERROR(MATCH(65,'كشف الحساب'!$N$4:$N$353,0),0)=0,"",INDEX('كشف الحساب'!$I$4:$I$353,IFERROR(MATCH(65,'كشف الحساب'!$N$4:$N$353,0),0))),"")</f>
        <v/>
      </c>
      <c r="J69" s="68" t="str">
        <f>IFERROR(IF(IFERROR(MATCH(65,'كشف الحساب'!$N$4:$N$353,0),0)=0,"",INDEX('كشف الحساب'!$J$4:$J$353,IFERROR(MATCH(65,'كشف الحساب'!$N$4:$N$353,0),0))),"")</f>
        <v/>
      </c>
      <c r="K69" s="64" t="str">
        <f>IFERROR(IF(IFERROR(MATCH(65,'كشف الحساب'!$N$4:$N$353,0),0)=0,"",INDEX('كشف الحساب'!$K$4:$K$353,IFERROR(MATCH(65,'كشف الحساب'!$N$4:$N$353,0),0))),"")</f>
        <v/>
      </c>
    </row>
    <row r="70" spans="1:11" ht="15" customHeight="1" x14ac:dyDescent="0.25">
      <c r="A70" s="69" t="str">
        <f>IFERROR(IF(IFERROR(MATCH(66,'كشف الحساب'!$N$4:$N$353,0),0)=0,"",INDEX('كشف الحساب'!$A$4:$A$353,IFERROR(MATCH(66,'كشف الحساب'!$N$4:$N$353,0),0))),"")</f>
        <v/>
      </c>
      <c r="B70" s="70" t="str">
        <f>IFERROR(IF(IFERROR(MATCH(66,'كشف الحساب'!$N$4:$N$353,0),0)=0,"",INDEX('كشف الحساب'!$B$4:$B$353,IFERROR(MATCH(66,'كشف الحساب'!$N$4:$N$353,0),0))),"")</f>
        <v/>
      </c>
      <c r="C70" s="71" t="str">
        <f>IFERROR(IF(IFERROR(MATCH(66,'كشف الحساب'!$N$4:$N$353,0),0)=0,"",INDEX('كشف الحساب'!$C$4:$C$353,IFERROR(MATCH(66,'كشف الحساب'!$N$4:$N$353,0),0))),"")</f>
        <v/>
      </c>
      <c r="D70" s="72" t="str">
        <f>IFERROR(IF(IFERROR(MATCH(66,'كشف الحساب'!$N$4:$N$353,0),0)=0,"",INDEX('كشف الحساب'!$D$4:$D$353,IFERROR(MATCH(66,'كشف الحساب'!$N$4:$N$353,0),0))),"")</f>
        <v/>
      </c>
      <c r="E70" s="73" t="str">
        <f>IFERROR(IF(IFERROR(MATCH(66,'كشف الحساب'!$N$4:$N$353,0),0)=0,"",INDEX('كشف الحساب'!$E$4:$E$353,IFERROR(MATCH(66,'كشف الحساب'!$N$4:$N$353,0),0))),"")</f>
        <v/>
      </c>
      <c r="F70" s="70" t="str">
        <f>IFERROR(IF(IFERROR(MATCH(66,'كشف الحساب'!$N$4:$N$353,0),0)=0,"",INDEX('كشف الحساب'!$F$4:$F$353,IFERROR(MATCH(66,'كشف الحساب'!$N$4:$N$353,0),0))),"")</f>
        <v/>
      </c>
      <c r="G70" s="70" t="str">
        <f>IFERROR(IF(IFERROR(MATCH(66,'كشف الحساب'!$N$4:$N$353,0),0)=0,"",INDEX('كشف الحساب'!$G$4:$G$353,IFERROR(MATCH(66,'كشف الحساب'!$N$4:$N$353,0),0))),"")</f>
        <v/>
      </c>
      <c r="H70" s="70" t="str">
        <f>IFERROR(IF(IFERROR(MATCH(66,'كشف الحساب'!$N$4:$N$353,0),0)=0,"",INDEX('كشف الحساب'!$H$4:$H$353,IFERROR(MATCH(66,'كشف الحساب'!$N$4:$N$353,0),0))),"")</f>
        <v/>
      </c>
      <c r="I70" s="70" t="str">
        <f>IFERROR(IF(IFERROR(MATCH(66,'كشف الحساب'!$N$4:$N$353,0),0)=0,"",INDEX('كشف الحساب'!$I$4:$I$353,IFERROR(MATCH(66,'كشف الحساب'!$N$4:$N$353,0),0))),"")</f>
        <v/>
      </c>
      <c r="J70" s="74" t="str">
        <f>IFERROR(IF(IFERROR(MATCH(66,'كشف الحساب'!$N$4:$N$353,0),0)=0,"",INDEX('كشف الحساب'!$J$4:$J$353,IFERROR(MATCH(66,'كشف الحساب'!$N$4:$N$353,0),0))),"")</f>
        <v/>
      </c>
      <c r="K70" s="70" t="str">
        <f>IFERROR(IF(IFERROR(MATCH(66,'كشف الحساب'!$N$4:$N$353,0),0)=0,"",INDEX('كشف الحساب'!$K$4:$K$353,IFERROR(MATCH(66,'كشف الحساب'!$N$4:$N$353,0),0))),"")</f>
        <v/>
      </c>
    </row>
    <row r="71" spans="1:11" ht="15" customHeight="1" x14ac:dyDescent="0.25">
      <c r="A71" s="63" t="str">
        <f>IFERROR(IF(IFERROR(MATCH(67,'كشف الحساب'!$N$4:$N$353,0),0)=0,"",INDEX('كشف الحساب'!$A$4:$A$353,IFERROR(MATCH(67,'كشف الحساب'!$N$4:$N$353,0),0))),"")</f>
        <v/>
      </c>
      <c r="B71" s="64" t="str">
        <f>IFERROR(IF(IFERROR(MATCH(67,'كشف الحساب'!$N$4:$N$353,0),0)=0,"",INDEX('كشف الحساب'!$B$4:$B$353,IFERROR(MATCH(67,'كشف الحساب'!$N$4:$N$353,0),0))),"")</f>
        <v/>
      </c>
      <c r="C71" s="65" t="str">
        <f>IFERROR(IF(IFERROR(MATCH(67,'كشف الحساب'!$N$4:$N$353,0),0)=0,"",INDEX('كشف الحساب'!$C$4:$C$353,IFERROR(MATCH(67,'كشف الحساب'!$N$4:$N$353,0),0))),"")</f>
        <v/>
      </c>
      <c r="D71" s="66" t="str">
        <f>IFERROR(IF(IFERROR(MATCH(67,'كشف الحساب'!$N$4:$N$353,0),0)=0,"",INDEX('كشف الحساب'!$D$4:$D$353,IFERROR(MATCH(67,'كشف الحساب'!$N$4:$N$353,0),0))),"")</f>
        <v/>
      </c>
      <c r="E71" s="67" t="str">
        <f>IFERROR(IF(IFERROR(MATCH(67,'كشف الحساب'!$N$4:$N$353,0),0)=0,"",INDEX('كشف الحساب'!$E$4:$E$353,IFERROR(MATCH(67,'كشف الحساب'!$N$4:$N$353,0),0))),"")</f>
        <v/>
      </c>
      <c r="F71" s="64" t="str">
        <f>IFERROR(IF(IFERROR(MATCH(67,'كشف الحساب'!$N$4:$N$353,0),0)=0,"",INDEX('كشف الحساب'!$F$4:$F$353,IFERROR(MATCH(67,'كشف الحساب'!$N$4:$N$353,0),0))),"")</f>
        <v/>
      </c>
      <c r="G71" s="64" t="str">
        <f>IFERROR(IF(IFERROR(MATCH(67,'كشف الحساب'!$N$4:$N$353,0),0)=0,"",INDEX('كشف الحساب'!$G$4:$G$353,IFERROR(MATCH(67,'كشف الحساب'!$N$4:$N$353,0),0))),"")</f>
        <v/>
      </c>
      <c r="H71" s="64" t="str">
        <f>IFERROR(IF(IFERROR(MATCH(67,'كشف الحساب'!$N$4:$N$353,0),0)=0,"",INDEX('كشف الحساب'!$H$4:$H$353,IFERROR(MATCH(67,'كشف الحساب'!$N$4:$N$353,0),0))),"")</f>
        <v/>
      </c>
      <c r="I71" s="64" t="str">
        <f>IFERROR(IF(IFERROR(MATCH(67,'كشف الحساب'!$N$4:$N$353,0),0)=0,"",INDEX('كشف الحساب'!$I$4:$I$353,IFERROR(MATCH(67,'كشف الحساب'!$N$4:$N$353,0),0))),"")</f>
        <v/>
      </c>
      <c r="J71" s="68" t="str">
        <f>IFERROR(IF(IFERROR(MATCH(67,'كشف الحساب'!$N$4:$N$353,0),0)=0,"",INDEX('كشف الحساب'!$J$4:$J$353,IFERROR(MATCH(67,'كشف الحساب'!$N$4:$N$353,0),0))),"")</f>
        <v/>
      </c>
      <c r="K71" s="64" t="str">
        <f>IFERROR(IF(IFERROR(MATCH(67,'كشف الحساب'!$N$4:$N$353,0),0)=0,"",INDEX('كشف الحساب'!$K$4:$K$353,IFERROR(MATCH(67,'كشف الحساب'!$N$4:$N$353,0),0))),"")</f>
        <v/>
      </c>
    </row>
    <row r="72" spans="1:11" ht="15" customHeight="1" x14ac:dyDescent="0.25">
      <c r="A72" s="69" t="str">
        <f>IFERROR(IF(IFERROR(MATCH(68,'كشف الحساب'!$N$4:$N$353,0),0)=0,"",INDEX('كشف الحساب'!$A$4:$A$353,IFERROR(MATCH(68,'كشف الحساب'!$N$4:$N$353,0),0))),"")</f>
        <v/>
      </c>
      <c r="B72" s="70" t="str">
        <f>IFERROR(IF(IFERROR(MATCH(68,'كشف الحساب'!$N$4:$N$353,0),0)=0,"",INDEX('كشف الحساب'!$B$4:$B$353,IFERROR(MATCH(68,'كشف الحساب'!$N$4:$N$353,0),0))),"")</f>
        <v/>
      </c>
      <c r="C72" s="71" t="str">
        <f>IFERROR(IF(IFERROR(MATCH(68,'كشف الحساب'!$N$4:$N$353,0),0)=0,"",INDEX('كشف الحساب'!$C$4:$C$353,IFERROR(MATCH(68,'كشف الحساب'!$N$4:$N$353,0),0))),"")</f>
        <v/>
      </c>
      <c r="D72" s="72" t="str">
        <f>IFERROR(IF(IFERROR(MATCH(68,'كشف الحساب'!$N$4:$N$353,0),0)=0,"",INDEX('كشف الحساب'!$D$4:$D$353,IFERROR(MATCH(68,'كشف الحساب'!$N$4:$N$353,0),0))),"")</f>
        <v/>
      </c>
      <c r="E72" s="73" t="str">
        <f>IFERROR(IF(IFERROR(MATCH(68,'كشف الحساب'!$N$4:$N$353,0),0)=0,"",INDEX('كشف الحساب'!$E$4:$E$353,IFERROR(MATCH(68,'كشف الحساب'!$N$4:$N$353,0),0))),"")</f>
        <v/>
      </c>
      <c r="F72" s="70" t="str">
        <f>IFERROR(IF(IFERROR(MATCH(68,'كشف الحساب'!$N$4:$N$353,0),0)=0,"",INDEX('كشف الحساب'!$F$4:$F$353,IFERROR(MATCH(68,'كشف الحساب'!$N$4:$N$353,0),0))),"")</f>
        <v/>
      </c>
      <c r="G72" s="70" t="str">
        <f>IFERROR(IF(IFERROR(MATCH(68,'كشف الحساب'!$N$4:$N$353,0),0)=0,"",INDEX('كشف الحساب'!$G$4:$G$353,IFERROR(MATCH(68,'كشف الحساب'!$N$4:$N$353,0),0))),"")</f>
        <v/>
      </c>
      <c r="H72" s="70" t="str">
        <f>IFERROR(IF(IFERROR(MATCH(68,'كشف الحساب'!$N$4:$N$353,0),0)=0,"",INDEX('كشف الحساب'!$H$4:$H$353,IFERROR(MATCH(68,'كشف الحساب'!$N$4:$N$353,0),0))),"")</f>
        <v/>
      </c>
      <c r="I72" s="70" t="str">
        <f>IFERROR(IF(IFERROR(MATCH(68,'كشف الحساب'!$N$4:$N$353,0),0)=0,"",INDEX('كشف الحساب'!$I$4:$I$353,IFERROR(MATCH(68,'كشف الحساب'!$N$4:$N$353,0),0))),"")</f>
        <v/>
      </c>
      <c r="J72" s="74" t="str">
        <f>IFERROR(IF(IFERROR(MATCH(68,'كشف الحساب'!$N$4:$N$353,0),0)=0,"",INDEX('كشف الحساب'!$J$4:$J$353,IFERROR(MATCH(68,'كشف الحساب'!$N$4:$N$353,0),0))),"")</f>
        <v/>
      </c>
      <c r="K72" s="70" t="str">
        <f>IFERROR(IF(IFERROR(MATCH(68,'كشف الحساب'!$N$4:$N$353,0),0)=0,"",INDEX('كشف الحساب'!$K$4:$K$353,IFERROR(MATCH(68,'كشف الحساب'!$N$4:$N$353,0),0))),"")</f>
        <v/>
      </c>
    </row>
    <row r="73" spans="1:11" ht="15" customHeight="1" x14ac:dyDescent="0.25">
      <c r="A73" s="63" t="str">
        <f>IFERROR(IF(IFERROR(MATCH(69,'كشف الحساب'!$N$4:$N$353,0),0)=0,"",INDEX('كشف الحساب'!$A$4:$A$353,IFERROR(MATCH(69,'كشف الحساب'!$N$4:$N$353,0),0))),"")</f>
        <v/>
      </c>
      <c r="B73" s="64" t="str">
        <f>IFERROR(IF(IFERROR(MATCH(69,'كشف الحساب'!$N$4:$N$353,0),0)=0,"",INDEX('كشف الحساب'!$B$4:$B$353,IFERROR(MATCH(69,'كشف الحساب'!$N$4:$N$353,0),0))),"")</f>
        <v/>
      </c>
      <c r="C73" s="65" t="str">
        <f>IFERROR(IF(IFERROR(MATCH(69,'كشف الحساب'!$N$4:$N$353,0),0)=0,"",INDEX('كشف الحساب'!$C$4:$C$353,IFERROR(MATCH(69,'كشف الحساب'!$N$4:$N$353,0),0))),"")</f>
        <v/>
      </c>
      <c r="D73" s="66" t="str">
        <f>IFERROR(IF(IFERROR(MATCH(69,'كشف الحساب'!$N$4:$N$353,0),0)=0,"",INDEX('كشف الحساب'!$D$4:$D$353,IFERROR(MATCH(69,'كشف الحساب'!$N$4:$N$353,0),0))),"")</f>
        <v/>
      </c>
      <c r="E73" s="67" t="str">
        <f>IFERROR(IF(IFERROR(MATCH(69,'كشف الحساب'!$N$4:$N$353,0),0)=0,"",INDEX('كشف الحساب'!$E$4:$E$353,IFERROR(MATCH(69,'كشف الحساب'!$N$4:$N$353,0),0))),"")</f>
        <v/>
      </c>
      <c r="F73" s="64" t="str">
        <f>IFERROR(IF(IFERROR(MATCH(69,'كشف الحساب'!$N$4:$N$353,0),0)=0,"",INDEX('كشف الحساب'!$F$4:$F$353,IFERROR(MATCH(69,'كشف الحساب'!$N$4:$N$353,0),0))),"")</f>
        <v/>
      </c>
      <c r="G73" s="64" t="str">
        <f>IFERROR(IF(IFERROR(MATCH(69,'كشف الحساب'!$N$4:$N$353,0),0)=0,"",INDEX('كشف الحساب'!$G$4:$G$353,IFERROR(MATCH(69,'كشف الحساب'!$N$4:$N$353,0),0))),"")</f>
        <v/>
      </c>
      <c r="H73" s="64" t="str">
        <f>IFERROR(IF(IFERROR(MATCH(69,'كشف الحساب'!$N$4:$N$353,0),0)=0,"",INDEX('كشف الحساب'!$H$4:$H$353,IFERROR(MATCH(69,'كشف الحساب'!$N$4:$N$353,0),0))),"")</f>
        <v/>
      </c>
      <c r="I73" s="64" t="str">
        <f>IFERROR(IF(IFERROR(MATCH(69,'كشف الحساب'!$N$4:$N$353,0),0)=0,"",INDEX('كشف الحساب'!$I$4:$I$353,IFERROR(MATCH(69,'كشف الحساب'!$N$4:$N$353,0),0))),"")</f>
        <v/>
      </c>
      <c r="J73" s="68" t="str">
        <f>IFERROR(IF(IFERROR(MATCH(69,'كشف الحساب'!$N$4:$N$353,0),0)=0,"",INDEX('كشف الحساب'!$J$4:$J$353,IFERROR(MATCH(69,'كشف الحساب'!$N$4:$N$353,0),0))),"")</f>
        <v/>
      </c>
      <c r="K73" s="64" t="str">
        <f>IFERROR(IF(IFERROR(MATCH(69,'كشف الحساب'!$N$4:$N$353,0),0)=0,"",INDEX('كشف الحساب'!$K$4:$K$353,IFERROR(MATCH(69,'كشف الحساب'!$N$4:$N$353,0),0))),"")</f>
        <v/>
      </c>
    </row>
    <row r="74" spans="1:11" ht="15" customHeight="1" x14ac:dyDescent="0.25">
      <c r="A74" s="69" t="str">
        <f>IFERROR(IF(IFERROR(MATCH(70,'كشف الحساب'!$N$4:$N$353,0),0)=0,"",INDEX('كشف الحساب'!$A$4:$A$353,IFERROR(MATCH(70,'كشف الحساب'!$N$4:$N$353,0),0))),"")</f>
        <v/>
      </c>
      <c r="B74" s="70" t="str">
        <f>IFERROR(IF(IFERROR(MATCH(70,'كشف الحساب'!$N$4:$N$353,0),0)=0,"",INDEX('كشف الحساب'!$B$4:$B$353,IFERROR(MATCH(70,'كشف الحساب'!$N$4:$N$353,0),0))),"")</f>
        <v/>
      </c>
      <c r="C74" s="71" t="str">
        <f>IFERROR(IF(IFERROR(MATCH(70,'كشف الحساب'!$N$4:$N$353,0),0)=0,"",INDEX('كشف الحساب'!$C$4:$C$353,IFERROR(MATCH(70,'كشف الحساب'!$N$4:$N$353,0),0))),"")</f>
        <v/>
      </c>
      <c r="D74" s="72" t="str">
        <f>IFERROR(IF(IFERROR(MATCH(70,'كشف الحساب'!$N$4:$N$353,0),0)=0,"",INDEX('كشف الحساب'!$D$4:$D$353,IFERROR(MATCH(70,'كشف الحساب'!$N$4:$N$353,0),0))),"")</f>
        <v/>
      </c>
      <c r="E74" s="73" t="str">
        <f>IFERROR(IF(IFERROR(MATCH(70,'كشف الحساب'!$N$4:$N$353,0),0)=0,"",INDEX('كشف الحساب'!$E$4:$E$353,IFERROR(MATCH(70,'كشف الحساب'!$N$4:$N$353,0),0))),"")</f>
        <v/>
      </c>
      <c r="F74" s="70" t="str">
        <f>IFERROR(IF(IFERROR(MATCH(70,'كشف الحساب'!$N$4:$N$353,0),0)=0,"",INDEX('كشف الحساب'!$F$4:$F$353,IFERROR(MATCH(70,'كشف الحساب'!$N$4:$N$353,0),0))),"")</f>
        <v/>
      </c>
      <c r="G74" s="70" t="str">
        <f>IFERROR(IF(IFERROR(MATCH(70,'كشف الحساب'!$N$4:$N$353,0),0)=0,"",INDEX('كشف الحساب'!$G$4:$G$353,IFERROR(MATCH(70,'كشف الحساب'!$N$4:$N$353,0),0))),"")</f>
        <v/>
      </c>
      <c r="H74" s="70" t="str">
        <f>IFERROR(IF(IFERROR(MATCH(70,'كشف الحساب'!$N$4:$N$353,0),0)=0,"",INDEX('كشف الحساب'!$H$4:$H$353,IFERROR(MATCH(70,'كشف الحساب'!$N$4:$N$353,0),0))),"")</f>
        <v/>
      </c>
      <c r="I74" s="70" t="str">
        <f>IFERROR(IF(IFERROR(MATCH(70,'كشف الحساب'!$N$4:$N$353,0),0)=0,"",INDEX('كشف الحساب'!$I$4:$I$353,IFERROR(MATCH(70,'كشف الحساب'!$N$4:$N$353,0),0))),"")</f>
        <v/>
      </c>
      <c r="J74" s="74" t="str">
        <f>IFERROR(IF(IFERROR(MATCH(70,'كشف الحساب'!$N$4:$N$353,0),0)=0,"",INDEX('كشف الحساب'!$J$4:$J$353,IFERROR(MATCH(70,'كشف الحساب'!$N$4:$N$353,0),0))),"")</f>
        <v/>
      </c>
      <c r="K74" s="70" t="str">
        <f>IFERROR(IF(IFERROR(MATCH(70,'كشف الحساب'!$N$4:$N$353,0),0)=0,"",INDEX('كشف الحساب'!$K$4:$K$353,IFERROR(MATCH(70,'كشف الحساب'!$N$4:$N$353,0),0))),"")</f>
        <v/>
      </c>
    </row>
    <row r="75" spans="1:11" ht="15" customHeight="1" x14ac:dyDescent="0.25">
      <c r="A75" s="63" t="str">
        <f>IFERROR(IF(IFERROR(MATCH(71,'كشف الحساب'!$N$4:$N$353,0),0)=0,"",INDEX('كشف الحساب'!$A$4:$A$353,IFERROR(MATCH(71,'كشف الحساب'!$N$4:$N$353,0),0))),"")</f>
        <v/>
      </c>
      <c r="B75" s="64" t="str">
        <f>IFERROR(IF(IFERROR(MATCH(71,'كشف الحساب'!$N$4:$N$353,0),0)=0,"",INDEX('كشف الحساب'!$B$4:$B$353,IFERROR(MATCH(71,'كشف الحساب'!$N$4:$N$353,0),0))),"")</f>
        <v/>
      </c>
      <c r="C75" s="65" t="str">
        <f>IFERROR(IF(IFERROR(MATCH(71,'كشف الحساب'!$N$4:$N$353,0),0)=0,"",INDEX('كشف الحساب'!$C$4:$C$353,IFERROR(MATCH(71,'كشف الحساب'!$N$4:$N$353,0),0))),"")</f>
        <v/>
      </c>
      <c r="D75" s="66" t="str">
        <f>IFERROR(IF(IFERROR(MATCH(71,'كشف الحساب'!$N$4:$N$353,0),0)=0,"",INDEX('كشف الحساب'!$D$4:$D$353,IFERROR(MATCH(71,'كشف الحساب'!$N$4:$N$353,0),0))),"")</f>
        <v/>
      </c>
      <c r="E75" s="67" t="str">
        <f>IFERROR(IF(IFERROR(MATCH(71,'كشف الحساب'!$N$4:$N$353,0),0)=0,"",INDEX('كشف الحساب'!$E$4:$E$353,IFERROR(MATCH(71,'كشف الحساب'!$N$4:$N$353,0),0))),"")</f>
        <v/>
      </c>
      <c r="F75" s="64" t="str">
        <f>IFERROR(IF(IFERROR(MATCH(71,'كشف الحساب'!$N$4:$N$353,0),0)=0,"",INDEX('كشف الحساب'!$F$4:$F$353,IFERROR(MATCH(71,'كشف الحساب'!$N$4:$N$353,0),0))),"")</f>
        <v/>
      </c>
      <c r="G75" s="64" t="str">
        <f>IFERROR(IF(IFERROR(MATCH(71,'كشف الحساب'!$N$4:$N$353,0),0)=0,"",INDEX('كشف الحساب'!$G$4:$G$353,IFERROR(MATCH(71,'كشف الحساب'!$N$4:$N$353,0),0))),"")</f>
        <v/>
      </c>
      <c r="H75" s="64" t="str">
        <f>IFERROR(IF(IFERROR(MATCH(71,'كشف الحساب'!$N$4:$N$353,0),0)=0,"",INDEX('كشف الحساب'!$H$4:$H$353,IFERROR(MATCH(71,'كشف الحساب'!$N$4:$N$353,0),0))),"")</f>
        <v/>
      </c>
      <c r="I75" s="64" t="str">
        <f>IFERROR(IF(IFERROR(MATCH(71,'كشف الحساب'!$N$4:$N$353,0),0)=0,"",INDEX('كشف الحساب'!$I$4:$I$353,IFERROR(MATCH(71,'كشف الحساب'!$N$4:$N$353,0),0))),"")</f>
        <v/>
      </c>
      <c r="J75" s="68" t="str">
        <f>IFERROR(IF(IFERROR(MATCH(71,'كشف الحساب'!$N$4:$N$353,0),0)=0,"",INDEX('كشف الحساب'!$J$4:$J$353,IFERROR(MATCH(71,'كشف الحساب'!$N$4:$N$353,0),0))),"")</f>
        <v/>
      </c>
      <c r="K75" s="64" t="str">
        <f>IFERROR(IF(IFERROR(MATCH(71,'كشف الحساب'!$N$4:$N$353,0),0)=0,"",INDEX('كشف الحساب'!$K$4:$K$353,IFERROR(MATCH(71,'كشف الحساب'!$N$4:$N$353,0),0))),"")</f>
        <v/>
      </c>
    </row>
    <row r="76" spans="1:11" ht="15" customHeight="1" x14ac:dyDescent="0.25">
      <c r="A76" s="69" t="str">
        <f>IFERROR(IF(IFERROR(MATCH(72,'كشف الحساب'!$N$4:$N$353,0),0)=0,"",INDEX('كشف الحساب'!$A$4:$A$353,IFERROR(MATCH(72,'كشف الحساب'!$N$4:$N$353,0),0))),"")</f>
        <v/>
      </c>
      <c r="B76" s="70" t="str">
        <f>IFERROR(IF(IFERROR(MATCH(72,'كشف الحساب'!$N$4:$N$353,0),0)=0,"",INDEX('كشف الحساب'!$B$4:$B$353,IFERROR(MATCH(72,'كشف الحساب'!$N$4:$N$353,0),0))),"")</f>
        <v/>
      </c>
      <c r="C76" s="71" t="str">
        <f>IFERROR(IF(IFERROR(MATCH(72,'كشف الحساب'!$N$4:$N$353,0),0)=0,"",INDEX('كشف الحساب'!$C$4:$C$353,IFERROR(MATCH(72,'كشف الحساب'!$N$4:$N$353,0),0))),"")</f>
        <v/>
      </c>
      <c r="D76" s="72" t="str">
        <f>IFERROR(IF(IFERROR(MATCH(72,'كشف الحساب'!$N$4:$N$353,0),0)=0,"",INDEX('كشف الحساب'!$D$4:$D$353,IFERROR(MATCH(72,'كشف الحساب'!$N$4:$N$353,0),0))),"")</f>
        <v/>
      </c>
      <c r="E76" s="73" t="str">
        <f>IFERROR(IF(IFERROR(MATCH(72,'كشف الحساب'!$N$4:$N$353,0),0)=0,"",INDEX('كشف الحساب'!$E$4:$E$353,IFERROR(MATCH(72,'كشف الحساب'!$N$4:$N$353,0),0))),"")</f>
        <v/>
      </c>
      <c r="F76" s="70" t="str">
        <f>IFERROR(IF(IFERROR(MATCH(72,'كشف الحساب'!$N$4:$N$353,0),0)=0,"",INDEX('كشف الحساب'!$F$4:$F$353,IFERROR(MATCH(72,'كشف الحساب'!$N$4:$N$353,0),0))),"")</f>
        <v/>
      </c>
      <c r="G76" s="70" t="str">
        <f>IFERROR(IF(IFERROR(MATCH(72,'كشف الحساب'!$N$4:$N$353,0),0)=0,"",INDEX('كشف الحساب'!$G$4:$G$353,IFERROR(MATCH(72,'كشف الحساب'!$N$4:$N$353,0),0))),"")</f>
        <v/>
      </c>
      <c r="H76" s="70" t="str">
        <f>IFERROR(IF(IFERROR(MATCH(72,'كشف الحساب'!$N$4:$N$353,0),0)=0,"",INDEX('كشف الحساب'!$H$4:$H$353,IFERROR(MATCH(72,'كشف الحساب'!$N$4:$N$353,0),0))),"")</f>
        <v/>
      </c>
      <c r="I76" s="70" t="str">
        <f>IFERROR(IF(IFERROR(MATCH(72,'كشف الحساب'!$N$4:$N$353,0),0)=0,"",INDEX('كشف الحساب'!$I$4:$I$353,IFERROR(MATCH(72,'كشف الحساب'!$N$4:$N$353,0),0))),"")</f>
        <v/>
      </c>
      <c r="J76" s="74" t="str">
        <f>IFERROR(IF(IFERROR(MATCH(72,'كشف الحساب'!$N$4:$N$353,0),0)=0,"",INDEX('كشف الحساب'!$J$4:$J$353,IFERROR(MATCH(72,'كشف الحساب'!$N$4:$N$353,0),0))),"")</f>
        <v/>
      </c>
      <c r="K76" s="70" t="str">
        <f>IFERROR(IF(IFERROR(MATCH(72,'كشف الحساب'!$N$4:$N$353,0),0)=0,"",INDEX('كشف الحساب'!$K$4:$K$353,IFERROR(MATCH(72,'كشف الحساب'!$N$4:$N$353,0),0))),"")</f>
        <v/>
      </c>
    </row>
    <row r="77" spans="1:11" ht="15" customHeight="1" x14ac:dyDescent="0.25">
      <c r="A77" s="63" t="str">
        <f>IFERROR(IF(IFERROR(MATCH(73,'كشف الحساب'!$N$4:$N$353,0),0)=0,"",INDEX('كشف الحساب'!$A$4:$A$353,IFERROR(MATCH(73,'كشف الحساب'!$N$4:$N$353,0),0))),"")</f>
        <v/>
      </c>
      <c r="B77" s="64" t="str">
        <f>IFERROR(IF(IFERROR(MATCH(73,'كشف الحساب'!$N$4:$N$353,0),0)=0,"",INDEX('كشف الحساب'!$B$4:$B$353,IFERROR(MATCH(73,'كشف الحساب'!$N$4:$N$353,0),0))),"")</f>
        <v/>
      </c>
      <c r="C77" s="65" t="str">
        <f>IFERROR(IF(IFERROR(MATCH(73,'كشف الحساب'!$N$4:$N$353,0),0)=0,"",INDEX('كشف الحساب'!$C$4:$C$353,IFERROR(MATCH(73,'كشف الحساب'!$N$4:$N$353,0),0))),"")</f>
        <v/>
      </c>
      <c r="D77" s="66" t="str">
        <f>IFERROR(IF(IFERROR(MATCH(73,'كشف الحساب'!$N$4:$N$353,0),0)=0,"",INDEX('كشف الحساب'!$D$4:$D$353,IFERROR(MATCH(73,'كشف الحساب'!$N$4:$N$353,0),0))),"")</f>
        <v/>
      </c>
      <c r="E77" s="67" t="str">
        <f>IFERROR(IF(IFERROR(MATCH(73,'كشف الحساب'!$N$4:$N$353,0),0)=0,"",INDEX('كشف الحساب'!$E$4:$E$353,IFERROR(MATCH(73,'كشف الحساب'!$N$4:$N$353,0),0))),"")</f>
        <v/>
      </c>
      <c r="F77" s="64" t="str">
        <f>IFERROR(IF(IFERROR(MATCH(73,'كشف الحساب'!$N$4:$N$353,0),0)=0,"",INDEX('كشف الحساب'!$F$4:$F$353,IFERROR(MATCH(73,'كشف الحساب'!$N$4:$N$353,0),0))),"")</f>
        <v/>
      </c>
      <c r="G77" s="64" t="str">
        <f>IFERROR(IF(IFERROR(MATCH(73,'كشف الحساب'!$N$4:$N$353,0),0)=0,"",INDEX('كشف الحساب'!$G$4:$G$353,IFERROR(MATCH(73,'كشف الحساب'!$N$4:$N$353,0),0))),"")</f>
        <v/>
      </c>
      <c r="H77" s="64" t="str">
        <f>IFERROR(IF(IFERROR(MATCH(73,'كشف الحساب'!$N$4:$N$353,0),0)=0,"",INDEX('كشف الحساب'!$H$4:$H$353,IFERROR(MATCH(73,'كشف الحساب'!$N$4:$N$353,0),0))),"")</f>
        <v/>
      </c>
      <c r="I77" s="64" t="str">
        <f>IFERROR(IF(IFERROR(MATCH(73,'كشف الحساب'!$N$4:$N$353,0),0)=0,"",INDEX('كشف الحساب'!$I$4:$I$353,IFERROR(MATCH(73,'كشف الحساب'!$N$4:$N$353,0),0))),"")</f>
        <v/>
      </c>
      <c r="J77" s="68" t="str">
        <f>IFERROR(IF(IFERROR(MATCH(73,'كشف الحساب'!$N$4:$N$353,0),0)=0,"",INDEX('كشف الحساب'!$J$4:$J$353,IFERROR(MATCH(73,'كشف الحساب'!$N$4:$N$353,0),0))),"")</f>
        <v/>
      </c>
      <c r="K77" s="64" t="str">
        <f>IFERROR(IF(IFERROR(MATCH(73,'كشف الحساب'!$N$4:$N$353,0),0)=0,"",INDEX('كشف الحساب'!$K$4:$K$353,IFERROR(MATCH(73,'كشف الحساب'!$N$4:$N$353,0),0))),"")</f>
        <v/>
      </c>
    </row>
    <row r="78" spans="1:11" ht="15" customHeight="1" x14ac:dyDescent="0.25">
      <c r="A78" s="69" t="str">
        <f>IFERROR(IF(IFERROR(MATCH(74,'كشف الحساب'!$N$4:$N$353,0),0)=0,"",INDEX('كشف الحساب'!$A$4:$A$353,IFERROR(MATCH(74,'كشف الحساب'!$N$4:$N$353,0),0))),"")</f>
        <v/>
      </c>
      <c r="B78" s="70" t="str">
        <f>IFERROR(IF(IFERROR(MATCH(74,'كشف الحساب'!$N$4:$N$353,0),0)=0,"",INDEX('كشف الحساب'!$B$4:$B$353,IFERROR(MATCH(74,'كشف الحساب'!$N$4:$N$353,0),0))),"")</f>
        <v/>
      </c>
      <c r="C78" s="71" t="str">
        <f>IFERROR(IF(IFERROR(MATCH(74,'كشف الحساب'!$N$4:$N$353,0),0)=0,"",INDEX('كشف الحساب'!$C$4:$C$353,IFERROR(MATCH(74,'كشف الحساب'!$N$4:$N$353,0),0))),"")</f>
        <v/>
      </c>
      <c r="D78" s="72" t="str">
        <f>IFERROR(IF(IFERROR(MATCH(74,'كشف الحساب'!$N$4:$N$353,0),0)=0,"",INDEX('كشف الحساب'!$D$4:$D$353,IFERROR(MATCH(74,'كشف الحساب'!$N$4:$N$353,0),0))),"")</f>
        <v/>
      </c>
      <c r="E78" s="73" t="str">
        <f>IFERROR(IF(IFERROR(MATCH(74,'كشف الحساب'!$N$4:$N$353,0),0)=0,"",INDEX('كشف الحساب'!$E$4:$E$353,IFERROR(MATCH(74,'كشف الحساب'!$N$4:$N$353,0),0))),"")</f>
        <v/>
      </c>
      <c r="F78" s="70" t="str">
        <f>IFERROR(IF(IFERROR(MATCH(74,'كشف الحساب'!$N$4:$N$353,0),0)=0,"",INDEX('كشف الحساب'!$F$4:$F$353,IFERROR(MATCH(74,'كشف الحساب'!$N$4:$N$353,0),0))),"")</f>
        <v/>
      </c>
      <c r="G78" s="70" t="str">
        <f>IFERROR(IF(IFERROR(MATCH(74,'كشف الحساب'!$N$4:$N$353,0),0)=0,"",INDEX('كشف الحساب'!$G$4:$G$353,IFERROR(MATCH(74,'كشف الحساب'!$N$4:$N$353,0),0))),"")</f>
        <v/>
      </c>
      <c r="H78" s="70" t="str">
        <f>IFERROR(IF(IFERROR(MATCH(74,'كشف الحساب'!$N$4:$N$353,0),0)=0,"",INDEX('كشف الحساب'!$H$4:$H$353,IFERROR(MATCH(74,'كشف الحساب'!$N$4:$N$353,0),0))),"")</f>
        <v/>
      </c>
      <c r="I78" s="70" t="str">
        <f>IFERROR(IF(IFERROR(MATCH(74,'كشف الحساب'!$N$4:$N$353,0),0)=0,"",INDEX('كشف الحساب'!$I$4:$I$353,IFERROR(MATCH(74,'كشف الحساب'!$N$4:$N$353,0),0))),"")</f>
        <v/>
      </c>
      <c r="J78" s="74" t="str">
        <f>IFERROR(IF(IFERROR(MATCH(74,'كشف الحساب'!$N$4:$N$353,0),0)=0,"",INDEX('كشف الحساب'!$J$4:$J$353,IFERROR(MATCH(74,'كشف الحساب'!$N$4:$N$353,0),0))),"")</f>
        <v/>
      </c>
      <c r="K78" s="70" t="str">
        <f>IFERROR(IF(IFERROR(MATCH(74,'كشف الحساب'!$N$4:$N$353,0),0)=0,"",INDEX('كشف الحساب'!$K$4:$K$353,IFERROR(MATCH(74,'كشف الحساب'!$N$4:$N$353,0),0))),"")</f>
        <v/>
      </c>
    </row>
    <row r="79" spans="1:11" ht="15" customHeight="1" x14ac:dyDescent="0.25">
      <c r="A79" s="63" t="str">
        <f>IFERROR(IF(IFERROR(MATCH(75,'كشف الحساب'!$N$4:$N$353,0),0)=0,"",INDEX('كشف الحساب'!$A$4:$A$353,IFERROR(MATCH(75,'كشف الحساب'!$N$4:$N$353,0),0))),"")</f>
        <v/>
      </c>
      <c r="B79" s="64" t="str">
        <f>IFERROR(IF(IFERROR(MATCH(75,'كشف الحساب'!$N$4:$N$353,0),0)=0,"",INDEX('كشف الحساب'!$B$4:$B$353,IFERROR(MATCH(75,'كشف الحساب'!$N$4:$N$353,0),0))),"")</f>
        <v/>
      </c>
      <c r="C79" s="65" t="str">
        <f>IFERROR(IF(IFERROR(MATCH(75,'كشف الحساب'!$N$4:$N$353,0),0)=0,"",INDEX('كشف الحساب'!$C$4:$C$353,IFERROR(MATCH(75,'كشف الحساب'!$N$4:$N$353,0),0))),"")</f>
        <v/>
      </c>
      <c r="D79" s="66" t="str">
        <f>IFERROR(IF(IFERROR(MATCH(75,'كشف الحساب'!$N$4:$N$353,0),0)=0,"",INDEX('كشف الحساب'!$D$4:$D$353,IFERROR(MATCH(75,'كشف الحساب'!$N$4:$N$353,0),0))),"")</f>
        <v/>
      </c>
      <c r="E79" s="67" t="str">
        <f>IFERROR(IF(IFERROR(MATCH(75,'كشف الحساب'!$N$4:$N$353,0),0)=0,"",INDEX('كشف الحساب'!$E$4:$E$353,IFERROR(MATCH(75,'كشف الحساب'!$N$4:$N$353,0),0))),"")</f>
        <v/>
      </c>
      <c r="F79" s="64" t="str">
        <f>IFERROR(IF(IFERROR(MATCH(75,'كشف الحساب'!$N$4:$N$353,0),0)=0,"",INDEX('كشف الحساب'!$F$4:$F$353,IFERROR(MATCH(75,'كشف الحساب'!$N$4:$N$353,0),0))),"")</f>
        <v/>
      </c>
      <c r="G79" s="64" t="str">
        <f>IFERROR(IF(IFERROR(MATCH(75,'كشف الحساب'!$N$4:$N$353,0),0)=0,"",INDEX('كشف الحساب'!$G$4:$G$353,IFERROR(MATCH(75,'كشف الحساب'!$N$4:$N$353,0),0))),"")</f>
        <v/>
      </c>
      <c r="H79" s="64" t="str">
        <f>IFERROR(IF(IFERROR(MATCH(75,'كشف الحساب'!$N$4:$N$353,0),0)=0,"",INDEX('كشف الحساب'!$H$4:$H$353,IFERROR(MATCH(75,'كشف الحساب'!$N$4:$N$353,0),0))),"")</f>
        <v/>
      </c>
      <c r="I79" s="64" t="str">
        <f>IFERROR(IF(IFERROR(MATCH(75,'كشف الحساب'!$N$4:$N$353,0),0)=0,"",INDEX('كشف الحساب'!$I$4:$I$353,IFERROR(MATCH(75,'كشف الحساب'!$N$4:$N$353,0),0))),"")</f>
        <v/>
      </c>
      <c r="J79" s="68" t="str">
        <f>IFERROR(IF(IFERROR(MATCH(75,'كشف الحساب'!$N$4:$N$353,0),0)=0,"",INDEX('كشف الحساب'!$J$4:$J$353,IFERROR(MATCH(75,'كشف الحساب'!$N$4:$N$353,0),0))),"")</f>
        <v/>
      </c>
      <c r="K79" s="64" t="str">
        <f>IFERROR(IF(IFERROR(MATCH(75,'كشف الحساب'!$N$4:$N$353,0),0)=0,"",INDEX('كشف الحساب'!$K$4:$K$353,IFERROR(MATCH(75,'كشف الحساب'!$N$4:$N$353,0),0))),"")</f>
        <v/>
      </c>
    </row>
    <row r="80" spans="1:11" ht="15" customHeight="1" x14ac:dyDescent="0.25">
      <c r="A80" s="69" t="str">
        <f>IFERROR(IF(IFERROR(MATCH(76,'كشف الحساب'!$N$4:$N$353,0),0)=0,"",INDEX('كشف الحساب'!$A$4:$A$353,IFERROR(MATCH(76,'كشف الحساب'!$N$4:$N$353,0),0))),"")</f>
        <v/>
      </c>
      <c r="B80" s="70" t="str">
        <f>IFERROR(IF(IFERROR(MATCH(76,'كشف الحساب'!$N$4:$N$353,0),0)=0,"",INDEX('كشف الحساب'!$B$4:$B$353,IFERROR(MATCH(76,'كشف الحساب'!$N$4:$N$353,0),0))),"")</f>
        <v/>
      </c>
      <c r="C80" s="71" t="str">
        <f>IFERROR(IF(IFERROR(MATCH(76,'كشف الحساب'!$N$4:$N$353,0),0)=0,"",INDEX('كشف الحساب'!$C$4:$C$353,IFERROR(MATCH(76,'كشف الحساب'!$N$4:$N$353,0),0))),"")</f>
        <v/>
      </c>
      <c r="D80" s="72" t="str">
        <f>IFERROR(IF(IFERROR(MATCH(76,'كشف الحساب'!$N$4:$N$353,0),0)=0,"",INDEX('كشف الحساب'!$D$4:$D$353,IFERROR(MATCH(76,'كشف الحساب'!$N$4:$N$353,0),0))),"")</f>
        <v/>
      </c>
      <c r="E80" s="73" t="str">
        <f>IFERROR(IF(IFERROR(MATCH(76,'كشف الحساب'!$N$4:$N$353,0),0)=0,"",INDEX('كشف الحساب'!$E$4:$E$353,IFERROR(MATCH(76,'كشف الحساب'!$N$4:$N$353,0),0))),"")</f>
        <v/>
      </c>
      <c r="F80" s="70" t="str">
        <f>IFERROR(IF(IFERROR(MATCH(76,'كشف الحساب'!$N$4:$N$353,0),0)=0,"",INDEX('كشف الحساب'!$F$4:$F$353,IFERROR(MATCH(76,'كشف الحساب'!$N$4:$N$353,0),0))),"")</f>
        <v/>
      </c>
      <c r="G80" s="70" t="str">
        <f>IFERROR(IF(IFERROR(MATCH(76,'كشف الحساب'!$N$4:$N$353,0),0)=0,"",INDEX('كشف الحساب'!$G$4:$G$353,IFERROR(MATCH(76,'كشف الحساب'!$N$4:$N$353,0),0))),"")</f>
        <v/>
      </c>
      <c r="H80" s="70" t="str">
        <f>IFERROR(IF(IFERROR(MATCH(76,'كشف الحساب'!$N$4:$N$353,0),0)=0,"",INDEX('كشف الحساب'!$H$4:$H$353,IFERROR(MATCH(76,'كشف الحساب'!$N$4:$N$353,0),0))),"")</f>
        <v/>
      </c>
      <c r="I80" s="70" t="str">
        <f>IFERROR(IF(IFERROR(MATCH(76,'كشف الحساب'!$N$4:$N$353,0),0)=0,"",INDEX('كشف الحساب'!$I$4:$I$353,IFERROR(MATCH(76,'كشف الحساب'!$N$4:$N$353,0),0))),"")</f>
        <v/>
      </c>
      <c r="J80" s="74" t="str">
        <f>IFERROR(IF(IFERROR(MATCH(76,'كشف الحساب'!$N$4:$N$353,0),0)=0,"",INDEX('كشف الحساب'!$J$4:$J$353,IFERROR(MATCH(76,'كشف الحساب'!$N$4:$N$353,0),0))),"")</f>
        <v/>
      </c>
      <c r="K80" s="70" t="str">
        <f>IFERROR(IF(IFERROR(MATCH(76,'كشف الحساب'!$N$4:$N$353,0),0)=0,"",INDEX('كشف الحساب'!$K$4:$K$353,IFERROR(MATCH(76,'كشف الحساب'!$N$4:$N$353,0),0))),"")</f>
        <v/>
      </c>
    </row>
    <row r="81" spans="1:11" ht="15" customHeight="1" x14ac:dyDescent="0.25">
      <c r="A81" s="63" t="str">
        <f>IFERROR(IF(IFERROR(MATCH(77,'كشف الحساب'!$N$4:$N$353,0),0)=0,"",INDEX('كشف الحساب'!$A$4:$A$353,IFERROR(MATCH(77,'كشف الحساب'!$N$4:$N$353,0),0))),"")</f>
        <v/>
      </c>
      <c r="B81" s="64" t="str">
        <f>IFERROR(IF(IFERROR(MATCH(77,'كشف الحساب'!$N$4:$N$353,0),0)=0,"",INDEX('كشف الحساب'!$B$4:$B$353,IFERROR(MATCH(77,'كشف الحساب'!$N$4:$N$353,0),0))),"")</f>
        <v/>
      </c>
      <c r="C81" s="65" t="str">
        <f>IFERROR(IF(IFERROR(MATCH(77,'كشف الحساب'!$N$4:$N$353,0),0)=0,"",INDEX('كشف الحساب'!$C$4:$C$353,IFERROR(MATCH(77,'كشف الحساب'!$N$4:$N$353,0),0))),"")</f>
        <v/>
      </c>
      <c r="D81" s="66" t="str">
        <f>IFERROR(IF(IFERROR(MATCH(77,'كشف الحساب'!$N$4:$N$353,0),0)=0,"",INDEX('كشف الحساب'!$D$4:$D$353,IFERROR(MATCH(77,'كشف الحساب'!$N$4:$N$353,0),0))),"")</f>
        <v/>
      </c>
      <c r="E81" s="67" t="str">
        <f>IFERROR(IF(IFERROR(MATCH(77,'كشف الحساب'!$N$4:$N$353,0),0)=0,"",INDEX('كشف الحساب'!$E$4:$E$353,IFERROR(MATCH(77,'كشف الحساب'!$N$4:$N$353,0),0))),"")</f>
        <v/>
      </c>
      <c r="F81" s="64" t="str">
        <f>IFERROR(IF(IFERROR(MATCH(77,'كشف الحساب'!$N$4:$N$353,0),0)=0,"",INDEX('كشف الحساب'!$F$4:$F$353,IFERROR(MATCH(77,'كشف الحساب'!$N$4:$N$353,0),0))),"")</f>
        <v/>
      </c>
      <c r="G81" s="64" t="str">
        <f>IFERROR(IF(IFERROR(MATCH(77,'كشف الحساب'!$N$4:$N$353,0),0)=0,"",INDEX('كشف الحساب'!$G$4:$G$353,IFERROR(MATCH(77,'كشف الحساب'!$N$4:$N$353,0),0))),"")</f>
        <v/>
      </c>
      <c r="H81" s="64" t="str">
        <f>IFERROR(IF(IFERROR(MATCH(77,'كشف الحساب'!$N$4:$N$353,0),0)=0,"",INDEX('كشف الحساب'!$H$4:$H$353,IFERROR(MATCH(77,'كشف الحساب'!$N$4:$N$353,0),0))),"")</f>
        <v/>
      </c>
      <c r="I81" s="64" t="str">
        <f>IFERROR(IF(IFERROR(MATCH(77,'كشف الحساب'!$N$4:$N$353,0),0)=0,"",INDEX('كشف الحساب'!$I$4:$I$353,IFERROR(MATCH(77,'كشف الحساب'!$N$4:$N$353,0),0))),"")</f>
        <v/>
      </c>
      <c r="J81" s="68" t="str">
        <f>IFERROR(IF(IFERROR(MATCH(77,'كشف الحساب'!$N$4:$N$353,0),0)=0,"",INDEX('كشف الحساب'!$J$4:$J$353,IFERROR(MATCH(77,'كشف الحساب'!$N$4:$N$353,0),0))),"")</f>
        <v/>
      </c>
      <c r="K81" s="64" t="str">
        <f>IFERROR(IF(IFERROR(MATCH(77,'كشف الحساب'!$N$4:$N$353,0),0)=0,"",INDEX('كشف الحساب'!$K$4:$K$353,IFERROR(MATCH(77,'كشف الحساب'!$N$4:$N$353,0),0))),"")</f>
        <v/>
      </c>
    </row>
    <row r="82" spans="1:11" ht="15" customHeight="1" x14ac:dyDescent="0.25">
      <c r="A82" s="69" t="str">
        <f>IFERROR(IF(IFERROR(MATCH(78,'كشف الحساب'!$N$4:$N$353,0),0)=0,"",INDEX('كشف الحساب'!$A$4:$A$353,IFERROR(MATCH(78,'كشف الحساب'!$N$4:$N$353,0),0))),"")</f>
        <v/>
      </c>
      <c r="B82" s="70" t="str">
        <f>IFERROR(IF(IFERROR(MATCH(78,'كشف الحساب'!$N$4:$N$353,0),0)=0,"",INDEX('كشف الحساب'!$B$4:$B$353,IFERROR(MATCH(78,'كشف الحساب'!$N$4:$N$353,0),0))),"")</f>
        <v/>
      </c>
      <c r="C82" s="71" t="str">
        <f>IFERROR(IF(IFERROR(MATCH(78,'كشف الحساب'!$N$4:$N$353,0),0)=0,"",INDEX('كشف الحساب'!$C$4:$C$353,IFERROR(MATCH(78,'كشف الحساب'!$N$4:$N$353,0),0))),"")</f>
        <v/>
      </c>
      <c r="D82" s="72" t="str">
        <f>IFERROR(IF(IFERROR(MATCH(78,'كشف الحساب'!$N$4:$N$353,0),0)=0,"",INDEX('كشف الحساب'!$D$4:$D$353,IFERROR(MATCH(78,'كشف الحساب'!$N$4:$N$353,0),0))),"")</f>
        <v/>
      </c>
      <c r="E82" s="73" t="str">
        <f>IFERROR(IF(IFERROR(MATCH(78,'كشف الحساب'!$N$4:$N$353,0),0)=0,"",INDEX('كشف الحساب'!$E$4:$E$353,IFERROR(MATCH(78,'كشف الحساب'!$N$4:$N$353,0),0))),"")</f>
        <v/>
      </c>
      <c r="F82" s="70" t="str">
        <f>IFERROR(IF(IFERROR(MATCH(78,'كشف الحساب'!$N$4:$N$353,0),0)=0,"",INDEX('كشف الحساب'!$F$4:$F$353,IFERROR(MATCH(78,'كشف الحساب'!$N$4:$N$353,0),0))),"")</f>
        <v/>
      </c>
      <c r="G82" s="70" t="str">
        <f>IFERROR(IF(IFERROR(MATCH(78,'كشف الحساب'!$N$4:$N$353,0),0)=0,"",INDEX('كشف الحساب'!$G$4:$G$353,IFERROR(MATCH(78,'كشف الحساب'!$N$4:$N$353,0),0))),"")</f>
        <v/>
      </c>
      <c r="H82" s="70" t="str">
        <f>IFERROR(IF(IFERROR(MATCH(78,'كشف الحساب'!$N$4:$N$353,0),0)=0,"",INDEX('كشف الحساب'!$H$4:$H$353,IFERROR(MATCH(78,'كشف الحساب'!$N$4:$N$353,0),0))),"")</f>
        <v/>
      </c>
      <c r="I82" s="70" t="str">
        <f>IFERROR(IF(IFERROR(MATCH(78,'كشف الحساب'!$N$4:$N$353,0),0)=0,"",INDEX('كشف الحساب'!$I$4:$I$353,IFERROR(MATCH(78,'كشف الحساب'!$N$4:$N$353,0),0))),"")</f>
        <v/>
      </c>
      <c r="J82" s="74" t="str">
        <f>IFERROR(IF(IFERROR(MATCH(78,'كشف الحساب'!$N$4:$N$353,0),0)=0,"",INDEX('كشف الحساب'!$J$4:$J$353,IFERROR(MATCH(78,'كشف الحساب'!$N$4:$N$353,0),0))),"")</f>
        <v/>
      </c>
      <c r="K82" s="70" t="str">
        <f>IFERROR(IF(IFERROR(MATCH(78,'كشف الحساب'!$N$4:$N$353,0),0)=0,"",INDEX('كشف الحساب'!$K$4:$K$353,IFERROR(MATCH(78,'كشف الحساب'!$N$4:$N$353,0),0))),"")</f>
        <v/>
      </c>
    </row>
    <row r="83" spans="1:11" ht="15" customHeight="1" x14ac:dyDescent="0.25">
      <c r="A83" s="63" t="str">
        <f>IFERROR(IF(IFERROR(MATCH(79,'كشف الحساب'!$N$4:$N$353,0),0)=0,"",INDEX('كشف الحساب'!$A$4:$A$353,IFERROR(MATCH(79,'كشف الحساب'!$N$4:$N$353,0),0))),"")</f>
        <v/>
      </c>
      <c r="B83" s="64" t="str">
        <f>IFERROR(IF(IFERROR(MATCH(79,'كشف الحساب'!$N$4:$N$353,0),0)=0,"",INDEX('كشف الحساب'!$B$4:$B$353,IFERROR(MATCH(79,'كشف الحساب'!$N$4:$N$353,0),0))),"")</f>
        <v/>
      </c>
      <c r="C83" s="65" t="str">
        <f>IFERROR(IF(IFERROR(MATCH(79,'كشف الحساب'!$N$4:$N$353,0),0)=0,"",INDEX('كشف الحساب'!$C$4:$C$353,IFERROR(MATCH(79,'كشف الحساب'!$N$4:$N$353,0),0))),"")</f>
        <v/>
      </c>
      <c r="D83" s="66" t="str">
        <f>IFERROR(IF(IFERROR(MATCH(79,'كشف الحساب'!$N$4:$N$353,0),0)=0,"",INDEX('كشف الحساب'!$D$4:$D$353,IFERROR(MATCH(79,'كشف الحساب'!$N$4:$N$353,0),0))),"")</f>
        <v/>
      </c>
      <c r="E83" s="67" t="str">
        <f>IFERROR(IF(IFERROR(MATCH(79,'كشف الحساب'!$N$4:$N$353,0),0)=0,"",INDEX('كشف الحساب'!$E$4:$E$353,IFERROR(MATCH(79,'كشف الحساب'!$N$4:$N$353,0),0))),"")</f>
        <v/>
      </c>
      <c r="F83" s="64" t="str">
        <f>IFERROR(IF(IFERROR(MATCH(79,'كشف الحساب'!$N$4:$N$353,0),0)=0,"",INDEX('كشف الحساب'!$F$4:$F$353,IFERROR(MATCH(79,'كشف الحساب'!$N$4:$N$353,0),0))),"")</f>
        <v/>
      </c>
      <c r="G83" s="64" t="str">
        <f>IFERROR(IF(IFERROR(MATCH(79,'كشف الحساب'!$N$4:$N$353,0),0)=0,"",INDEX('كشف الحساب'!$G$4:$G$353,IFERROR(MATCH(79,'كشف الحساب'!$N$4:$N$353,0),0))),"")</f>
        <v/>
      </c>
      <c r="H83" s="64" t="str">
        <f>IFERROR(IF(IFERROR(MATCH(79,'كشف الحساب'!$N$4:$N$353,0),0)=0,"",INDEX('كشف الحساب'!$H$4:$H$353,IFERROR(MATCH(79,'كشف الحساب'!$N$4:$N$353,0),0))),"")</f>
        <v/>
      </c>
      <c r="I83" s="64" t="str">
        <f>IFERROR(IF(IFERROR(MATCH(79,'كشف الحساب'!$N$4:$N$353,0),0)=0,"",INDEX('كشف الحساب'!$I$4:$I$353,IFERROR(MATCH(79,'كشف الحساب'!$N$4:$N$353,0),0))),"")</f>
        <v/>
      </c>
      <c r="J83" s="68" t="str">
        <f>IFERROR(IF(IFERROR(MATCH(79,'كشف الحساب'!$N$4:$N$353,0),0)=0,"",INDEX('كشف الحساب'!$J$4:$J$353,IFERROR(MATCH(79,'كشف الحساب'!$N$4:$N$353,0),0))),"")</f>
        <v/>
      </c>
      <c r="K83" s="64" t="str">
        <f>IFERROR(IF(IFERROR(MATCH(79,'كشف الحساب'!$N$4:$N$353,0),0)=0,"",INDEX('كشف الحساب'!$K$4:$K$353,IFERROR(MATCH(79,'كشف الحساب'!$N$4:$N$353,0),0))),"")</f>
        <v/>
      </c>
    </row>
    <row r="84" spans="1:11" ht="15" customHeight="1" x14ac:dyDescent="0.25">
      <c r="A84" s="69" t="str">
        <f>IFERROR(IF(IFERROR(MATCH(80,'كشف الحساب'!$N$4:$N$353,0),0)=0,"",INDEX('كشف الحساب'!$A$4:$A$353,IFERROR(MATCH(80,'كشف الحساب'!$N$4:$N$353,0),0))),"")</f>
        <v/>
      </c>
      <c r="B84" s="70" t="str">
        <f>IFERROR(IF(IFERROR(MATCH(80,'كشف الحساب'!$N$4:$N$353,0),0)=0,"",INDEX('كشف الحساب'!$B$4:$B$353,IFERROR(MATCH(80,'كشف الحساب'!$N$4:$N$353,0),0))),"")</f>
        <v/>
      </c>
      <c r="C84" s="71" t="str">
        <f>IFERROR(IF(IFERROR(MATCH(80,'كشف الحساب'!$N$4:$N$353,0),0)=0,"",INDEX('كشف الحساب'!$C$4:$C$353,IFERROR(MATCH(80,'كشف الحساب'!$N$4:$N$353,0),0))),"")</f>
        <v/>
      </c>
      <c r="D84" s="72" t="str">
        <f>IFERROR(IF(IFERROR(MATCH(80,'كشف الحساب'!$N$4:$N$353,0),0)=0,"",INDEX('كشف الحساب'!$D$4:$D$353,IFERROR(MATCH(80,'كشف الحساب'!$N$4:$N$353,0),0))),"")</f>
        <v/>
      </c>
      <c r="E84" s="73" t="str">
        <f>IFERROR(IF(IFERROR(MATCH(80,'كشف الحساب'!$N$4:$N$353,0),0)=0,"",INDEX('كشف الحساب'!$E$4:$E$353,IFERROR(MATCH(80,'كشف الحساب'!$N$4:$N$353,0),0))),"")</f>
        <v/>
      </c>
      <c r="F84" s="70" t="str">
        <f>IFERROR(IF(IFERROR(MATCH(80,'كشف الحساب'!$N$4:$N$353,0),0)=0,"",INDEX('كشف الحساب'!$F$4:$F$353,IFERROR(MATCH(80,'كشف الحساب'!$N$4:$N$353,0),0))),"")</f>
        <v/>
      </c>
      <c r="G84" s="70" t="str">
        <f>IFERROR(IF(IFERROR(MATCH(80,'كشف الحساب'!$N$4:$N$353,0),0)=0,"",INDEX('كشف الحساب'!$G$4:$G$353,IFERROR(MATCH(80,'كشف الحساب'!$N$4:$N$353,0),0))),"")</f>
        <v/>
      </c>
      <c r="H84" s="70" t="str">
        <f>IFERROR(IF(IFERROR(MATCH(80,'كشف الحساب'!$N$4:$N$353,0),0)=0,"",INDEX('كشف الحساب'!$H$4:$H$353,IFERROR(MATCH(80,'كشف الحساب'!$N$4:$N$353,0),0))),"")</f>
        <v/>
      </c>
      <c r="I84" s="70" t="str">
        <f>IFERROR(IF(IFERROR(MATCH(80,'كشف الحساب'!$N$4:$N$353,0),0)=0,"",INDEX('كشف الحساب'!$I$4:$I$353,IFERROR(MATCH(80,'كشف الحساب'!$N$4:$N$353,0),0))),"")</f>
        <v/>
      </c>
      <c r="J84" s="74" t="str">
        <f>IFERROR(IF(IFERROR(MATCH(80,'كشف الحساب'!$N$4:$N$353,0),0)=0,"",INDEX('كشف الحساب'!$J$4:$J$353,IFERROR(MATCH(80,'كشف الحساب'!$N$4:$N$353,0),0))),"")</f>
        <v/>
      </c>
      <c r="K84" s="70" t="str">
        <f>IFERROR(IF(IFERROR(MATCH(80,'كشف الحساب'!$N$4:$N$353,0),0)=0,"",INDEX('كشف الحساب'!$K$4:$K$353,IFERROR(MATCH(80,'كشف الحساب'!$N$4:$N$353,0),0))),"")</f>
        <v/>
      </c>
    </row>
    <row r="85" spans="1:11" ht="15" customHeight="1" x14ac:dyDescent="0.25">
      <c r="A85" s="63" t="str">
        <f>IFERROR(IF(IFERROR(MATCH(81,'كشف الحساب'!$N$4:$N$353,0),0)=0,"",INDEX('كشف الحساب'!$A$4:$A$353,IFERROR(MATCH(81,'كشف الحساب'!$N$4:$N$353,0),0))),"")</f>
        <v/>
      </c>
      <c r="B85" s="64" t="str">
        <f>IFERROR(IF(IFERROR(MATCH(81,'كشف الحساب'!$N$4:$N$353,0),0)=0,"",INDEX('كشف الحساب'!$B$4:$B$353,IFERROR(MATCH(81,'كشف الحساب'!$N$4:$N$353,0),0))),"")</f>
        <v/>
      </c>
      <c r="C85" s="65" t="str">
        <f>IFERROR(IF(IFERROR(MATCH(81,'كشف الحساب'!$N$4:$N$353,0),0)=0,"",INDEX('كشف الحساب'!$C$4:$C$353,IFERROR(MATCH(81,'كشف الحساب'!$N$4:$N$353,0),0))),"")</f>
        <v/>
      </c>
      <c r="D85" s="66" t="str">
        <f>IFERROR(IF(IFERROR(MATCH(81,'كشف الحساب'!$N$4:$N$353,0),0)=0,"",INDEX('كشف الحساب'!$D$4:$D$353,IFERROR(MATCH(81,'كشف الحساب'!$N$4:$N$353,0),0))),"")</f>
        <v/>
      </c>
      <c r="E85" s="67" t="str">
        <f>IFERROR(IF(IFERROR(MATCH(81,'كشف الحساب'!$N$4:$N$353,0),0)=0,"",INDEX('كشف الحساب'!$E$4:$E$353,IFERROR(MATCH(81,'كشف الحساب'!$N$4:$N$353,0),0))),"")</f>
        <v/>
      </c>
      <c r="F85" s="64" t="str">
        <f>IFERROR(IF(IFERROR(MATCH(81,'كشف الحساب'!$N$4:$N$353,0),0)=0,"",INDEX('كشف الحساب'!$F$4:$F$353,IFERROR(MATCH(81,'كشف الحساب'!$N$4:$N$353,0),0))),"")</f>
        <v/>
      </c>
      <c r="G85" s="64" t="str">
        <f>IFERROR(IF(IFERROR(MATCH(81,'كشف الحساب'!$N$4:$N$353,0),0)=0,"",INDEX('كشف الحساب'!$G$4:$G$353,IFERROR(MATCH(81,'كشف الحساب'!$N$4:$N$353,0),0))),"")</f>
        <v/>
      </c>
      <c r="H85" s="64" t="str">
        <f>IFERROR(IF(IFERROR(MATCH(81,'كشف الحساب'!$N$4:$N$353,0),0)=0,"",INDEX('كشف الحساب'!$H$4:$H$353,IFERROR(MATCH(81,'كشف الحساب'!$N$4:$N$353,0),0))),"")</f>
        <v/>
      </c>
      <c r="I85" s="64" t="str">
        <f>IFERROR(IF(IFERROR(MATCH(81,'كشف الحساب'!$N$4:$N$353,0),0)=0,"",INDEX('كشف الحساب'!$I$4:$I$353,IFERROR(MATCH(81,'كشف الحساب'!$N$4:$N$353,0),0))),"")</f>
        <v/>
      </c>
      <c r="J85" s="68" t="str">
        <f>IFERROR(IF(IFERROR(MATCH(81,'كشف الحساب'!$N$4:$N$353,0),0)=0,"",INDEX('كشف الحساب'!$J$4:$J$353,IFERROR(MATCH(81,'كشف الحساب'!$N$4:$N$353,0),0))),"")</f>
        <v/>
      </c>
      <c r="K85" s="64" t="str">
        <f>IFERROR(IF(IFERROR(MATCH(81,'كشف الحساب'!$N$4:$N$353,0),0)=0,"",INDEX('كشف الحساب'!$K$4:$K$353,IFERROR(MATCH(81,'كشف الحساب'!$N$4:$N$353,0),0))),"")</f>
        <v/>
      </c>
    </row>
    <row r="86" spans="1:11" ht="15" customHeight="1" x14ac:dyDescent="0.25">
      <c r="A86" s="69" t="str">
        <f>IFERROR(IF(IFERROR(MATCH(82,'كشف الحساب'!$N$4:$N$353,0),0)=0,"",INDEX('كشف الحساب'!$A$4:$A$353,IFERROR(MATCH(82,'كشف الحساب'!$N$4:$N$353,0),0))),"")</f>
        <v/>
      </c>
      <c r="B86" s="70" t="str">
        <f>IFERROR(IF(IFERROR(MATCH(82,'كشف الحساب'!$N$4:$N$353,0),0)=0,"",INDEX('كشف الحساب'!$B$4:$B$353,IFERROR(MATCH(82,'كشف الحساب'!$N$4:$N$353,0),0))),"")</f>
        <v/>
      </c>
      <c r="C86" s="71" t="str">
        <f>IFERROR(IF(IFERROR(MATCH(82,'كشف الحساب'!$N$4:$N$353,0),0)=0,"",INDEX('كشف الحساب'!$C$4:$C$353,IFERROR(MATCH(82,'كشف الحساب'!$N$4:$N$353,0),0))),"")</f>
        <v/>
      </c>
      <c r="D86" s="72" t="str">
        <f>IFERROR(IF(IFERROR(MATCH(82,'كشف الحساب'!$N$4:$N$353,0),0)=0,"",INDEX('كشف الحساب'!$D$4:$D$353,IFERROR(MATCH(82,'كشف الحساب'!$N$4:$N$353,0),0))),"")</f>
        <v/>
      </c>
      <c r="E86" s="73" t="str">
        <f>IFERROR(IF(IFERROR(MATCH(82,'كشف الحساب'!$N$4:$N$353,0),0)=0,"",INDEX('كشف الحساب'!$E$4:$E$353,IFERROR(MATCH(82,'كشف الحساب'!$N$4:$N$353,0),0))),"")</f>
        <v/>
      </c>
      <c r="F86" s="70" t="str">
        <f>IFERROR(IF(IFERROR(MATCH(82,'كشف الحساب'!$N$4:$N$353,0),0)=0,"",INDEX('كشف الحساب'!$F$4:$F$353,IFERROR(MATCH(82,'كشف الحساب'!$N$4:$N$353,0),0))),"")</f>
        <v/>
      </c>
      <c r="G86" s="70" t="str">
        <f>IFERROR(IF(IFERROR(MATCH(82,'كشف الحساب'!$N$4:$N$353,0),0)=0,"",INDEX('كشف الحساب'!$G$4:$G$353,IFERROR(MATCH(82,'كشف الحساب'!$N$4:$N$353,0),0))),"")</f>
        <v/>
      </c>
      <c r="H86" s="70" t="str">
        <f>IFERROR(IF(IFERROR(MATCH(82,'كشف الحساب'!$N$4:$N$353,0),0)=0,"",INDEX('كشف الحساب'!$H$4:$H$353,IFERROR(MATCH(82,'كشف الحساب'!$N$4:$N$353,0),0))),"")</f>
        <v/>
      </c>
      <c r="I86" s="70" t="str">
        <f>IFERROR(IF(IFERROR(MATCH(82,'كشف الحساب'!$N$4:$N$353,0),0)=0,"",INDEX('كشف الحساب'!$I$4:$I$353,IFERROR(MATCH(82,'كشف الحساب'!$N$4:$N$353,0),0))),"")</f>
        <v/>
      </c>
      <c r="J86" s="74" t="str">
        <f>IFERROR(IF(IFERROR(MATCH(82,'كشف الحساب'!$N$4:$N$353,0),0)=0,"",INDEX('كشف الحساب'!$J$4:$J$353,IFERROR(MATCH(82,'كشف الحساب'!$N$4:$N$353,0),0))),"")</f>
        <v/>
      </c>
      <c r="K86" s="70" t="str">
        <f>IFERROR(IF(IFERROR(MATCH(82,'كشف الحساب'!$N$4:$N$353,0),0)=0,"",INDEX('كشف الحساب'!$K$4:$K$353,IFERROR(MATCH(82,'كشف الحساب'!$N$4:$N$353,0),0))),"")</f>
        <v/>
      </c>
    </row>
    <row r="87" spans="1:11" ht="15" customHeight="1" x14ac:dyDescent="0.25">
      <c r="A87" s="63" t="str">
        <f>IFERROR(IF(IFERROR(MATCH(83,'كشف الحساب'!$N$4:$N$353,0),0)=0,"",INDEX('كشف الحساب'!$A$4:$A$353,IFERROR(MATCH(83,'كشف الحساب'!$N$4:$N$353,0),0))),"")</f>
        <v/>
      </c>
      <c r="B87" s="64" t="str">
        <f>IFERROR(IF(IFERROR(MATCH(83,'كشف الحساب'!$N$4:$N$353,0),0)=0,"",INDEX('كشف الحساب'!$B$4:$B$353,IFERROR(MATCH(83,'كشف الحساب'!$N$4:$N$353,0),0))),"")</f>
        <v/>
      </c>
      <c r="C87" s="65" t="str">
        <f>IFERROR(IF(IFERROR(MATCH(83,'كشف الحساب'!$N$4:$N$353,0),0)=0,"",INDEX('كشف الحساب'!$C$4:$C$353,IFERROR(MATCH(83,'كشف الحساب'!$N$4:$N$353,0),0))),"")</f>
        <v/>
      </c>
      <c r="D87" s="66" t="str">
        <f>IFERROR(IF(IFERROR(MATCH(83,'كشف الحساب'!$N$4:$N$353,0),0)=0,"",INDEX('كشف الحساب'!$D$4:$D$353,IFERROR(MATCH(83,'كشف الحساب'!$N$4:$N$353,0),0))),"")</f>
        <v/>
      </c>
      <c r="E87" s="67" t="str">
        <f>IFERROR(IF(IFERROR(MATCH(83,'كشف الحساب'!$N$4:$N$353,0),0)=0,"",INDEX('كشف الحساب'!$E$4:$E$353,IFERROR(MATCH(83,'كشف الحساب'!$N$4:$N$353,0),0))),"")</f>
        <v/>
      </c>
      <c r="F87" s="64" t="str">
        <f>IFERROR(IF(IFERROR(MATCH(83,'كشف الحساب'!$N$4:$N$353,0),0)=0,"",INDEX('كشف الحساب'!$F$4:$F$353,IFERROR(MATCH(83,'كشف الحساب'!$N$4:$N$353,0),0))),"")</f>
        <v/>
      </c>
      <c r="G87" s="64" t="str">
        <f>IFERROR(IF(IFERROR(MATCH(83,'كشف الحساب'!$N$4:$N$353,0),0)=0,"",INDEX('كشف الحساب'!$G$4:$G$353,IFERROR(MATCH(83,'كشف الحساب'!$N$4:$N$353,0),0))),"")</f>
        <v/>
      </c>
      <c r="H87" s="64" t="str">
        <f>IFERROR(IF(IFERROR(MATCH(83,'كشف الحساب'!$N$4:$N$353,0),0)=0,"",INDEX('كشف الحساب'!$H$4:$H$353,IFERROR(MATCH(83,'كشف الحساب'!$N$4:$N$353,0),0))),"")</f>
        <v/>
      </c>
      <c r="I87" s="64" t="str">
        <f>IFERROR(IF(IFERROR(MATCH(83,'كشف الحساب'!$N$4:$N$353,0),0)=0,"",INDEX('كشف الحساب'!$I$4:$I$353,IFERROR(MATCH(83,'كشف الحساب'!$N$4:$N$353,0),0))),"")</f>
        <v/>
      </c>
      <c r="J87" s="68" t="str">
        <f>IFERROR(IF(IFERROR(MATCH(83,'كشف الحساب'!$N$4:$N$353,0),0)=0,"",INDEX('كشف الحساب'!$J$4:$J$353,IFERROR(MATCH(83,'كشف الحساب'!$N$4:$N$353,0),0))),"")</f>
        <v/>
      </c>
      <c r="K87" s="64" t="str">
        <f>IFERROR(IF(IFERROR(MATCH(83,'كشف الحساب'!$N$4:$N$353,0),0)=0,"",INDEX('كشف الحساب'!$K$4:$K$353,IFERROR(MATCH(83,'كشف الحساب'!$N$4:$N$353,0),0))),"")</f>
        <v/>
      </c>
    </row>
    <row r="88" spans="1:11" ht="15" customHeight="1" x14ac:dyDescent="0.25">
      <c r="A88" s="69" t="str">
        <f>IFERROR(IF(IFERROR(MATCH(84,'كشف الحساب'!$N$4:$N$353,0),0)=0,"",INDEX('كشف الحساب'!$A$4:$A$353,IFERROR(MATCH(84,'كشف الحساب'!$N$4:$N$353,0),0))),"")</f>
        <v/>
      </c>
      <c r="B88" s="70" t="str">
        <f>IFERROR(IF(IFERROR(MATCH(84,'كشف الحساب'!$N$4:$N$353,0),0)=0,"",INDEX('كشف الحساب'!$B$4:$B$353,IFERROR(MATCH(84,'كشف الحساب'!$N$4:$N$353,0),0))),"")</f>
        <v/>
      </c>
      <c r="C88" s="71" t="str">
        <f>IFERROR(IF(IFERROR(MATCH(84,'كشف الحساب'!$N$4:$N$353,0),0)=0,"",INDEX('كشف الحساب'!$C$4:$C$353,IFERROR(MATCH(84,'كشف الحساب'!$N$4:$N$353,0),0))),"")</f>
        <v/>
      </c>
      <c r="D88" s="72" t="str">
        <f>IFERROR(IF(IFERROR(MATCH(84,'كشف الحساب'!$N$4:$N$353,0),0)=0,"",INDEX('كشف الحساب'!$D$4:$D$353,IFERROR(MATCH(84,'كشف الحساب'!$N$4:$N$353,0),0))),"")</f>
        <v/>
      </c>
      <c r="E88" s="73" t="str">
        <f>IFERROR(IF(IFERROR(MATCH(84,'كشف الحساب'!$N$4:$N$353,0),0)=0,"",INDEX('كشف الحساب'!$E$4:$E$353,IFERROR(MATCH(84,'كشف الحساب'!$N$4:$N$353,0),0))),"")</f>
        <v/>
      </c>
      <c r="F88" s="70" t="str">
        <f>IFERROR(IF(IFERROR(MATCH(84,'كشف الحساب'!$N$4:$N$353,0),0)=0,"",INDEX('كشف الحساب'!$F$4:$F$353,IFERROR(MATCH(84,'كشف الحساب'!$N$4:$N$353,0),0))),"")</f>
        <v/>
      </c>
      <c r="G88" s="70" t="str">
        <f>IFERROR(IF(IFERROR(MATCH(84,'كشف الحساب'!$N$4:$N$353,0),0)=0,"",INDEX('كشف الحساب'!$G$4:$G$353,IFERROR(MATCH(84,'كشف الحساب'!$N$4:$N$353,0),0))),"")</f>
        <v/>
      </c>
      <c r="H88" s="70" t="str">
        <f>IFERROR(IF(IFERROR(MATCH(84,'كشف الحساب'!$N$4:$N$353,0),0)=0,"",INDEX('كشف الحساب'!$H$4:$H$353,IFERROR(MATCH(84,'كشف الحساب'!$N$4:$N$353,0),0))),"")</f>
        <v/>
      </c>
      <c r="I88" s="70" t="str">
        <f>IFERROR(IF(IFERROR(MATCH(84,'كشف الحساب'!$N$4:$N$353,0),0)=0,"",INDEX('كشف الحساب'!$I$4:$I$353,IFERROR(MATCH(84,'كشف الحساب'!$N$4:$N$353,0),0))),"")</f>
        <v/>
      </c>
      <c r="J88" s="74" t="str">
        <f>IFERROR(IF(IFERROR(MATCH(84,'كشف الحساب'!$N$4:$N$353,0),0)=0,"",INDEX('كشف الحساب'!$J$4:$J$353,IFERROR(MATCH(84,'كشف الحساب'!$N$4:$N$353,0),0))),"")</f>
        <v/>
      </c>
      <c r="K88" s="70" t="str">
        <f>IFERROR(IF(IFERROR(MATCH(84,'كشف الحساب'!$N$4:$N$353,0),0)=0,"",INDEX('كشف الحساب'!$K$4:$K$353,IFERROR(MATCH(84,'كشف الحساب'!$N$4:$N$353,0),0))),"")</f>
        <v/>
      </c>
    </row>
    <row r="89" spans="1:11" ht="15" customHeight="1" x14ac:dyDescent="0.25">
      <c r="A89" s="63" t="str">
        <f>IFERROR(IF(IFERROR(MATCH(85,'كشف الحساب'!$N$4:$N$353,0),0)=0,"",INDEX('كشف الحساب'!$A$4:$A$353,IFERROR(MATCH(85,'كشف الحساب'!$N$4:$N$353,0),0))),"")</f>
        <v/>
      </c>
      <c r="B89" s="64" t="str">
        <f>IFERROR(IF(IFERROR(MATCH(85,'كشف الحساب'!$N$4:$N$353,0),0)=0,"",INDEX('كشف الحساب'!$B$4:$B$353,IFERROR(MATCH(85,'كشف الحساب'!$N$4:$N$353,0),0))),"")</f>
        <v/>
      </c>
      <c r="C89" s="65" t="str">
        <f>IFERROR(IF(IFERROR(MATCH(85,'كشف الحساب'!$N$4:$N$353,0),0)=0,"",INDEX('كشف الحساب'!$C$4:$C$353,IFERROR(MATCH(85,'كشف الحساب'!$N$4:$N$353,0),0))),"")</f>
        <v/>
      </c>
      <c r="D89" s="66" t="str">
        <f>IFERROR(IF(IFERROR(MATCH(85,'كشف الحساب'!$N$4:$N$353,0),0)=0,"",INDEX('كشف الحساب'!$D$4:$D$353,IFERROR(MATCH(85,'كشف الحساب'!$N$4:$N$353,0),0))),"")</f>
        <v/>
      </c>
      <c r="E89" s="67" t="str">
        <f>IFERROR(IF(IFERROR(MATCH(85,'كشف الحساب'!$N$4:$N$353,0),0)=0,"",INDEX('كشف الحساب'!$E$4:$E$353,IFERROR(MATCH(85,'كشف الحساب'!$N$4:$N$353,0),0))),"")</f>
        <v/>
      </c>
      <c r="F89" s="64" t="str">
        <f>IFERROR(IF(IFERROR(MATCH(85,'كشف الحساب'!$N$4:$N$353,0),0)=0,"",INDEX('كشف الحساب'!$F$4:$F$353,IFERROR(MATCH(85,'كشف الحساب'!$N$4:$N$353,0),0))),"")</f>
        <v/>
      </c>
      <c r="G89" s="64" t="str">
        <f>IFERROR(IF(IFERROR(MATCH(85,'كشف الحساب'!$N$4:$N$353,0),0)=0,"",INDEX('كشف الحساب'!$G$4:$G$353,IFERROR(MATCH(85,'كشف الحساب'!$N$4:$N$353,0),0))),"")</f>
        <v/>
      </c>
      <c r="H89" s="64" t="str">
        <f>IFERROR(IF(IFERROR(MATCH(85,'كشف الحساب'!$N$4:$N$353,0),0)=0,"",INDEX('كشف الحساب'!$H$4:$H$353,IFERROR(MATCH(85,'كشف الحساب'!$N$4:$N$353,0),0))),"")</f>
        <v/>
      </c>
      <c r="I89" s="64" t="str">
        <f>IFERROR(IF(IFERROR(MATCH(85,'كشف الحساب'!$N$4:$N$353,0),0)=0,"",INDEX('كشف الحساب'!$I$4:$I$353,IFERROR(MATCH(85,'كشف الحساب'!$N$4:$N$353,0),0))),"")</f>
        <v/>
      </c>
      <c r="J89" s="68" t="str">
        <f>IFERROR(IF(IFERROR(MATCH(85,'كشف الحساب'!$N$4:$N$353,0),0)=0,"",INDEX('كشف الحساب'!$J$4:$J$353,IFERROR(MATCH(85,'كشف الحساب'!$N$4:$N$353,0),0))),"")</f>
        <v/>
      </c>
      <c r="K89" s="64" t="str">
        <f>IFERROR(IF(IFERROR(MATCH(85,'كشف الحساب'!$N$4:$N$353,0),0)=0,"",INDEX('كشف الحساب'!$K$4:$K$353,IFERROR(MATCH(85,'كشف الحساب'!$N$4:$N$353,0),0))),"")</f>
        <v/>
      </c>
    </row>
    <row r="90" spans="1:11" ht="15" customHeight="1" x14ac:dyDescent="0.25">
      <c r="A90" s="69" t="str">
        <f>IFERROR(IF(IFERROR(MATCH(86,'كشف الحساب'!$N$4:$N$353,0),0)=0,"",INDEX('كشف الحساب'!$A$4:$A$353,IFERROR(MATCH(86,'كشف الحساب'!$N$4:$N$353,0),0))),"")</f>
        <v/>
      </c>
      <c r="B90" s="70" t="str">
        <f>IFERROR(IF(IFERROR(MATCH(86,'كشف الحساب'!$N$4:$N$353,0),0)=0,"",INDEX('كشف الحساب'!$B$4:$B$353,IFERROR(MATCH(86,'كشف الحساب'!$N$4:$N$353,0),0))),"")</f>
        <v/>
      </c>
      <c r="C90" s="71" t="str">
        <f>IFERROR(IF(IFERROR(MATCH(86,'كشف الحساب'!$N$4:$N$353,0),0)=0,"",INDEX('كشف الحساب'!$C$4:$C$353,IFERROR(MATCH(86,'كشف الحساب'!$N$4:$N$353,0),0))),"")</f>
        <v/>
      </c>
      <c r="D90" s="72" t="str">
        <f>IFERROR(IF(IFERROR(MATCH(86,'كشف الحساب'!$N$4:$N$353,0),0)=0,"",INDEX('كشف الحساب'!$D$4:$D$353,IFERROR(MATCH(86,'كشف الحساب'!$N$4:$N$353,0),0))),"")</f>
        <v/>
      </c>
      <c r="E90" s="73" t="str">
        <f>IFERROR(IF(IFERROR(MATCH(86,'كشف الحساب'!$N$4:$N$353,0),0)=0,"",INDEX('كشف الحساب'!$E$4:$E$353,IFERROR(MATCH(86,'كشف الحساب'!$N$4:$N$353,0),0))),"")</f>
        <v/>
      </c>
      <c r="F90" s="70" t="str">
        <f>IFERROR(IF(IFERROR(MATCH(86,'كشف الحساب'!$N$4:$N$353,0),0)=0,"",INDEX('كشف الحساب'!$F$4:$F$353,IFERROR(MATCH(86,'كشف الحساب'!$N$4:$N$353,0),0))),"")</f>
        <v/>
      </c>
      <c r="G90" s="70" t="str">
        <f>IFERROR(IF(IFERROR(MATCH(86,'كشف الحساب'!$N$4:$N$353,0),0)=0,"",INDEX('كشف الحساب'!$G$4:$G$353,IFERROR(MATCH(86,'كشف الحساب'!$N$4:$N$353,0),0))),"")</f>
        <v/>
      </c>
      <c r="H90" s="70" t="str">
        <f>IFERROR(IF(IFERROR(MATCH(86,'كشف الحساب'!$N$4:$N$353,0),0)=0,"",INDEX('كشف الحساب'!$H$4:$H$353,IFERROR(MATCH(86,'كشف الحساب'!$N$4:$N$353,0),0))),"")</f>
        <v/>
      </c>
      <c r="I90" s="70" t="str">
        <f>IFERROR(IF(IFERROR(MATCH(86,'كشف الحساب'!$N$4:$N$353,0),0)=0,"",INDEX('كشف الحساب'!$I$4:$I$353,IFERROR(MATCH(86,'كشف الحساب'!$N$4:$N$353,0),0))),"")</f>
        <v/>
      </c>
      <c r="J90" s="74" t="str">
        <f>IFERROR(IF(IFERROR(MATCH(86,'كشف الحساب'!$N$4:$N$353,0),0)=0,"",INDEX('كشف الحساب'!$J$4:$J$353,IFERROR(MATCH(86,'كشف الحساب'!$N$4:$N$353,0),0))),"")</f>
        <v/>
      </c>
      <c r="K90" s="70" t="str">
        <f>IFERROR(IF(IFERROR(MATCH(86,'كشف الحساب'!$N$4:$N$353,0),0)=0,"",INDEX('كشف الحساب'!$K$4:$K$353,IFERROR(MATCH(86,'كشف الحساب'!$N$4:$N$353,0),0))),"")</f>
        <v/>
      </c>
    </row>
    <row r="91" spans="1:11" ht="15" customHeight="1" x14ac:dyDescent="0.25">
      <c r="A91" s="63" t="str">
        <f>IFERROR(IF(IFERROR(MATCH(87,'كشف الحساب'!$N$4:$N$353,0),0)=0,"",INDEX('كشف الحساب'!$A$4:$A$353,IFERROR(MATCH(87,'كشف الحساب'!$N$4:$N$353,0),0))),"")</f>
        <v/>
      </c>
      <c r="B91" s="64" t="str">
        <f>IFERROR(IF(IFERROR(MATCH(87,'كشف الحساب'!$N$4:$N$353,0),0)=0,"",INDEX('كشف الحساب'!$B$4:$B$353,IFERROR(MATCH(87,'كشف الحساب'!$N$4:$N$353,0),0))),"")</f>
        <v/>
      </c>
      <c r="C91" s="65" t="str">
        <f>IFERROR(IF(IFERROR(MATCH(87,'كشف الحساب'!$N$4:$N$353,0),0)=0,"",INDEX('كشف الحساب'!$C$4:$C$353,IFERROR(MATCH(87,'كشف الحساب'!$N$4:$N$353,0),0))),"")</f>
        <v/>
      </c>
      <c r="D91" s="66" t="str">
        <f>IFERROR(IF(IFERROR(MATCH(87,'كشف الحساب'!$N$4:$N$353,0),0)=0,"",INDEX('كشف الحساب'!$D$4:$D$353,IFERROR(MATCH(87,'كشف الحساب'!$N$4:$N$353,0),0))),"")</f>
        <v/>
      </c>
      <c r="E91" s="67" t="str">
        <f>IFERROR(IF(IFERROR(MATCH(87,'كشف الحساب'!$N$4:$N$353,0),0)=0,"",INDEX('كشف الحساب'!$E$4:$E$353,IFERROR(MATCH(87,'كشف الحساب'!$N$4:$N$353,0),0))),"")</f>
        <v/>
      </c>
      <c r="F91" s="64" t="str">
        <f>IFERROR(IF(IFERROR(MATCH(87,'كشف الحساب'!$N$4:$N$353,0),0)=0,"",INDEX('كشف الحساب'!$F$4:$F$353,IFERROR(MATCH(87,'كشف الحساب'!$N$4:$N$353,0),0))),"")</f>
        <v/>
      </c>
      <c r="G91" s="64" t="str">
        <f>IFERROR(IF(IFERROR(MATCH(87,'كشف الحساب'!$N$4:$N$353,0),0)=0,"",INDEX('كشف الحساب'!$G$4:$G$353,IFERROR(MATCH(87,'كشف الحساب'!$N$4:$N$353,0),0))),"")</f>
        <v/>
      </c>
      <c r="H91" s="64" t="str">
        <f>IFERROR(IF(IFERROR(MATCH(87,'كشف الحساب'!$N$4:$N$353,0),0)=0,"",INDEX('كشف الحساب'!$H$4:$H$353,IFERROR(MATCH(87,'كشف الحساب'!$N$4:$N$353,0),0))),"")</f>
        <v/>
      </c>
      <c r="I91" s="64" t="str">
        <f>IFERROR(IF(IFERROR(MATCH(87,'كشف الحساب'!$N$4:$N$353,0),0)=0,"",INDEX('كشف الحساب'!$I$4:$I$353,IFERROR(MATCH(87,'كشف الحساب'!$N$4:$N$353,0),0))),"")</f>
        <v/>
      </c>
      <c r="J91" s="68" t="str">
        <f>IFERROR(IF(IFERROR(MATCH(87,'كشف الحساب'!$N$4:$N$353,0),0)=0,"",INDEX('كشف الحساب'!$J$4:$J$353,IFERROR(MATCH(87,'كشف الحساب'!$N$4:$N$353,0),0))),"")</f>
        <v/>
      </c>
      <c r="K91" s="64" t="str">
        <f>IFERROR(IF(IFERROR(MATCH(87,'كشف الحساب'!$N$4:$N$353,0),0)=0,"",INDEX('كشف الحساب'!$K$4:$K$353,IFERROR(MATCH(87,'كشف الحساب'!$N$4:$N$353,0),0))),"")</f>
        <v/>
      </c>
    </row>
    <row r="92" spans="1:11" ht="15" customHeight="1" x14ac:dyDescent="0.25">
      <c r="A92" s="69" t="str">
        <f>IFERROR(IF(IFERROR(MATCH(88,'كشف الحساب'!$N$4:$N$353,0),0)=0,"",INDEX('كشف الحساب'!$A$4:$A$353,IFERROR(MATCH(88,'كشف الحساب'!$N$4:$N$353,0),0))),"")</f>
        <v/>
      </c>
      <c r="B92" s="70" t="str">
        <f>IFERROR(IF(IFERROR(MATCH(88,'كشف الحساب'!$N$4:$N$353,0),0)=0,"",INDEX('كشف الحساب'!$B$4:$B$353,IFERROR(MATCH(88,'كشف الحساب'!$N$4:$N$353,0),0))),"")</f>
        <v/>
      </c>
      <c r="C92" s="71" t="str">
        <f>IFERROR(IF(IFERROR(MATCH(88,'كشف الحساب'!$N$4:$N$353,0),0)=0,"",INDEX('كشف الحساب'!$C$4:$C$353,IFERROR(MATCH(88,'كشف الحساب'!$N$4:$N$353,0),0))),"")</f>
        <v/>
      </c>
      <c r="D92" s="72" t="str">
        <f>IFERROR(IF(IFERROR(MATCH(88,'كشف الحساب'!$N$4:$N$353,0),0)=0,"",INDEX('كشف الحساب'!$D$4:$D$353,IFERROR(MATCH(88,'كشف الحساب'!$N$4:$N$353,0),0))),"")</f>
        <v/>
      </c>
      <c r="E92" s="73" t="str">
        <f>IFERROR(IF(IFERROR(MATCH(88,'كشف الحساب'!$N$4:$N$353,0),0)=0,"",INDEX('كشف الحساب'!$E$4:$E$353,IFERROR(MATCH(88,'كشف الحساب'!$N$4:$N$353,0),0))),"")</f>
        <v/>
      </c>
      <c r="F92" s="70" t="str">
        <f>IFERROR(IF(IFERROR(MATCH(88,'كشف الحساب'!$N$4:$N$353,0),0)=0,"",INDEX('كشف الحساب'!$F$4:$F$353,IFERROR(MATCH(88,'كشف الحساب'!$N$4:$N$353,0),0))),"")</f>
        <v/>
      </c>
      <c r="G92" s="70" t="str">
        <f>IFERROR(IF(IFERROR(MATCH(88,'كشف الحساب'!$N$4:$N$353,0),0)=0,"",INDEX('كشف الحساب'!$G$4:$G$353,IFERROR(MATCH(88,'كشف الحساب'!$N$4:$N$353,0),0))),"")</f>
        <v/>
      </c>
      <c r="H92" s="70" t="str">
        <f>IFERROR(IF(IFERROR(MATCH(88,'كشف الحساب'!$N$4:$N$353,0),0)=0,"",INDEX('كشف الحساب'!$H$4:$H$353,IFERROR(MATCH(88,'كشف الحساب'!$N$4:$N$353,0),0))),"")</f>
        <v/>
      </c>
      <c r="I92" s="70" t="str">
        <f>IFERROR(IF(IFERROR(MATCH(88,'كشف الحساب'!$N$4:$N$353,0),0)=0,"",INDEX('كشف الحساب'!$I$4:$I$353,IFERROR(MATCH(88,'كشف الحساب'!$N$4:$N$353,0),0))),"")</f>
        <v/>
      </c>
      <c r="J92" s="74" t="str">
        <f>IFERROR(IF(IFERROR(MATCH(88,'كشف الحساب'!$N$4:$N$353,0),0)=0,"",INDEX('كشف الحساب'!$J$4:$J$353,IFERROR(MATCH(88,'كشف الحساب'!$N$4:$N$353,0),0))),"")</f>
        <v/>
      </c>
      <c r="K92" s="70" t="str">
        <f>IFERROR(IF(IFERROR(MATCH(88,'كشف الحساب'!$N$4:$N$353,0),0)=0,"",INDEX('كشف الحساب'!$K$4:$K$353,IFERROR(MATCH(88,'كشف الحساب'!$N$4:$N$353,0),0))),"")</f>
        <v/>
      </c>
    </row>
    <row r="93" spans="1:11" ht="15" customHeight="1" x14ac:dyDescent="0.25">
      <c r="A93" s="63" t="str">
        <f>IFERROR(IF(IFERROR(MATCH(89,'كشف الحساب'!$N$4:$N$353,0),0)=0,"",INDEX('كشف الحساب'!$A$4:$A$353,IFERROR(MATCH(89,'كشف الحساب'!$N$4:$N$353,0),0))),"")</f>
        <v/>
      </c>
      <c r="B93" s="64" t="str">
        <f>IFERROR(IF(IFERROR(MATCH(89,'كشف الحساب'!$N$4:$N$353,0),0)=0,"",INDEX('كشف الحساب'!$B$4:$B$353,IFERROR(MATCH(89,'كشف الحساب'!$N$4:$N$353,0),0))),"")</f>
        <v/>
      </c>
      <c r="C93" s="65" t="str">
        <f>IFERROR(IF(IFERROR(MATCH(89,'كشف الحساب'!$N$4:$N$353,0),0)=0,"",INDEX('كشف الحساب'!$C$4:$C$353,IFERROR(MATCH(89,'كشف الحساب'!$N$4:$N$353,0),0))),"")</f>
        <v/>
      </c>
      <c r="D93" s="66" t="str">
        <f>IFERROR(IF(IFERROR(MATCH(89,'كشف الحساب'!$N$4:$N$353,0),0)=0,"",INDEX('كشف الحساب'!$D$4:$D$353,IFERROR(MATCH(89,'كشف الحساب'!$N$4:$N$353,0),0))),"")</f>
        <v/>
      </c>
      <c r="E93" s="67" t="str">
        <f>IFERROR(IF(IFERROR(MATCH(89,'كشف الحساب'!$N$4:$N$353,0),0)=0,"",INDEX('كشف الحساب'!$E$4:$E$353,IFERROR(MATCH(89,'كشف الحساب'!$N$4:$N$353,0),0))),"")</f>
        <v/>
      </c>
      <c r="F93" s="64" t="str">
        <f>IFERROR(IF(IFERROR(MATCH(89,'كشف الحساب'!$N$4:$N$353,0),0)=0,"",INDEX('كشف الحساب'!$F$4:$F$353,IFERROR(MATCH(89,'كشف الحساب'!$N$4:$N$353,0),0))),"")</f>
        <v/>
      </c>
      <c r="G93" s="64" t="str">
        <f>IFERROR(IF(IFERROR(MATCH(89,'كشف الحساب'!$N$4:$N$353,0),0)=0,"",INDEX('كشف الحساب'!$G$4:$G$353,IFERROR(MATCH(89,'كشف الحساب'!$N$4:$N$353,0),0))),"")</f>
        <v/>
      </c>
      <c r="H93" s="64" t="str">
        <f>IFERROR(IF(IFERROR(MATCH(89,'كشف الحساب'!$N$4:$N$353,0),0)=0,"",INDEX('كشف الحساب'!$H$4:$H$353,IFERROR(MATCH(89,'كشف الحساب'!$N$4:$N$353,0),0))),"")</f>
        <v/>
      </c>
      <c r="I93" s="64" t="str">
        <f>IFERROR(IF(IFERROR(MATCH(89,'كشف الحساب'!$N$4:$N$353,0),0)=0,"",INDEX('كشف الحساب'!$I$4:$I$353,IFERROR(MATCH(89,'كشف الحساب'!$N$4:$N$353,0),0))),"")</f>
        <v/>
      </c>
      <c r="J93" s="68" t="str">
        <f>IFERROR(IF(IFERROR(MATCH(89,'كشف الحساب'!$N$4:$N$353,0),0)=0,"",INDEX('كشف الحساب'!$J$4:$J$353,IFERROR(MATCH(89,'كشف الحساب'!$N$4:$N$353,0),0))),"")</f>
        <v/>
      </c>
      <c r="K93" s="64" t="str">
        <f>IFERROR(IF(IFERROR(MATCH(89,'كشف الحساب'!$N$4:$N$353,0),0)=0,"",INDEX('كشف الحساب'!$K$4:$K$353,IFERROR(MATCH(89,'كشف الحساب'!$N$4:$N$353,0),0))),"")</f>
        <v/>
      </c>
    </row>
    <row r="94" spans="1:11" ht="15" customHeight="1" x14ac:dyDescent="0.25">
      <c r="A94" s="69" t="str">
        <f>IFERROR(IF(IFERROR(MATCH(90,'كشف الحساب'!$N$4:$N$353,0),0)=0,"",INDEX('كشف الحساب'!$A$4:$A$353,IFERROR(MATCH(90,'كشف الحساب'!$N$4:$N$353,0),0))),"")</f>
        <v/>
      </c>
      <c r="B94" s="70" t="str">
        <f>IFERROR(IF(IFERROR(MATCH(90,'كشف الحساب'!$N$4:$N$353,0),0)=0,"",INDEX('كشف الحساب'!$B$4:$B$353,IFERROR(MATCH(90,'كشف الحساب'!$N$4:$N$353,0),0))),"")</f>
        <v/>
      </c>
      <c r="C94" s="71" t="str">
        <f>IFERROR(IF(IFERROR(MATCH(90,'كشف الحساب'!$N$4:$N$353,0),0)=0,"",INDEX('كشف الحساب'!$C$4:$C$353,IFERROR(MATCH(90,'كشف الحساب'!$N$4:$N$353,0),0))),"")</f>
        <v/>
      </c>
      <c r="D94" s="72" t="str">
        <f>IFERROR(IF(IFERROR(MATCH(90,'كشف الحساب'!$N$4:$N$353,0),0)=0,"",INDEX('كشف الحساب'!$D$4:$D$353,IFERROR(MATCH(90,'كشف الحساب'!$N$4:$N$353,0),0))),"")</f>
        <v/>
      </c>
      <c r="E94" s="73" t="str">
        <f>IFERROR(IF(IFERROR(MATCH(90,'كشف الحساب'!$N$4:$N$353,0),0)=0,"",INDEX('كشف الحساب'!$E$4:$E$353,IFERROR(MATCH(90,'كشف الحساب'!$N$4:$N$353,0),0))),"")</f>
        <v/>
      </c>
      <c r="F94" s="70" t="str">
        <f>IFERROR(IF(IFERROR(MATCH(90,'كشف الحساب'!$N$4:$N$353,0),0)=0,"",INDEX('كشف الحساب'!$F$4:$F$353,IFERROR(MATCH(90,'كشف الحساب'!$N$4:$N$353,0),0))),"")</f>
        <v/>
      </c>
      <c r="G94" s="70" t="str">
        <f>IFERROR(IF(IFERROR(MATCH(90,'كشف الحساب'!$N$4:$N$353,0),0)=0,"",INDEX('كشف الحساب'!$G$4:$G$353,IFERROR(MATCH(90,'كشف الحساب'!$N$4:$N$353,0),0))),"")</f>
        <v/>
      </c>
      <c r="H94" s="70" t="str">
        <f>IFERROR(IF(IFERROR(MATCH(90,'كشف الحساب'!$N$4:$N$353,0),0)=0,"",INDEX('كشف الحساب'!$H$4:$H$353,IFERROR(MATCH(90,'كشف الحساب'!$N$4:$N$353,0),0))),"")</f>
        <v/>
      </c>
      <c r="I94" s="70" t="str">
        <f>IFERROR(IF(IFERROR(MATCH(90,'كشف الحساب'!$N$4:$N$353,0),0)=0,"",INDEX('كشف الحساب'!$I$4:$I$353,IFERROR(MATCH(90,'كشف الحساب'!$N$4:$N$353,0),0))),"")</f>
        <v/>
      </c>
      <c r="J94" s="74" t="str">
        <f>IFERROR(IF(IFERROR(MATCH(90,'كشف الحساب'!$N$4:$N$353,0),0)=0,"",INDEX('كشف الحساب'!$J$4:$J$353,IFERROR(MATCH(90,'كشف الحساب'!$N$4:$N$353,0),0))),"")</f>
        <v/>
      </c>
      <c r="K94" s="70" t="str">
        <f>IFERROR(IF(IFERROR(MATCH(90,'كشف الحساب'!$N$4:$N$353,0),0)=0,"",INDEX('كشف الحساب'!$K$4:$K$353,IFERROR(MATCH(90,'كشف الحساب'!$N$4:$N$353,0),0))),"")</f>
        <v/>
      </c>
    </row>
    <row r="95" spans="1:11" ht="15" customHeight="1" x14ac:dyDescent="0.25">
      <c r="A95" s="63" t="str">
        <f>IFERROR(IF(IFERROR(MATCH(91,'كشف الحساب'!$N$4:$N$353,0),0)=0,"",INDEX('كشف الحساب'!$A$4:$A$353,IFERROR(MATCH(91,'كشف الحساب'!$N$4:$N$353,0),0))),"")</f>
        <v/>
      </c>
      <c r="B95" s="64" t="str">
        <f>IFERROR(IF(IFERROR(MATCH(91,'كشف الحساب'!$N$4:$N$353,0),0)=0,"",INDEX('كشف الحساب'!$B$4:$B$353,IFERROR(MATCH(91,'كشف الحساب'!$N$4:$N$353,0),0))),"")</f>
        <v/>
      </c>
      <c r="C95" s="65" t="str">
        <f>IFERROR(IF(IFERROR(MATCH(91,'كشف الحساب'!$N$4:$N$353,0),0)=0,"",INDEX('كشف الحساب'!$C$4:$C$353,IFERROR(MATCH(91,'كشف الحساب'!$N$4:$N$353,0),0))),"")</f>
        <v/>
      </c>
      <c r="D95" s="66" t="str">
        <f>IFERROR(IF(IFERROR(MATCH(91,'كشف الحساب'!$N$4:$N$353,0),0)=0,"",INDEX('كشف الحساب'!$D$4:$D$353,IFERROR(MATCH(91,'كشف الحساب'!$N$4:$N$353,0),0))),"")</f>
        <v/>
      </c>
      <c r="E95" s="67" t="str">
        <f>IFERROR(IF(IFERROR(MATCH(91,'كشف الحساب'!$N$4:$N$353,0),0)=0,"",INDEX('كشف الحساب'!$E$4:$E$353,IFERROR(MATCH(91,'كشف الحساب'!$N$4:$N$353,0),0))),"")</f>
        <v/>
      </c>
      <c r="F95" s="64" t="str">
        <f>IFERROR(IF(IFERROR(MATCH(91,'كشف الحساب'!$N$4:$N$353,0),0)=0,"",INDEX('كشف الحساب'!$F$4:$F$353,IFERROR(MATCH(91,'كشف الحساب'!$N$4:$N$353,0),0))),"")</f>
        <v/>
      </c>
      <c r="G95" s="64" t="str">
        <f>IFERROR(IF(IFERROR(MATCH(91,'كشف الحساب'!$N$4:$N$353,0),0)=0,"",INDEX('كشف الحساب'!$G$4:$G$353,IFERROR(MATCH(91,'كشف الحساب'!$N$4:$N$353,0),0))),"")</f>
        <v/>
      </c>
      <c r="H95" s="64" t="str">
        <f>IFERROR(IF(IFERROR(MATCH(91,'كشف الحساب'!$N$4:$N$353,0),0)=0,"",INDEX('كشف الحساب'!$H$4:$H$353,IFERROR(MATCH(91,'كشف الحساب'!$N$4:$N$353,0),0))),"")</f>
        <v/>
      </c>
      <c r="I95" s="64" t="str">
        <f>IFERROR(IF(IFERROR(MATCH(91,'كشف الحساب'!$N$4:$N$353,0),0)=0,"",INDEX('كشف الحساب'!$I$4:$I$353,IFERROR(MATCH(91,'كشف الحساب'!$N$4:$N$353,0),0))),"")</f>
        <v/>
      </c>
      <c r="J95" s="68" t="str">
        <f>IFERROR(IF(IFERROR(MATCH(91,'كشف الحساب'!$N$4:$N$353,0),0)=0,"",INDEX('كشف الحساب'!$J$4:$J$353,IFERROR(MATCH(91,'كشف الحساب'!$N$4:$N$353,0),0))),"")</f>
        <v/>
      </c>
      <c r="K95" s="64" t="str">
        <f>IFERROR(IF(IFERROR(MATCH(91,'كشف الحساب'!$N$4:$N$353,0),0)=0,"",INDEX('كشف الحساب'!$K$4:$K$353,IFERROR(MATCH(91,'كشف الحساب'!$N$4:$N$353,0),0))),"")</f>
        <v/>
      </c>
    </row>
    <row r="96" spans="1:11" ht="15" customHeight="1" x14ac:dyDescent="0.25">
      <c r="A96" s="69" t="str">
        <f>IFERROR(IF(IFERROR(MATCH(92,'كشف الحساب'!$N$4:$N$353,0),0)=0,"",INDEX('كشف الحساب'!$A$4:$A$353,IFERROR(MATCH(92,'كشف الحساب'!$N$4:$N$353,0),0))),"")</f>
        <v/>
      </c>
      <c r="B96" s="70" t="str">
        <f>IFERROR(IF(IFERROR(MATCH(92,'كشف الحساب'!$N$4:$N$353,0),0)=0,"",INDEX('كشف الحساب'!$B$4:$B$353,IFERROR(MATCH(92,'كشف الحساب'!$N$4:$N$353,0),0))),"")</f>
        <v/>
      </c>
      <c r="C96" s="71" t="str">
        <f>IFERROR(IF(IFERROR(MATCH(92,'كشف الحساب'!$N$4:$N$353,0),0)=0,"",INDEX('كشف الحساب'!$C$4:$C$353,IFERROR(MATCH(92,'كشف الحساب'!$N$4:$N$353,0),0))),"")</f>
        <v/>
      </c>
      <c r="D96" s="72" t="str">
        <f>IFERROR(IF(IFERROR(MATCH(92,'كشف الحساب'!$N$4:$N$353,0),0)=0,"",INDEX('كشف الحساب'!$D$4:$D$353,IFERROR(MATCH(92,'كشف الحساب'!$N$4:$N$353,0),0))),"")</f>
        <v/>
      </c>
      <c r="E96" s="73" t="str">
        <f>IFERROR(IF(IFERROR(MATCH(92,'كشف الحساب'!$N$4:$N$353,0),0)=0,"",INDEX('كشف الحساب'!$E$4:$E$353,IFERROR(MATCH(92,'كشف الحساب'!$N$4:$N$353,0),0))),"")</f>
        <v/>
      </c>
      <c r="F96" s="70" t="str">
        <f>IFERROR(IF(IFERROR(MATCH(92,'كشف الحساب'!$N$4:$N$353,0),0)=0,"",INDEX('كشف الحساب'!$F$4:$F$353,IFERROR(MATCH(92,'كشف الحساب'!$N$4:$N$353,0),0))),"")</f>
        <v/>
      </c>
      <c r="G96" s="70" t="str">
        <f>IFERROR(IF(IFERROR(MATCH(92,'كشف الحساب'!$N$4:$N$353,0),0)=0,"",INDEX('كشف الحساب'!$G$4:$G$353,IFERROR(MATCH(92,'كشف الحساب'!$N$4:$N$353,0),0))),"")</f>
        <v/>
      </c>
      <c r="H96" s="70" t="str">
        <f>IFERROR(IF(IFERROR(MATCH(92,'كشف الحساب'!$N$4:$N$353,0),0)=0,"",INDEX('كشف الحساب'!$H$4:$H$353,IFERROR(MATCH(92,'كشف الحساب'!$N$4:$N$353,0),0))),"")</f>
        <v/>
      </c>
      <c r="I96" s="70" t="str">
        <f>IFERROR(IF(IFERROR(MATCH(92,'كشف الحساب'!$N$4:$N$353,0),0)=0,"",INDEX('كشف الحساب'!$I$4:$I$353,IFERROR(MATCH(92,'كشف الحساب'!$N$4:$N$353,0),0))),"")</f>
        <v/>
      </c>
      <c r="J96" s="74" t="str">
        <f>IFERROR(IF(IFERROR(MATCH(92,'كشف الحساب'!$N$4:$N$353,0),0)=0,"",INDEX('كشف الحساب'!$J$4:$J$353,IFERROR(MATCH(92,'كشف الحساب'!$N$4:$N$353,0),0))),"")</f>
        <v/>
      </c>
      <c r="K96" s="70" t="str">
        <f>IFERROR(IF(IFERROR(MATCH(92,'كشف الحساب'!$N$4:$N$353,0),0)=0,"",INDEX('كشف الحساب'!$K$4:$K$353,IFERROR(MATCH(92,'كشف الحساب'!$N$4:$N$353,0),0))),"")</f>
        <v/>
      </c>
    </row>
    <row r="97" spans="1:11" ht="15" customHeight="1" x14ac:dyDescent="0.25">
      <c r="A97" s="63" t="str">
        <f>IFERROR(IF(IFERROR(MATCH(93,'كشف الحساب'!$N$4:$N$353,0),0)=0,"",INDEX('كشف الحساب'!$A$4:$A$353,IFERROR(MATCH(93,'كشف الحساب'!$N$4:$N$353,0),0))),"")</f>
        <v/>
      </c>
      <c r="B97" s="64" t="str">
        <f>IFERROR(IF(IFERROR(MATCH(93,'كشف الحساب'!$N$4:$N$353,0),0)=0,"",INDEX('كشف الحساب'!$B$4:$B$353,IFERROR(MATCH(93,'كشف الحساب'!$N$4:$N$353,0),0))),"")</f>
        <v/>
      </c>
      <c r="C97" s="65" t="str">
        <f>IFERROR(IF(IFERROR(MATCH(93,'كشف الحساب'!$N$4:$N$353,0),0)=0,"",INDEX('كشف الحساب'!$C$4:$C$353,IFERROR(MATCH(93,'كشف الحساب'!$N$4:$N$353,0),0))),"")</f>
        <v/>
      </c>
      <c r="D97" s="66" t="str">
        <f>IFERROR(IF(IFERROR(MATCH(93,'كشف الحساب'!$N$4:$N$353,0),0)=0,"",INDEX('كشف الحساب'!$D$4:$D$353,IFERROR(MATCH(93,'كشف الحساب'!$N$4:$N$353,0),0))),"")</f>
        <v/>
      </c>
      <c r="E97" s="67" t="str">
        <f>IFERROR(IF(IFERROR(MATCH(93,'كشف الحساب'!$N$4:$N$353,0),0)=0,"",INDEX('كشف الحساب'!$E$4:$E$353,IFERROR(MATCH(93,'كشف الحساب'!$N$4:$N$353,0),0))),"")</f>
        <v/>
      </c>
      <c r="F97" s="64" t="str">
        <f>IFERROR(IF(IFERROR(MATCH(93,'كشف الحساب'!$N$4:$N$353,0),0)=0,"",INDEX('كشف الحساب'!$F$4:$F$353,IFERROR(MATCH(93,'كشف الحساب'!$N$4:$N$353,0),0))),"")</f>
        <v/>
      </c>
      <c r="G97" s="64" t="str">
        <f>IFERROR(IF(IFERROR(MATCH(93,'كشف الحساب'!$N$4:$N$353,0),0)=0,"",INDEX('كشف الحساب'!$G$4:$G$353,IFERROR(MATCH(93,'كشف الحساب'!$N$4:$N$353,0),0))),"")</f>
        <v/>
      </c>
      <c r="H97" s="64" t="str">
        <f>IFERROR(IF(IFERROR(MATCH(93,'كشف الحساب'!$N$4:$N$353,0),0)=0,"",INDEX('كشف الحساب'!$H$4:$H$353,IFERROR(MATCH(93,'كشف الحساب'!$N$4:$N$353,0),0))),"")</f>
        <v/>
      </c>
      <c r="I97" s="64" t="str">
        <f>IFERROR(IF(IFERROR(MATCH(93,'كشف الحساب'!$N$4:$N$353,0),0)=0,"",INDEX('كشف الحساب'!$I$4:$I$353,IFERROR(MATCH(93,'كشف الحساب'!$N$4:$N$353,0),0))),"")</f>
        <v/>
      </c>
      <c r="J97" s="68" t="str">
        <f>IFERROR(IF(IFERROR(MATCH(93,'كشف الحساب'!$N$4:$N$353,0),0)=0,"",INDEX('كشف الحساب'!$J$4:$J$353,IFERROR(MATCH(93,'كشف الحساب'!$N$4:$N$353,0),0))),"")</f>
        <v/>
      </c>
      <c r="K97" s="64" t="str">
        <f>IFERROR(IF(IFERROR(MATCH(93,'كشف الحساب'!$N$4:$N$353,0),0)=0,"",INDEX('كشف الحساب'!$K$4:$K$353,IFERROR(MATCH(93,'كشف الحساب'!$N$4:$N$353,0),0))),"")</f>
        <v/>
      </c>
    </row>
    <row r="98" spans="1:11" ht="15" customHeight="1" x14ac:dyDescent="0.25">
      <c r="A98" s="69" t="str">
        <f>IFERROR(IF(IFERROR(MATCH(94,'كشف الحساب'!$N$4:$N$353,0),0)=0,"",INDEX('كشف الحساب'!$A$4:$A$353,IFERROR(MATCH(94,'كشف الحساب'!$N$4:$N$353,0),0))),"")</f>
        <v/>
      </c>
      <c r="B98" s="70" t="str">
        <f>IFERROR(IF(IFERROR(MATCH(94,'كشف الحساب'!$N$4:$N$353,0),0)=0,"",INDEX('كشف الحساب'!$B$4:$B$353,IFERROR(MATCH(94,'كشف الحساب'!$N$4:$N$353,0),0))),"")</f>
        <v/>
      </c>
      <c r="C98" s="71" t="str">
        <f>IFERROR(IF(IFERROR(MATCH(94,'كشف الحساب'!$N$4:$N$353,0),0)=0,"",INDEX('كشف الحساب'!$C$4:$C$353,IFERROR(MATCH(94,'كشف الحساب'!$N$4:$N$353,0),0))),"")</f>
        <v/>
      </c>
      <c r="D98" s="72" t="str">
        <f>IFERROR(IF(IFERROR(MATCH(94,'كشف الحساب'!$N$4:$N$353,0),0)=0,"",INDEX('كشف الحساب'!$D$4:$D$353,IFERROR(MATCH(94,'كشف الحساب'!$N$4:$N$353,0),0))),"")</f>
        <v/>
      </c>
      <c r="E98" s="73" t="str">
        <f>IFERROR(IF(IFERROR(MATCH(94,'كشف الحساب'!$N$4:$N$353,0),0)=0,"",INDEX('كشف الحساب'!$E$4:$E$353,IFERROR(MATCH(94,'كشف الحساب'!$N$4:$N$353,0),0))),"")</f>
        <v/>
      </c>
      <c r="F98" s="70" t="str">
        <f>IFERROR(IF(IFERROR(MATCH(94,'كشف الحساب'!$N$4:$N$353,0),0)=0,"",INDEX('كشف الحساب'!$F$4:$F$353,IFERROR(MATCH(94,'كشف الحساب'!$N$4:$N$353,0),0))),"")</f>
        <v/>
      </c>
      <c r="G98" s="70" t="str">
        <f>IFERROR(IF(IFERROR(MATCH(94,'كشف الحساب'!$N$4:$N$353,0),0)=0,"",INDEX('كشف الحساب'!$G$4:$G$353,IFERROR(MATCH(94,'كشف الحساب'!$N$4:$N$353,0),0))),"")</f>
        <v/>
      </c>
      <c r="H98" s="70" t="str">
        <f>IFERROR(IF(IFERROR(MATCH(94,'كشف الحساب'!$N$4:$N$353,0),0)=0,"",INDEX('كشف الحساب'!$H$4:$H$353,IFERROR(MATCH(94,'كشف الحساب'!$N$4:$N$353,0),0))),"")</f>
        <v/>
      </c>
      <c r="I98" s="70" t="str">
        <f>IFERROR(IF(IFERROR(MATCH(94,'كشف الحساب'!$N$4:$N$353,0),0)=0,"",INDEX('كشف الحساب'!$I$4:$I$353,IFERROR(MATCH(94,'كشف الحساب'!$N$4:$N$353,0),0))),"")</f>
        <v/>
      </c>
      <c r="J98" s="74" t="str">
        <f>IFERROR(IF(IFERROR(MATCH(94,'كشف الحساب'!$N$4:$N$353,0),0)=0,"",INDEX('كشف الحساب'!$J$4:$J$353,IFERROR(MATCH(94,'كشف الحساب'!$N$4:$N$353,0),0))),"")</f>
        <v/>
      </c>
      <c r="K98" s="70" t="str">
        <f>IFERROR(IF(IFERROR(MATCH(94,'كشف الحساب'!$N$4:$N$353,0),0)=0,"",INDEX('كشف الحساب'!$K$4:$K$353,IFERROR(MATCH(94,'كشف الحساب'!$N$4:$N$353,0),0))),"")</f>
        <v/>
      </c>
    </row>
    <row r="99" spans="1:11" ht="15" customHeight="1" x14ac:dyDescent="0.25">
      <c r="A99" s="63" t="str">
        <f>IFERROR(IF(IFERROR(MATCH(95,'كشف الحساب'!$N$4:$N$353,0),0)=0,"",INDEX('كشف الحساب'!$A$4:$A$353,IFERROR(MATCH(95,'كشف الحساب'!$N$4:$N$353,0),0))),"")</f>
        <v/>
      </c>
      <c r="B99" s="64" t="str">
        <f>IFERROR(IF(IFERROR(MATCH(95,'كشف الحساب'!$N$4:$N$353,0),0)=0,"",INDEX('كشف الحساب'!$B$4:$B$353,IFERROR(MATCH(95,'كشف الحساب'!$N$4:$N$353,0),0))),"")</f>
        <v/>
      </c>
      <c r="C99" s="65" t="str">
        <f>IFERROR(IF(IFERROR(MATCH(95,'كشف الحساب'!$N$4:$N$353,0),0)=0,"",INDEX('كشف الحساب'!$C$4:$C$353,IFERROR(MATCH(95,'كشف الحساب'!$N$4:$N$353,0),0))),"")</f>
        <v/>
      </c>
      <c r="D99" s="66" t="str">
        <f>IFERROR(IF(IFERROR(MATCH(95,'كشف الحساب'!$N$4:$N$353,0),0)=0,"",INDEX('كشف الحساب'!$D$4:$D$353,IFERROR(MATCH(95,'كشف الحساب'!$N$4:$N$353,0),0))),"")</f>
        <v/>
      </c>
      <c r="E99" s="67" t="str">
        <f>IFERROR(IF(IFERROR(MATCH(95,'كشف الحساب'!$N$4:$N$353,0),0)=0,"",INDEX('كشف الحساب'!$E$4:$E$353,IFERROR(MATCH(95,'كشف الحساب'!$N$4:$N$353,0),0))),"")</f>
        <v/>
      </c>
      <c r="F99" s="64" t="str">
        <f>IFERROR(IF(IFERROR(MATCH(95,'كشف الحساب'!$N$4:$N$353,0),0)=0,"",INDEX('كشف الحساب'!$F$4:$F$353,IFERROR(MATCH(95,'كشف الحساب'!$N$4:$N$353,0),0))),"")</f>
        <v/>
      </c>
      <c r="G99" s="64" t="str">
        <f>IFERROR(IF(IFERROR(MATCH(95,'كشف الحساب'!$N$4:$N$353,0),0)=0,"",INDEX('كشف الحساب'!$G$4:$G$353,IFERROR(MATCH(95,'كشف الحساب'!$N$4:$N$353,0),0))),"")</f>
        <v/>
      </c>
      <c r="H99" s="64" t="str">
        <f>IFERROR(IF(IFERROR(MATCH(95,'كشف الحساب'!$N$4:$N$353,0),0)=0,"",INDEX('كشف الحساب'!$H$4:$H$353,IFERROR(MATCH(95,'كشف الحساب'!$N$4:$N$353,0),0))),"")</f>
        <v/>
      </c>
      <c r="I99" s="64" t="str">
        <f>IFERROR(IF(IFERROR(MATCH(95,'كشف الحساب'!$N$4:$N$353,0),0)=0,"",INDEX('كشف الحساب'!$I$4:$I$353,IFERROR(MATCH(95,'كشف الحساب'!$N$4:$N$353,0),0))),"")</f>
        <v/>
      </c>
      <c r="J99" s="68" t="str">
        <f>IFERROR(IF(IFERROR(MATCH(95,'كشف الحساب'!$N$4:$N$353,0),0)=0,"",INDEX('كشف الحساب'!$J$4:$J$353,IFERROR(MATCH(95,'كشف الحساب'!$N$4:$N$353,0),0))),"")</f>
        <v/>
      </c>
      <c r="K99" s="64" t="str">
        <f>IFERROR(IF(IFERROR(MATCH(95,'كشف الحساب'!$N$4:$N$353,0),0)=0,"",INDEX('كشف الحساب'!$K$4:$K$353,IFERROR(MATCH(95,'كشف الحساب'!$N$4:$N$353,0),0))),"")</f>
        <v/>
      </c>
    </row>
    <row r="100" spans="1:11" ht="15" customHeight="1" x14ac:dyDescent="0.25">
      <c r="A100" s="69" t="str">
        <f>IFERROR(IF(IFERROR(MATCH(96,'كشف الحساب'!$N$4:$N$353,0),0)=0,"",INDEX('كشف الحساب'!$A$4:$A$353,IFERROR(MATCH(96,'كشف الحساب'!$N$4:$N$353,0),0))),"")</f>
        <v/>
      </c>
      <c r="B100" s="70" t="str">
        <f>IFERROR(IF(IFERROR(MATCH(96,'كشف الحساب'!$N$4:$N$353,0),0)=0,"",INDEX('كشف الحساب'!$B$4:$B$353,IFERROR(MATCH(96,'كشف الحساب'!$N$4:$N$353,0),0))),"")</f>
        <v/>
      </c>
      <c r="C100" s="71" t="str">
        <f>IFERROR(IF(IFERROR(MATCH(96,'كشف الحساب'!$N$4:$N$353,0),0)=0,"",INDEX('كشف الحساب'!$C$4:$C$353,IFERROR(MATCH(96,'كشف الحساب'!$N$4:$N$353,0),0))),"")</f>
        <v/>
      </c>
      <c r="D100" s="72" t="str">
        <f>IFERROR(IF(IFERROR(MATCH(96,'كشف الحساب'!$N$4:$N$353,0),0)=0,"",INDEX('كشف الحساب'!$D$4:$D$353,IFERROR(MATCH(96,'كشف الحساب'!$N$4:$N$353,0),0))),"")</f>
        <v/>
      </c>
      <c r="E100" s="73" t="str">
        <f>IFERROR(IF(IFERROR(MATCH(96,'كشف الحساب'!$N$4:$N$353,0),0)=0,"",INDEX('كشف الحساب'!$E$4:$E$353,IFERROR(MATCH(96,'كشف الحساب'!$N$4:$N$353,0),0))),"")</f>
        <v/>
      </c>
      <c r="F100" s="70" t="str">
        <f>IFERROR(IF(IFERROR(MATCH(96,'كشف الحساب'!$N$4:$N$353,0),0)=0,"",INDEX('كشف الحساب'!$F$4:$F$353,IFERROR(MATCH(96,'كشف الحساب'!$N$4:$N$353,0),0))),"")</f>
        <v/>
      </c>
      <c r="G100" s="70" t="str">
        <f>IFERROR(IF(IFERROR(MATCH(96,'كشف الحساب'!$N$4:$N$353,0),0)=0,"",INDEX('كشف الحساب'!$G$4:$G$353,IFERROR(MATCH(96,'كشف الحساب'!$N$4:$N$353,0),0))),"")</f>
        <v/>
      </c>
      <c r="H100" s="70" t="str">
        <f>IFERROR(IF(IFERROR(MATCH(96,'كشف الحساب'!$N$4:$N$353,0),0)=0,"",INDEX('كشف الحساب'!$H$4:$H$353,IFERROR(MATCH(96,'كشف الحساب'!$N$4:$N$353,0),0))),"")</f>
        <v/>
      </c>
      <c r="I100" s="70" t="str">
        <f>IFERROR(IF(IFERROR(MATCH(96,'كشف الحساب'!$N$4:$N$353,0),0)=0,"",INDEX('كشف الحساب'!$I$4:$I$353,IFERROR(MATCH(96,'كشف الحساب'!$N$4:$N$353,0),0))),"")</f>
        <v/>
      </c>
      <c r="J100" s="74" t="str">
        <f>IFERROR(IF(IFERROR(MATCH(96,'كشف الحساب'!$N$4:$N$353,0),0)=0,"",INDEX('كشف الحساب'!$J$4:$J$353,IFERROR(MATCH(96,'كشف الحساب'!$N$4:$N$353,0),0))),"")</f>
        <v/>
      </c>
      <c r="K100" s="70" t="str">
        <f>IFERROR(IF(IFERROR(MATCH(96,'كشف الحساب'!$N$4:$N$353,0),0)=0,"",INDEX('كشف الحساب'!$K$4:$K$353,IFERROR(MATCH(96,'كشف الحساب'!$N$4:$N$353,0),0))),"")</f>
        <v/>
      </c>
    </row>
    <row r="101" spans="1:11" ht="15" customHeight="1" x14ac:dyDescent="0.25">
      <c r="A101" s="63" t="str">
        <f>IFERROR(IF(IFERROR(MATCH(97,'كشف الحساب'!$N$4:$N$353,0),0)=0,"",INDEX('كشف الحساب'!$A$4:$A$353,IFERROR(MATCH(97,'كشف الحساب'!$N$4:$N$353,0),0))),"")</f>
        <v/>
      </c>
      <c r="B101" s="64" t="str">
        <f>IFERROR(IF(IFERROR(MATCH(97,'كشف الحساب'!$N$4:$N$353,0),0)=0,"",INDEX('كشف الحساب'!$B$4:$B$353,IFERROR(MATCH(97,'كشف الحساب'!$N$4:$N$353,0),0))),"")</f>
        <v/>
      </c>
      <c r="C101" s="65" t="str">
        <f>IFERROR(IF(IFERROR(MATCH(97,'كشف الحساب'!$N$4:$N$353,0),0)=0,"",INDEX('كشف الحساب'!$C$4:$C$353,IFERROR(MATCH(97,'كشف الحساب'!$N$4:$N$353,0),0))),"")</f>
        <v/>
      </c>
      <c r="D101" s="66" t="str">
        <f>IFERROR(IF(IFERROR(MATCH(97,'كشف الحساب'!$N$4:$N$353,0),0)=0,"",INDEX('كشف الحساب'!$D$4:$D$353,IFERROR(MATCH(97,'كشف الحساب'!$N$4:$N$353,0),0))),"")</f>
        <v/>
      </c>
      <c r="E101" s="67" t="str">
        <f>IFERROR(IF(IFERROR(MATCH(97,'كشف الحساب'!$N$4:$N$353,0),0)=0,"",INDEX('كشف الحساب'!$E$4:$E$353,IFERROR(MATCH(97,'كشف الحساب'!$N$4:$N$353,0),0))),"")</f>
        <v/>
      </c>
      <c r="F101" s="64" t="str">
        <f>IFERROR(IF(IFERROR(MATCH(97,'كشف الحساب'!$N$4:$N$353,0),0)=0,"",INDEX('كشف الحساب'!$F$4:$F$353,IFERROR(MATCH(97,'كشف الحساب'!$N$4:$N$353,0),0))),"")</f>
        <v/>
      </c>
      <c r="G101" s="64" t="str">
        <f>IFERROR(IF(IFERROR(MATCH(97,'كشف الحساب'!$N$4:$N$353,0),0)=0,"",INDEX('كشف الحساب'!$G$4:$G$353,IFERROR(MATCH(97,'كشف الحساب'!$N$4:$N$353,0),0))),"")</f>
        <v/>
      </c>
      <c r="H101" s="64" t="str">
        <f>IFERROR(IF(IFERROR(MATCH(97,'كشف الحساب'!$N$4:$N$353,0),0)=0,"",INDEX('كشف الحساب'!$H$4:$H$353,IFERROR(MATCH(97,'كشف الحساب'!$N$4:$N$353,0),0))),"")</f>
        <v/>
      </c>
      <c r="I101" s="64" t="str">
        <f>IFERROR(IF(IFERROR(MATCH(97,'كشف الحساب'!$N$4:$N$353,0),0)=0,"",INDEX('كشف الحساب'!$I$4:$I$353,IFERROR(MATCH(97,'كشف الحساب'!$N$4:$N$353,0),0))),"")</f>
        <v/>
      </c>
      <c r="J101" s="68" t="str">
        <f>IFERROR(IF(IFERROR(MATCH(97,'كشف الحساب'!$N$4:$N$353,0),0)=0,"",INDEX('كشف الحساب'!$J$4:$J$353,IFERROR(MATCH(97,'كشف الحساب'!$N$4:$N$353,0),0))),"")</f>
        <v/>
      </c>
      <c r="K101" s="64" t="str">
        <f>IFERROR(IF(IFERROR(MATCH(97,'كشف الحساب'!$N$4:$N$353,0),0)=0,"",INDEX('كشف الحساب'!$K$4:$K$353,IFERROR(MATCH(97,'كشف الحساب'!$N$4:$N$353,0),0))),"")</f>
        <v/>
      </c>
    </row>
    <row r="102" spans="1:11" ht="15" customHeight="1" x14ac:dyDescent="0.25">
      <c r="A102" s="69" t="str">
        <f>IFERROR(IF(IFERROR(MATCH(98,'كشف الحساب'!$N$4:$N$353,0),0)=0,"",INDEX('كشف الحساب'!$A$4:$A$353,IFERROR(MATCH(98,'كشف الحساب'!$N$4:$N$353,0),0))),"")</f>
        <v/>
      </c>
      <c r="B102" s="70" t="str">
        <f>IFERROR(IF(IFERROR(MATCH(98,'كشف الحساب'!$N$4:$N$353,0),0)=0,"",INDEX('كشف الحساب'!$B$4:$B$353,IFERROR(MATCH(98,'كشف الحساب'!$N$4:$N$353,0),0))),"")</f>
        <v/>
      </c>
      <c r="C102" s="71" t="str">
        <f>IFERROR(IF(IFERROR(MATCH(98,'كشف الحساب'!$N$4:$N$353,0),0)=0,"",INDEX('كشف الحساب'!$C$4:$C$353,IFERROR(MATCH(98,'كشف الحساب'!$N$4:$N$353,0),0))),"")</f>
        <v/>
      </c>
      <c r="D102" s="72" t="str">
        <f>IFERROR(IF(IFERROR(MATCH(98,'كشف الحساب'!$N$4:$N$353,0),0)=0,"",INDEX('كشف الحساب'!$D$4:$D$353,IFERROR(MATCH(98,'كشف الحساب'!$N$4:$N$353,0),0))),"")</f>
        <v/>
      </c>
      <c r="E102" s="73" t="str">
        <f>IFERROR(IF(IFERROR(MATCH(98,'كشف الحساب'!$N$4:$N$353,0),0)=0,"",INDEX('كشف الحساب'!$E$4:$E$353,IFERROR(MATCH(98,'كشف الحساب'!$N$4:$N$353,0),0))),"")</f>
        <v/>
      </c>
      <c r="F102" s="70" t="str">
        <f>IFERROR(IF(IFERROR(MATCH(98,'كشف الحساب'!$N$4:$N$353,0),0)=0,"",INDEX('كشف الحساب'!$F$4:$F$353,IFERROR(MATCH(98,'كشف الحساب'!$N$4:$N$353,0),0))),"")</f>
        <v/>
      </c>
      <c r="G102" s="70" t="str">
        <f>IFERROR(IF(IFERROR(MATCH(98,'كشف الحساب'!$N$4:$N$353,0),0)=0,"",INDEX('كشف الحساب'!$G$4:$G$353,IFERROR(MATCH(98,'كشف الحساب'!$N$4:$N$353,0),0))),"")</f>
        <v/>
      </c>
      <c r="H102" s="70" t="str">
        <f>IFERROR(IF(IFERROR(MATCH(98,'كشف الحساب'!$N$4:$N$353,0),0)=0,"",INDEX('كشف الحساب'!$H$4:$H$353,IFERROR(MATCH(98,'كشف الحساب'!$N$4:$N$353,0),0))),"")</f>
        <v/>
      </c>
      <c r="I102" s="70" t="str">
        <f>IFERROR(IF(IFERROR(MATCH(98,'كشف الحساب'!$N$4:$N$353,0),0)=0,"",INDEX('كشف الحساب'!$I$4:$I$353,IFERROR(MATCH(98,'كشف الحساب'!$N$4:$N$353,0),0))),"")</f>
        <v/>
      </c>
      <c r="J102" s="74" t="str">
        <f>IFERROR(IF(IFERROR(MATCH(98,'كشف الحساب'!$N$4:$N$353,0),0)=0,"",INDEX('كشف الحساب'!$J$4:$J$353,IFERROR(MATCH(98,'كشف الحساب'!$N$4:$N$353,0),0))),"")</f>
        <v/>
      </c>
      <c r="K102" s="70" t="str">
        <f>IFERROR(IF(IFERROR(MATCH(98,'كشف الحساب'!$N$4:$N$353,0),0)=0,"",INDEX('كشف الحساب'!$K$4:$K$353,IFERROR(MATCH(98,'كشف الحساب'!$N$4:$N$353,0),0))),"")</f>
        <v/>
      </c>
    </row>
    <row r="103" spans="1:11" ht="15" customHeight="1" x14ac:dyDescent="0.25">
      <c r="A103" s="63" t="str">
        <f>IFERROR(IF(IFERROR(MATCH(99,'كشف الحساب'!$N$4:$N$353,0),0)=0,"",INDEX('كشف الحساب'!$A$4:$A$353,IFERROR(MATCH(99,'كشف الحساب'!$N$4:$N$353,0),0))),"")</f>
        <v/>
      </c>
      <c r="B103" s="64" t="str">
        <f>IFERROR(IF(IFERROR(MATCH(99,'كشف الحساب'!$N$4:$N$353,0),0)=0,"",INDEX('كشف الحساب'!$B$4:$B$353,IFERROR(MATCH(99,'كشف الحساب'!$N$4:$N$353,0),0))),"")</f>
        <v/>
      </c>
      <c r="C103" s="65" t="str">
        <f>IFERROR(IF(IFERROR(MATCH(99,'كشف الحساب'!$N$4:$N$353,0),0)=0,"",INDEX('كشف الحساب'!$C$4:$C$353,IFERROR(MATCH(99,'كشف الحساب'!$N$4:$N$353,0),0))),"")</f>
        <v/>
      </c>
      <c r="D103" s="66" t="str">
        <f>IFERROR(IF(IFERROR(MATCH(99,'كشف الحساب'!$N$4:$N$353,0),0)=0,"",INDEX('كشف الحساب'!$D$4:$D$353,IFERROR(MATCH(99,'كشف الحساب'!$N$4:$N$353,0),0))),"")</f>
        <v/>
      </c>
      <c r="E103" s="67" t="str">
        <f>IFERROR(IF(IFERROR(MATCH(99,'كشف الحساب'!$N$4:$N$353,0),0)=0,"",INDEX('كشف الحساب'!$E$4:$E$353,IFERROR(MATCH(99,'كشف الحساب'!$N$4:$N$353,0),0))),"")</f>
        <v/>
      </c>
      <c r="F103" s="64" t="str">
        <f>IFERROR(IF(IFERROR(MATCH(99,'كشف الحساب'!$N$4:$N$353,0),0)=0,"",INDEX('كشف الحساب'!$F$4:$F$353,IFERROR(MATCH(99,'كشف الحساب'!$N$4:$N$353,0),0))),"")</f>
        <v/>
      </c>
      <c r="G103" s="64" t="str">
        <f>IFERROR(IF(IFERROR(MATCH(99,'كشف الحساب'!$N$4:$N$353,0),0)=0,"",INDEX('كشف الحساب'!$G$4:$G$353,IFERROR(MATCH(99,'كشف الحساب'!$N$4:$N$353,0),0))),"")</f>
        <v/>
      </c>
      <c r="H103" s="64" t="str">
        <f>IFERROR(IF(IFERROR(MATCH(99,'كشف الحساب'!$N$4:$N$353,0),0)=0,"",INDEX('كشف الحساب'!$H$4:$H$353,IFERROR(MATCH(99,'كشف الحساب'!$N$4:$N$353,0),0))),"")</f>
        <v/>
      </c>
      <c r="I103" s="64" t="str">
        <f>IFERROR(IF(IFERROR(MATCH(99,'كشف الحساب'!$N$4:$N$353,0),0)=0,"",INDEX('كشف الحساب'!$I$4:$I$353,IFERROR(MATCH(99,'كشف الحساب'!$N$4:$N$353,0),0))),"")</f>
        <v/>
      </c>
      <c r="J103" s="68" t="str">
        <f>IFERROR(IF(IFERROR(MATCH(99,'كشف الحساب'!$N$4:$N$353,0),0)=0,"",INDEX('كشف الحساب'!$J$4:$J$353,IFERROR(MATCH(99,'كشف الحساب'!$N$4:$N$353,0),0))),"")</f>
        <v/>
      </c>
      <c r="K103" s="64" t="str">
        <f>IFERROR(IF(IFERROR(MATCH(99,'كشف الحساب'!$N$4:$N$353,0),0)=0,"",INDEX('كشف الحساب'!$K$4:$K$353,IFERROR(MATCH(99,'كشف الحساب'!$N$4:$N$353,0),0))),"")</f>
        <v/>
      </c>
    </row>
    <row r="104" spans="1:11" ht="15" customHeight="1" x14ac:dyDescent="0.25">
      <c r="A104" s="69" t="str">
        <f>IFERROR(IF(IFERROR(MATCH(100,'كشف الحساب'!$N$4:$N$353,0),0)=0,"",INDEX('كشف الحساب'!$A$4:$A$353,IFERROR(MATCH(100,'كشف الحساب'!$N$4:$N$353,0),0))),"")</f>
        <v/>
      </c>
      <c r="B104" s="70" t="str">
        <f>IFERROR(IF(IFERROR(MATCH(100,'كشف الحساب'!$N$4:$N$353,0),0)=0,"",INDEX('كشف الحساب'!$B$4:$B$353,IFERROR(MATCH(100,'كشف الحساب'!$N$4:$N$353,0),0))),"")</f>
        <v/>
      </c>
      <c r="C104" s="71" t="str">
        <f>IFERROR(IF(IFERROR(MATCH(100,'كشف الحساب'!$N$4:$N$353,0),0)=0,"",INDEX('كشف الحساب'!$C$4:$C$353,IFERROR(MATCH(100,'كشف الحساب'!$N$4:$N$353,0),0))),"")</f>
        <v/>
      </c>
      <c r="D104" s="72" t="str">
        <f>IFERROR(IF(IFERROR(MATCH(100,'كشف الحساب'!$N$4:$N$353,0),0)=0,"",INDEX('كشف الحساب'!$D$4:$D$353,IFERROR(MATCH(100,'كشف الحساب'!$N$4:$N$353,0),0))),"")</f>
        <v/>
      </c>
      <c r="E104" s="73" t="str">
        <f>IFERROR(IF(IFERROR(MATCH(100,'كشف الحساب'!$N$4:$N$353,0),0)=0,"",INDEX('كشف الحساب'!$E$4:$E$353,IFERROR(MATCH(100,'كشف الحساب'!$N$4:$N$353,0),0))),"")</f>
        <v/>
      </c>
      <c r="F104" s="70" t="str">
        <f>IFERROR(IF(IFERROR(MATCH(100,'كشف الحساب'!$N$4:$N$353,0),0)=0,"",INDEX('كشف الحساب'!$F$4:$F$353,IFERROR(MATCH(100,'كشف الحساب'!$N$4:$N$353,0),0))),"")</f>
        <v/>
      </c>
      <c r="G104" s="70" t="str">
        <f>IFERROR(IF(IFERROR(MATCH(100,'كشف الحساب'!$N$4:$N$353,0),0)=0,"",INDEX('كشف الحساب'!$G$4:$G$353,IFERROR(MATCH(100,'كشف الحساب'!$N$4:$N$353,0),0))),"")</f>
        <v/>
      </c>
      <c r="H104" s="70" t="str">
        <f>IFERROR(IF(IFERROR(MATCH(100,'كشف الحساب'!$N$4:$N$353,0),0)=0,"",INDEX('كشف الحساب'!$H$4:$H$353,IFERROR(MATCH(100,'كشف الحساب'!$N$4:$N$353,0),0))),"")</f>
        <v/>
      </c>
      <c r="I104" s="70" t="str">
        <f>IFERROR(IF(IFERROR(MATCH(100,'كشف الحساب'!$N$4:$N$353,0),0)=0,"",INDEX('كشف الحساب'!$I$4:$I$353,IFERROR(MATCH(100,'كشف الحساب'!$N$4:$N$353,0),0))),"")</f>
        <v/>
      </c>
      <c r="J104" s="74" t="str">
        <f>IFERROR(IF(IFERROR(MATCH(100,'كشف الحساب'!$N$4:$N$353,0),0)=0,"",INDEX('كشف الحساب'!$J$4:$J$353,IFERROR(MATCH(100,'كشف الحساب'!$N$4:$N$353,0),0))),"")</f>
        <v/>
      </c>
      <c r="K104" s="70" t="str">
        <f>IFERROR(IF(IFERROR(MATCH(100,'كشف الحساب'!$N$4:$N$353,0),0)=0,"",INDEX('كشف الحساب'!$K$4:$K$353,IFERROR(MATCH(100,'كشف الحساب'!$N$4:$N$353,0),0))),"")</f>
        <v/>
      </c>
    </row>
    <row r="105" spans="1:11" ht="15" customHeight="1" x14ac:dyDescent="0.25">
      <c r="A105" s="63" t="str">
        <f>IFERROR(IF(IFERROR(MATCH(101,'كشف الحساب'!$N$4:$N$353,0),0)=0,"",INDEX('كشف الحساب'!$A$4:$A$353,IFERROR(MATCH(101,'كشف الحساب'!$N$4:$N$353,0),0))),"")</f>
        <v/>
      </c>
      <c r="B105" s="64" t="str">
        <f>IFERROR(IF(IFERROR(MATCH(101,'كشف الحساب'!$N$4:$N$353,0),0)=0,"",INDEX('كشف الحساب'!$B$4:$B$353,IFERROR(MATCH(101,'كشف الحساب'!$N$4:$N$353,0),0))),"")</f>
        <v/>
      </c>
      <c r="C105" s="65" t="str">
        <f>IFERROR(IF(IFERROR(MATCH(101,'كشف الحساب'!$N$4:$N$353,0),0)=0,"",INDEX('كشف الحساب'!$C$4:$C$353,IFERROR(MATCH(101,'كشف الحساب'!$N$4:$N$353,0),0))),"")</f>
        <v/>
      </c>
      <c r="D105" s="66" t="str">
        <f>IFERROR(IF(IFERROR(MATCH(101,'كشف الحساب'!$N$4:$N$353,0),0)=0,"",INDEX('كشف الحساب'!$D$4:$D$353,IFERROR(MATCH(101,'كشف الحساب'!$N$4:$N$353,0),0))),"")</f>
        <v/>
      </c>
      <c r="E105" s="67" t="str">
        <f>IFERROR(IF(IFERROR(MATCH(101,'كشف الحساب'!$N$4:$N$353,0),0)=0,"",INDEX('كشف الحساب'!$E$4:$E$353,IFERROR(MATCH(101,'كشف الحساب'!$N$4:$N$353,0),0))),"")</f>
        <v/>
      </c>
      <c r="F105" s="64" t="str">
        <f>IFERROR(IF(IFERROR(MATCH(101,'كشف الحساب'!$N$4:$N$353,0),0)=0,"",INDEX('كشف الحساب'!$F$4:$F$353,IFERROR(MATCH(101,'كشف الحساب'!$N$4:$N$353,0),0))),"")</f>
        <v/>
      </c>
      <c r="G105" s="64" t="str">
        <f>IFERROR(IF(IFERROR(MATCH(101,'كشف الحساب'!$N$4:$N$353,0),0)=0,"",INDEX('كشف الحساب'!$G$4:$G$353,IFERROR(MATCH(101,'كشف الحساب'!$N$4:$N$353,0),0))),"")</f>
        <v/>
      </c>
      <c r="H105" s="64" t="str">
        <f>IFERROR(IF(IFERROR(MATCH(101,'كشف الحساب'!$N$4:$N$353,0),0)=0,"",INDEX('كشف الحساب'!$H$4:$H$353,IFERROR(MATCH(101,'كشف الحساب'!$N$4:$N$353,0),0))),"")</f>
        <v/>
      </c>
      <c r="I105" s="64" t="str">
        <f>IFERROR(IF(IFERROR(MATCH(101,'كشف الحساب'!$N$4:$N$353,0),0)=0,"",INDEX('كشف الحساب'!$I$4:$I$353,IFERROR(MATCH(101,'كشف الحساب'!$N$4:$N$353,0),0))),"")</f>
        <v/>
      </c>
      <c r="J105" s="68" t="str">
        <f>IFERROR(IF(IFERROR(MATCH(101,'كشف الحساب'!$N$4:$N$353,0),0)=0,"",INDEX('كشف الحساب'!$J$4:$J$353,IFERROR(MATCH(101,'كشف الحساب'!$N$4:$N$353,0),0))),"")</f>
        <v/>
      </c>
      <c r="K105" s="64" t="str">
        <f>IFERROR(IF(IFERROR(MATCH(101,'كشف الحساب'!$N$4:$N$353,0),0)=0,"",INDEX('كشف الحساب'!$K$4:$K$353,IFERROR(MATCH(101,'كشف الحساب'!$N$4:$N$353,0),0))),"")</f>
        <v/>
      </c>
    </row>
    <row r="106" spans="1:11" ht="15" customHeight="1" x14ac:dyDescent="0.25">
      <c r="A106" s="69" t="str">
        <f>IFERROR(IF(IFERROR(MATCH(102,'كشف الحساب'!$N$4:$N$353,0),0)=0,"",INDEX('كشف الحساب'!$A$4:$A$353,IFERROR(MATCH(102,'كشف الحساب'!$N$4:$N$353,0),0))),"")</f>
        <v/>
      </c>
      <c r="B106" s="70" t="str">
        <f>IFERROR(IF(IFERROR(MATCH(102,'كشف الحساب'!$N$4:$N$353,0),0)=0,"",INDEX('كشف الحساب'!$B$4:$B$353,IFERROR(MATCH(102,'كشف الحساب'!$N$4:$N$353,0),0))),"")</f>
        <v/>
      </c>
      <c r="C106" s="71" t="str">
        <f>IFERROR(IF(IFERROR(MATCH(102,'كشف الحساب'!$N$4:$N$353,0),0)=0,"",INDEX('كشف الحساب'!$C$4:$C$353,IFERROR(MATCH(102,'كشف الحساب'!$N$4:$N$353,0),0))),"")</f>
        <v/>
      </c>
      <c r="D106" s="72" t="str">
        <f>IFERROR(IF(IFERROR(MATCH(102,'كشف الحساب'!$N$4:$N$353,0),0)=0,"",INDEX('كشف الحساب'!$D$4:$D$353,IFERROR(MATCH(102,'كشف الحساب'!$N$4:$N$353,0),0))),"")</f>
        <v/>
      </c>
      <c r="E106" s="73" t="str">
        <f>IFERROR(IF(IFERROR(MATCH(102,'كشف الحساب'!$N$4:$N$353,0),0)=0,"",INDEX('كشف الحساب'!$E$4:$E$353,IFERROR(MATCH(102,'كشف الحساب'!$N$4:$N$353,0),0))),"")</f>
        <v/>
      </c>
      <c r="F106" s="70" t="str">
        <f>IFERROR(IF(IFERROR(MATCH(102,'كشف الحساب'!$N$4:$N$353,0),0)=0,"",INDEX('كشف الحساب'!$F$4:$F$353,IFERROR(MATCH(102,'كشف الحساب'!$N$4:$N$353,0),0))),"")</f>
        <v/>
      </c>
      <c r="G106" s="70" t="str">
        <f>IFERROR(IF(IFERROR(MATCH(102,'كشف الحساب'!$N$4:$N$353,0),0)=0,"",INDEX('كشف الحساب'!$G$4:$G$353,IFERROR(MATCH(102,'كشف الحساب'!$N$4:$N$353,0),0))),"")</f>
        <v/>
      </c>
      <c r="H106" s="70" t="str">
        <f>IFERROR(IF(IFERROR(MATCH(102,'كشف الحساب'!$N$4:$N$353,0),0)=0,"",INDEX('كشف الحساب'!$H$4:$H$353,IFERROR(MATCH(102,'كشف الحساب'!$N$4:$N$353,0),0))),"")</f>
        <v/>
      </c>
      <c r="I106" s="70" t="str">
        <f>IFERROR(IF(IFERROR(MATCH(102,'كشف الحساب'!$N$4:$N$353,0),0)=0,"",INDEX('كشف الحساب'!$I$4:$I$353,IFERROR(MATCH(102,'كشف الحساب'!$N$4:$N$353,0),0))),"")</f>
        <v/>
      </c>
      <c r="J106" s="74" t="str">
        <f>IFERROR(IF(IFERROR(MATCH(102,'كشف الحساب'!$N$4:$N$353,0),0)=0,"",INDEX('كشف الحساب'!$J$4:$J$353,IFERROR(MATCH(102,'كشف الحساب'!$N$4:$N$353,0),0))),"")</f>
        <v/>
      </c>
      <c r="K106" s="70" t="str">
        <f>IFERROR(IF(IFERROR(MATCH(102,'كشف الحساب'!$N$4:$N$353,0),0)=0,"",INDEX('كشف الحساب'!$K$4:$K$353,IFERROR(MATCH(102,'كشف الحساب'!$N$4:$N$353,0),0))),"")</f>
        <v/>
      </c>
    </row>
    <row r="107" spans="1:11" ht="15" customHeight="1" x14ac:dyDescent="0.25">
      <c r="A107" s="63" t="str">
        <f>IFERROR(IF(IFERROR(MATCH(103,'كشف الحساب'!$N$4:$N$353,0),0)=0,"",INDEX('كشف الحساب'!$A$4:$A$353,IFERROR(MATCH(103,'كشف الحساب'!$N$4:$N$353,0),0))),"")</f>
        <v/>
      </c>
      <c r="B107" s="64" t="str">
        <f>IFERROR(IF(IFERROR(MATCH(103,'كشف الحساب'!$N$4:$N$353,0),0)=0,"",INDEX('كشف الحساب'!$B$4:$B$353,IFERROR(MATCH(103,'كشف الحساب'!$N$4:$N$353,0),0))),"")</f>
        <v/>
      </c>
      <c r="C107" s="65" t="str">
        <f>IFERROR(IF(IFERROR(MATCH(103,'كشف الحساب'!$N$4:$N$353,0),0)=0,"",INDEX('كشف الحساب'!$C$4:$C$353,IFERROR(MATCH(103,'كشف الحساب'!$N$4:$N$353,0),0))),"")</f>
        <v/>
      </c>
      <c r="D107" s="66" t="str">
        <f>IFERROR(IF(IFERROR(MATCH(103,'كشف الحساب'!$N$4:$N$353,0),0)=0,"",INDEX('كشف الحساب'!$D$4:$D$353,IFERROR(MATCH(103,'كشف الحساب'!$N$4:$N$353,0),0))),"")</f>
        <v/>
      </c>
      <c r="E107" s="67" t="str">
        <f>IFERROR(IF(IFERROR(MATCH(103,'كشف الحساب'!$N$4:$N$353,0),0)=0,"",INDEX('كشف الحساب'!$E$4:$E$353,IFERROR(MATCH(103,'كشف الحساب'!$N$4:$N$353,0),0))),"")</f>
        <v/>
      </c>
      <c r="F107" s="64" t="str">
        <f>IFERROR(IF(IFERROR(MATCH(103,'كشف الحساب'!$N$4:$N$353,0),0)=0,"",INDEX('كشف الحساب'!$F$4:$F$353,IFERROR(MATCH(103,'كشف الحساب'!$N$4:$N$353,0),0))),"")</f>
        <v/>
      </c>
      <c r="G107" s="64" t="str">
        <f>IFERROR(IF(IFERROR(MATCH(103,'كشف الحساب'!$N$4:$N$353,0),0)=0,"",INDEX('كشف الحساب'!$G$4:$G$353,IFERROR(MATCH(103,'كشف الحساب'!$N$4:$N$353,0),0))),"")</f>
        <v/>
      </c>
      <c r="H107" s="64" t="str">
        <f>IFERROR(IF(IFERROR(MATCH(103,'كشف الحساب'!$N$4:$N$353,0),0)=0,"",INDEX('كشف الحساب'!$H$4:$H$353,IFERROR(MATCH(103,'كشف الحساب'!$N$4:$N$353,0),0))),"")</f>
        <v/>
      </c>
      <c r="I107" s="64" t="str">
        <f>IFERROR(IF(IFERROR(MATCH(103,'كشف الحساب'!$N$4:$N$353,0),0)=0,"",INDEX('كشف الحساب'!$I$4:$I$353,IFERROR(MATCH(103,'كشف الحساب'!$N$4:$N$353,0),0))),"")</f>
        <v/>
      </c>
      <c r="J107" s="68" t="str">
        <f>IFERROR(IF(IFERROR(MATCH(103,'كشف الحساب'!$N$4:$N$353,0),0)=0,"",INDEX('كشف الحساب'!$J$4:$J$353,IFERROR(MATCH(103,'كشف الحساب'!$N$4:$N$353,0),0))),"")</f>
        <v/>
      </c>
      <c r="K107" s="64" t="str">
        <f>IFERROR(IF(IFERROR(MATCH(103,'كشف الحساب'!$N$4:$N$353,0),0)=0,"",INDEX('كشف الحساب'!$K$4:$K$353,IFERROR(MATCH(103,'كشف الحساب'!$N$4:$N$353,0),0))),"")</f>
        <v/>
      </c>
    </row>
    <row r="108" spans="1:11" ht="15" customHeight="1" x14ac:dyDescent="0.25">
      <c r="A108" s="69" t="str">
        <f>IFERROR(IF(IFERROR(MATCH(104,'كشف الحساب'!$N$4:$N$353,0),0)=0,"",INDEX('كشف الحساب'!$A$4:$A$353,IFERROR(MATCH(104,'كشف الحساب'!$N$4:$N$353,0),0))),"")</f>
        <v/>
      </c>
      <c r="B108" s="70" t="str">
        <f>IFERROR(IF(IFERROR(MATCH(104,'كشف الحساب'!$N$4:$N$353,0),0)=0,"",INDEX('كشف الحساب'!$B$4:$B$353,IFERROR(MATCH(104,'كشف الحساب'!$N$4:$N$353,0),0))),"")</f>
        <v/>
      </c>
      <c r="C108" s="71" t="str">
        <f>IFERROR(IF(IFERROR(MATCH(104,'كشف الحساب'!$N$4:$N$353,0),0)=0,"",INDEX('كشف الحساب'!$C$4:$C$353,IFERROR(MATCH(104,'كشف الحساب'!$N$4:$N$353,0),0))),"")</f>
        <v/>
      </c>
      <c r="D108" s="72" t="str">
        <f>IFERROR(IF(IFERROR(MATCH(104,'كشف الحساب'!$N$4:$N$353,0),0)=0,"",INDEX('كشف الحساب'!$D$4:$D$353,IFERROR(MATCH(104,'كشف الحساب'!$N$4:$N$353,0),0))),"")</f>
        <v/>
      </c>
      <c r="E108" s="73" t="str">
        <f>IFERROR(IF(IFERROR(MATCH(104,'كشف الحساب'!$N$4:$N$353,0),0)=0,"",INDEX('كشف الحساب'!$E$4:$E$353,IFERROR(MATCH(104,'كشف الحساب'!$N$4:$N$353,0),0))),"")</f>
        <v/>
      </c>
      <c r="F108" s="70" t="str">
        <f>IFERROR(IF(IFERROR(MATCH(104,'كشف الحساب'!$N$4:$N$353,0),0)=0,"",INDEX('كشف الحساب'!$F$4:$F$353,IFERROR(MATCH(104,'كشف الحساب'!$N$4:$N$353,0),0))),"")</f>
        <v/>
      </c>
      <c r="G108" s="70" t="str">
        <f>IFERROR(IF(IFERROR(MATCH(104,'كشف الحساب'!$N$4:$N$353,0),0)=0,"",INDEX('كشف الحساب'!$G$4:$G$353,IFERROR(MATCH(104,'كشف الحساب'!$N$4:$N$353,0),0))),"")</f>
        <v/>
      </c>
      <c r="H108" s="70" t="str">
        <f>IFERROR(IF(IFERROR(MATCH(104,'كشف الحساب'!$N$4:$N$353,0),0)=0,"",INDEX('كشف الحساب'!$H$4:$H$353,IFERROR(MATCH(104,'كشف الحساب'!$N$4:$N$353,0),0))),"")</f>
        <v/>
      </c>
      <c r="I108" s="70" t="str">
        <f>IFERROR(IF(IFERROR(MATCH(104,'كشف الحساب'!$N$4:$N$353,0),0)=0,"",INDEX('كشف الحساب'!$I$4:$I$353,IFERROR(MATCH(104,'كشف الحساب'!$N$4:$N$353,0),0))),"")</f>
        <v/>
      </c>
      <c r="J108" s="74" t="str">
        <f>IFERROR(IF(IFERROR(MATCH(104,'كشف الحساب'!$N$4:$N$353,0),0)=0,"",INDEX('كشف الحساب'!$J$4:$J$353,IFERROR(MATCH(104,'كشف الحساب'!$N$4:$N$353,0),0))),"")</f>
        <v/>
      </c>
      <c r="K108" s="70" t="str">
        <f>IFERROR(IF(IFERROR(MATCH(104,'كشف الحساب'!$N$4:$N$353,0),0)=0,"",INDEX('كشف الحساب'!$K$4:$K$353,IFERROR(MATCH(104,'كشف الحساب'!$N$4:$N$353,0),0))),"")</f>
        <v/>
      </c>
    </row>
    <row r="109" spans="1:11" ht="15" customHeight="1" x14ac:dyDescent="0.25">
      <c r="A109" s="63" t="str">
        <f>IFERROR(IF(IFERROR(MATCH(105,'كشف الحساب'!$N$4:$N$353,0),0)=0,"",INDEX('كشف الحساب'!$A$4:$A$353,IFERROR(MATCH(105,'كشف الحساب'!$N$4:$N$353,0),0))),"")</f>
        <v/>
      </c>
      <c r="B109" s="64" t="str">
        <f>IFERROR(IF(IFERROR(MATCH(105,'كشف الحساب'!$N$4:$N$353,0),0)=0,"",INDEX('كشف الحساب'!$B$4:$B$353,IFERROR(MATCH(105,'كشف الحساب'!$N$4:$N$353,0),0))),"")</f>
        <v/>
      </c>
      <c r="C109" s="65" t="str">
        <f>IFERROR(IF(IFERROR(MATCH(105,'كشف الحساب'!$N$4:$N$353,0),0)=0,"",INDEX('كشف الحساب'!$C$4:$C$353,IFERROR(MATCH(105,'كشف الحساب'!$N$4:$N$353,0),0))),"")</f>
        <v/>
      </c>
      <c r="D109" s="66" t="str">
        <f>IFERROR(IF(IFERROR(MATCH(105,'كشف الحساب'!$N$4:$N$353,0),0)=0,"",INDEX('كشف الحساب'!$D$4:$D$353,IFERROR(MATCH(105,'كشف الحساب'!$N$4:$N$353,0),0))),"")</f>
        <v/>
      </c>
      <c r="E109" s="67" t="str">
        <f>IFERROR(IF(IFERROR(MATCH(105,'كشف الحساب'!$N$4:$N$353,0),0)=0,"",INDEX('كشف الحساب'!$E$4:$E$353,IFERROR(MATCH(105,'كشف الحساب'!$N$4:$N$353,0),0))),"")</f>
        <v/>
      </c>
      <c r="F109" s="64" t="str">
        <f>IFERROR(IF(IFERROR(MATCH(105,'كشف الحساب'!$N$4:$N$353,0),0)=0,"",INDEX('كشف الحساب'!$F$4:$F$353,IFERROR(MATCH(105,'كشف الحساب'!$N$4:$N$353,0),0))),"")</f>
        <v/>
      </c>
      <c r="G109" s="64" t="str">
        <f>IFERROR(IF(IFERROR(MATCH(105,'كشف الحساب'!$N$4:$N$353,0),0)=0,"",INDEX('كشف الحساب'!$G$4:$G$353,IFERROR(MATCH(105,'كشف الحساب'!$N$4:$N$353,0),0))),"")</f>
        <v/>
      </c>
      <c r="H109" s="64" t="str">
        <f>IFERROR(IF(IFERROR(MATCH(105,'كشف الحساب'!$N$4:$N$353,0),0)=0,"",INDEX('كشف الحساب'!$H$4:$H$353,IFERROR(MATCH(105,'كشف الحساب'!$N$4:$N$353,0),0))),"")</f>
        <v/>
      </c>
      <c r="I109" s="64" t="str">
        <f>IFERROR(IF(IFERROR(MATCH(105,'كشف الحساب'!$N$4:$N$353,0),0)=0,"",INDEX('كشف الحساب'!$I$4:$I$353,IFERROR(MATCH(105,'كشف الحساب'!$N$4:$N$353,0),0))),"")</f>
        <v/>
      </c>
      <c r="J109" s="68" t="str">
        <f>IFERROR(IF(IFERROR(MATCH(105,'كشف الحساب'!$N$4:$N$353,0),0)=0,"",INDEX('كشف الحساب'!$J$4:$J$353,IFERROR(MATCH(105,'كشف الحساب'!$N$4:$N$353,0),0))),"")</f>
        <v/>
      </c>
      <c r="K109" s="64" t="str">
        <f>IFERROR(IF(IFERROR(MATCH(105,'كشف الحساب'!$N$4:$N$353,0),0)=0,"",INDEX('كشف الحساب'!$K$4:$K$353,IFERROR(MATCH(105,'كشف الحساب'!$N$4:$N$353,0),0))),"")</f>
        <v/>
      </c>
    </row>
    <row r="110" spans="1:11" ht="15" customHeight="1" x14ac:dyDescent="0.25">
      <c r="A110" s="69" t="str">
        <f>IFERROR(IF(IFERROR(MATCH(106,'كشف الحساب'!$N$4:$N$353,0),0)=0,"",INDEX('كشف الحساب'!$A$4:$A$353,IFERROR(MATCH(106,'كشف الحساب'!$N$4:$N$353,0),0))),"")</f>
        <v/>
      </c>
      <c r="B110" s="70" t="str">
        <f>IFERROR(IF(IFERROR(MATCH(106,'كشف الحساب'!$N$4:$N$353,0),0)=0,"",INDEX('كشف الحساب'!$B$4:$B$353,IFERROR(MATCH(106,'كشف الحساب'!$N$4:$N$353,0),0))),"")</f>
        <v/>
      </c>
      <c r="C110" s="71" t="str">
        <f>IFERROR(IF(IFERROR(MATCH(106,'كشف الحساب'!$N$4:$N$353,0),0)=0,"",INDEX('كشف الحساب'!$C$4:$C$353,IFERROR(MATCH(106,'كشف الحساب'!$N$4:$N$353,0),0))),"")</f>
        <v/>
      </c>
      <c r="D110" s="72" t="str">
        <f>IFERROR(IF(IFERROR(MATCH(106,'كشف الحساب'!$N$4:$N$353,0),0)=0,"",INDEX('كشف الحساب'!$D$4:$D$353,IFERROR(MATCH(106,'كشف الحساب'!$N$4:$N$353,0),0))),"")</f>
        <v/>
      </c>
      <c r="E110" s="73" t="str">
        <f>IFERROR(IF(IFERROR(MATCH(106,'كشف الحساب'!$N$4:$N$353,0),0)=0,"",INDEX('كشف الحساب'!$E$4:$E$353,IFERROR(MATCH(106,'كشف الحساب'!$N$4:$N$353,0),0))),"")</f>
        <v/>
      </c>
      <c r="F110" s="70" t="str">
        <f>IFERROR(IF(IFERROR(MATCH(106,'كشف الحساب'!$N$4:$N$353,0),0)=0,"",INDEX('كشف الحساب'!$F$4:$F$353,IFERROR(MATCH(106,'كشف الحساب'!$N$4:$N$353,0),0))),"")</f>
        <v/>
      </c>
      <c r="G110" s="70" t="str">
        <f>IFERROR(IF(IFERROR(MATCH(106,'كشف الحساب'!$N$4:$N$353,0),0)=0,"",INDEX('كشف الحساب'!$G$4:$G$353,IFERROR(MATCH(106,'كشف الحساب'!$N$4:$N$353,0),0))),"")</f>
        <v/>
      </c>
      <c r="H110" s="70" t="str">
        <f>IFERROR(IF(IFERROR(MATCH(106,'كشف الحساب'!$N$4:$N$353,0),0)=0,"",INDEX('كشف الحساب'!$H$4:$H$353,IFERROR(MATCH(106,'كشف الحساب'!$N$4:$N$353,0),0))),"")</f>
        <v/>
      </c>
      <c r="I110" s="70" t="str">
        <f>IFERROR(IF(IFERROR(MATCH(106,'كشف الحساب'!$N$4:$N$353,0),0)=0,"",INDEX('كشف الحساب'!$I$4:$I$353,IFERROR(MATCH(106,'كشف الحساب'!$N$4:$N$353,0),0))),"")</f>
        <v/>
      </c>
      <c r="J110" s="74" t="str">
        <f>IFERROR(IF(IFERROR(MATCH(106,'كشف الحساب'!$N$4:$N$353,0),0)=0,"",INDEX('كشف الحساب'!$J$4:$J$353,IFERROR(MATCH(106,'كشف الحساب'!$N$4:$N$353,0),0))),"")</f>
        <v/>
      </c>
      <c r="K110" s="70" t="str">
        <f>IFERROR(IF(IFERROR(MATCH(106,'كشف الحساب'!$N$4:$N$353,0),0)=0,"",INDEX('كشف الحساب'!$K$4:$K$353,IFERROR(MATCH(106,'كشف الحساب'!$N$4:$N$353,0),0))),"")</f>
        <v/>
      </c>
    </row>
    <row r="111" spans="1:11" ht="15" customHeight="1" x14ac:dyDescent="0.25">
      <c r="A111" s="63" t="str">
        <f>IFERROR(IF(IFERROR(MATCH(107,'كشف الحساب'!$N$4:$N$353,0),0)=0,"",INDEX('كشف الحساب'!$A$4:$A$353,IFERROR(MATCH(107,'كشف الحساب'!$N$4:$N$353,0),0))),"")</f>
        <v/>
      </c>
      <c r="B111" s="64" t="str">
        <f>IFERROR(IF(IFERROR(MATCH(107,'كشف الحساب'!$N$4:$N$353,0),0)=0,"",INDEX('كشف الحساب'!$B$4:$B$353,IFERROR(MATCH(107,'كشف الحساب'!$N$4:$N$353,0),0))),"")</f>
        <v/>
      </c>
      <c r="C111" s="65" t="str">
        <f>IFERROR(IF(IFERROR(MATCH(107,'كشف الحساب'!$N$4:$N$353,0),0)=0,"",INDEX('كشف الحساب'!$C$4:$C$353,IFERROR(MATCH(107,'كشف الحساب'!$N$4:$N$353,0),0))),"")</f>
        <v/>
      </c>
      <c r="D111" s="66" t="str">
        <f>IFERROR(IF(IFERROR(MATCH(107,'كشف الحساب'!$N$4:$N$353,0),0)=0,"",INDEX('كشف الحساب'!$D$4:$D$353,IFERROR(MATCH(107,'كشف الحساب'!$N$4:$N$353,0),0))),"")</f>
        <v/>
      </c>
      <c r="E111" s="67" t="str">
        <f>IFERROR(IF(IFERROR(MATCH(107,'كشف الحساب'!$N$4:$N$353,0),0)=0,"",INDEX('كشف الحساب'!$E$4:$E$353,IFERROR(MATCH(107,'كشف الحساب'!$N$4:$N$353,0),0))),"")</f>
        <v/>
      </c>
      <c r="F111" s="64" t="str">
        <f>IFERROR(IF(IFERROR(MATCH(107,'كشف الحساب'!$N$4:$N$353,0),0)=0,"",INDEX('كشف الحساب'!$F$4:$F$353,IFERROR(MATCH(107,'كشف الحساب'!$N$4:$N$353,0),0))),"")</f>
        <v/>
      </c>
      <c r="G111" s="64" t="str">
        <f>IFERROR(IF(IFERROR(MATCH(107,'كشف الحساب'!$N$4:$N$353,0),0)=0,"",INDEX('كشف الحساب'!$G$4:$G$353,IFERROR(MATCH(107,'كشف الحساب'!$N$4:$N$353,0),0))),"")</f>
        <v/>
      </c>
      <c r="H111" s="64" t="str">
        <f>IFERROR(IF(IFERROR(MATCH(107,'كشف الحساب'!$N$4:$N$353,0),0)=0,"",INDEX('كشف الحساب'!$H$4:$H$353,IFERROR(MATCH(107,'كشف الحساب'!$N$4:$N$353,0),0))),"")</f>
        <v/>
      </c>
      <c r="I111" s="64" t="str">
        <f>IFERROR(IF(IFERROR(MATCH(107,'كشف الحساب'!$N$4:$N$353,0),0)=0,"",INDEX('كشف الحساب'!$I$4:$I$353,IFERROR(MATCH(107,'كشف الحساب'!$N$4:$N$353,0),0))),"")</f>
        <v/>
      </c>
      <c r="J111" s="68" t="str">
        <f>IFERROR(IF(IFERROR(MATCH(107,'كشف الحساب'!$N$4:$N$353,0),0)=0,"",INDEX('كشف الحساب'!$J$4:$J$353,IFERROR(MATCH(107,'كشف الحساب'!$N$4:$N$353,0),0))),"")</f>
        <v/>
      </c>
      <c r="K111" s="64" t="str">
        <f>IFERROR(IF(IFERROR(MATCH(107,'كشف الحساب'!$N$4:$N$353,0),0)=0,"",INDEX('كشف الحساب'!$K$4:$K$353,IFERROR(MATCH(107,'كشف الحساب'!$N$4:$N$353,0),0))),"")</f>
        <v/>
      </c>
    </row>
    <row r="112" spans="1:11" ht="15" customHeight="1" x14ac:dyDescent="0.25">
      <c r="A112" s="69" t="str">
        <f>IFERROR(IF(IFERROR(MATCH(108,'كشف الحساب'!$N$4:$N$353,0),0)=0,"",INDEX('كشف الحساب'!$A$4:$A$353,IFERROR(MATCH(108,'كشف الحساب'!$N$4:$N$353,0),0))),"")</f>
        <v/>
      </c>
      <c r="B112" s="70" t="str">
        <f>IFERROR(IF(IFERROR(MATCH(108,'كشف الحساب'!$N$4:$N$353,0),0)=0,"",INDEX('كشف الحساب'!$B$4:$B$353,IFERROR(MATCH(108,'كشف الحساب'!$N$4:$N$353,0),0))),"")</f>
        <v/>
      </c>
      <c r="C112" s="71" t="str">
        <f>IFERROR(IF(IFERROR(MATCH(108,'كشف الحساب'!$N$4:$N$353,0),0)=0,"",INDEX('كشف الحساب'!$C$4:$C$353,IFERROR(MATCH(108,'كشف الحساب'!$N$4:$N$353,0),0))),"")</f>
        <v/>
      </c>
      <c r="D112" s="72" t="str">
        <f>IFERROR(IF(IFERROR(MATCH(108,'كشف الحساب'!$N$4:$N$353,0),0)=0,"",INDEX('كشف الحساب'!$D$4:$D$353,IFERROR(MATCH(108,'كشف الحساب'!$N$4:$N$353,0),0))),"")</f>
        <v/>
      </c>
      <c r="E112" s="73" t="str">
        <f>IFERROR(IF(IFERROR(MATCH(108,'كشف الحساب'!$N$4:$N$353,0),0)=0,"",INDEX('كشف الحساب'!$E$4:$E$353,IFERROR(MATCH(108,'كشف الحساب'!$N$4:$N$353,0),0))),"")</f>
        <v/>
      </c>
      <c r="F112" s="70" t="str">
        <f>IFERROR(IF(IFERROR(MATCH(108,'كشف الحساب'!$N$4:$N$353,0),0)=0,"",INDEX('كشف الحساب'!$F$4:$F$353,IFERROR(MATCH(108,'كشف الحساب'!$N$4:$N$353,0),0))),"")</f>
        <v/>
      </c>
      <c r="G112" s="70" t="str">
        <f>IFERROR(IF(IFERROR(MATCH(108,'كشف الحساب'!$N$4:$N$353,0),0)=0,"",INDEX('كشف الحساب'!$G$4:$G$353,IFERROR(MATCH(108,'كشف الحساب'!$N$4:$N$353,0),0))),"")</f>
        <v/>
      </c>
      <c r="H112" s="70" t="str">
        <f>IFERROR(IF(IFERROR(MATCH(108,'كشف الحساب'!$N$4:$N$353,0),0)=0,"",INDEX('كشف الحساب'!$H$4:$H$353,IFERROR(MATCH(108,'كشف الحساب'!$N$4:$N$353,0),0))),"")</f>
        <v/>
      </c>
      <c r="I112" s="70" t="str">
        <f>IFERROR(IF(IFERROR(MATCH(108,'كشف الحساب'!$N$4:$N$353,0),0)=0,"",INDEX('كشف الحساب'!$I$4:$I$353,IFERROR(MATCH(108,'كشف الحساب'!$N$4:$N$353,0),0))),"")</f>
        <v/>
      </c>
      <c r="J112" s="74" t="str">
        <f>IFERROR(IF(IFERROR(MATCH(108,'كشف الحساب'!$N$4:$N$353,0),0)=0,"",INDEX('كشف الحساب'!$J$4:$J$353,IFERROR(MATCH(108,'كشف الحساب'!$N$4:$N$353,0),0))),"")</f>
        <v/>
      </c>
      <c r="K112" s="70" t="str">
        <f>IFERROR(IF(IFERROR(MATCH(108,'كشف الحساب'!$N$4:$N$353,0),0)=0,"",INDEX('كشف الحساب'!$K$4:$K$353,IFERROR(MATCH(108,'كشف الحساب'!$N$4:$N$353,0),0))),"")</f>
        <v/>
      </c>
    </row>
    <row r="113" spans="1:11" ht="15" customHeight="1" x14ac:dyDescent="0.25">
      <c r="A113" s="63" t="str">
        <f>IFERROR(IF(IFERROR(MATCH(109,'كشف الحساب'!$N$4:$N$353,0),0)=0,"",INDEX('كشف الحساب'!$A$4:$A$353,IFERROR(MATCH(109,'كشف الحساب'!$N$4:$N$353,0),0))),"")</f>
        <v/>
      </c>
      <c r="B113" s="64" t="str">
        <f>IFERROR(IF(IFERROR(MATCH(109,'كشف الحساب'!$N$4:$N$353,0),0)=0,"",INDEX('كشف الحساب'!$B$4:$B$353,IFERROR(MATCH(109,'كشف الحساب'!$N$4:$N$353,0),0))),"")</f>
        <v/>
      </c>
      <c r="C113" s="65" t="str">
        <f>IFERROR(IF(IFERROR(MATCH(109,'كشف الحساب'!$N$4:$N$353,0),0)=0,"",INDEX('كشف الحساب'!$C$4:$C$353,IFERROR(MATCH(109,'كشف الحساب'!$N$4:$N$353,0),0))),"")</f>
        <v/>
      </c>
      <c r="D113" s="66" t="str">
        <f>IFERROR(IF(IFERROR(MATCH(109,'كشف الحساب'!$N$4:$N$353,0),0)=0,"",INDEX('كشف الحساب'!$D$4:$D$353,IFERROR(MATCH(109,'كشف الحساب'!$N$4:$N$353,0),0))),"")</f>
        <v/>
      </c>
      <c r="E113" s="67" t="str">
        <f>IFERROR(IF(IFERROR(MATCH(109,'كشف الحساب'!$N$4:$N$353,0),0)=0,"",INDEX('كشف الحساب'!$E$4:$E$353,IFERROR(MATCH(109,'كشف الحساب'!$N$4:$N$353,0),0))),"")</f>
        <v/>
      </c>
      <c r="F113" s="64" t="str">
        <f>IFERROR(IF(IFERROR(MATCH(109,'كشف الحساب'!$N$4:$N$353,0),0)=0,"",INDEX('كشف الحساب'!$F$4:$F$353,IFERROR(MATCH(109,'كشف الحساب'!$N$4:$N$353,0),0))),"")</f>
        <v/>
      </c>
      <c r="G113" s="64" t="str">
        <f>IFERROR(IF(IFERROR(MATCH(109,'كشف الحساب'!$N$4:$N$353,0),0)=0,"",INDEX('كشف الحساب'!$G$4:$G$353,IFERROR(MATCH(109,'كشف الحساب'!$N$4:$N$353,0),0))),"")</f>
        <v/>
      </c>
      <c r="H113" s="64" t="str">
        <f>IFERROR(IF(IFERROR(MATCH(109,'كشف الحساب'!$N$4:$N$353,0),0)=0,"",INDEX('كشف الحساب'!$H$4:$H$353,IFERROR(MATCH(109,'كشف الحساب'!$N$4:$N$353,0),0))),"")</f>
        <v/>
      </c>
      <c r="I113" s="64" t="str">
        <f>IFERROR(IF(IFERROR(MATCH(109,'كشف الحساب'!$N$4:$N$353,0),0)=0,"",INDEX('كشف الحساب'!$I$4:$I$353,IFERROR(MATCH(109,'كشف الحساب'!$N$4:$N$353,0),0))),"")</f>
        <v/>
      </c>
      <c r="J113" s="68" t="str">
        <f>IFERROR(IF(IFERROR(MATCH(109,'كشف الحساب'!$N$4:$N$353,0),0)=0,"",INDEX('كشف الحساب'!$J$4:$J$353,IFERROR(MATCH(109,'كشف الحساب'!$N$4:$N$353,0),0))),"")</f>
        <v/>
      </c>
      <c r="K113" s="64" t="str">
        <f>IFERROR(IF(IFERROR(MATCH(109,'كشف الحساب'!$N$4:$N$353,0),0)=0,"",INDEX('كشف الحساب'!$K$4:$K$353,IFERROR(MATCH(109,'كشف الحساب'!$N$4:$N$353,0),0))),"")</f>
        <v/>
      </c>
    </row>
    <row r="114" spans="1:11" ht="15" customHeight="1" x14ac:dyDescent="0.25">
      <c r="A114" s="69" t="str">
        <f>IFERROR(IF(IFERROR(MATCH(110,'كشف الحساب'!$N$4:$N$353,0),0)=0,"",INDEX('كشف الحساب'!$A$4:$A$353,IFERROR(MATCH(110,'كشف الحساب'!$N$4:$N$353,0),0))),"")</f>
        <v/>
      </c>
      <c r="B114" s="70" t="str">
        <f>IFERROR(IF(IFERROR(MATCH(110,'كشف الحساب'!$N$4:$N$353,0),0)=0,"",INDEX('كشف الحساب'!$B$4:$B$353,IFERROR(MATCH(110,'كشف الحساب'!$N$4:$N$353,0),0))),"")</f>
        <v/>
      </c>
      <c r="C114" s="71" t="str">
        <f>IFERROR(IF(IFERROR(MATCH(110,'كشف الحساب'!$N$4:$N$353,0),0)=0,"",INDEX('كشف الحساب'!$C$4:$C$353,IFERROR(MATCH(110,'كشف الحساب'!$N$4:$N$353,0),0))),"")</f>
        <v/>
      </c>
      <c r="D114" s="72" t="str">
        <f>IFERROR(IF(IFERROR(MATCH(110,'كشف الحساب'!$N$4:$N$353,0),0)=0,"",INDEX('كشف الحساب'!$D$4:$D$353,IFERROR(MATCH(110,'كشف الحساب'!$N$4:$N$353,0),0))),"")</f>
        <v/>
      </c>
      <c r="E114" s="73" t="str">
        <f>IFERROR(IF(IFERROR(MATCH(110,'كشف الحساب'!$N$4:$N$353,0),0)=0,"",INDEX('كشف الحساب'!$E$4:$E$353,IFERROR(MATCH(110,'كشف الحساب'!$N$4:$N$353,0),0))),"")</f>
        <v/>
      </c>
      <c r="F114" s="70" t="str">
        <f>IFERROR(IF(IFERROR(MATCH(110,'كشف الحساب'!$N$4:$N$353,0),0)=0,"",INDEX('كشف الحساب'!$F$4:$F$353,IFERROR(MATCH(110,'كشف الحساب'!$N$4:$N$353,0),0))),"")</f>
        <v/>
      </c>
      <c r="G114" s="70" t="str">
        <f>IFERROR(IF(IFERROR(MATCH(110,'كشف الحساب'!$N$4:$N$353,0),0)=0,"",INDEX('كشف الحساب'!$G$4:$G$353,IFERROR(MATCH(110,'كشف الحساب'!$N$4:$N$353,0),0))),"")</f>
        <v/>
      </c>
      <c r="H114" s="70" t="str">
        <f>IFERROR(IF(IFERROR(MATCH(110,'كشف الحساب'!$N$4:$N$353,0),0)=0,"",INDEX('كشف الحساب'!$H$4:$H$353,IFERROR(MATCH(110,'كشف الحساب'!$N$4:$N$353,0),0))),"")</f>
        <v/>
      </c>
      <c r="I114" s="70" t="str">
        <f>IFERROR(IF(IFERROR(MATCH(110,'كشف الحساب'!$N$4:$N$353,0),0)=0,"",INDEX('كشف الحساب'!$I$4:$I$353,IFERROR(MATCH(110,'كشف الحساب'!$N$4:$N$353,0),0))),"")</f>
        <v/>
      </c>
      <c r="J114" s="74" t="str">
        <f>IFERROR(IF(IFERROR(MATCH(110,'كشف الحساب'!$N$4:$N$353,0),0)=0,"",INDEX('كشف الحساب'!$J$4:$J$353,IFERROR(MATCH(110,'كشف الحساب'!$N$4:$N$353,0),0))),"")</f>
        <v/>
      </c>
      <c r="K114" s="70" t="str">
        <f>IFERROR(IF(IFERROR(MATCH(110,'كشف الحساب'!$N$4:$N$353,0),0)=0,"",INDEX('كشف الحساب'!$K$4:$K$353,IFERROR(MATCH(110,'كشف الحساب'!$N$4:$N$353,0),0))),"")</f>
        <v/>
      </c>
    </row>
    <row r="115" spans="1:11" ht="15" customHeight="1" x14ac:dyDescent="0.25">
      <c r="A115" s="63" t="str">
        <f>IFERROR(IF(IFERROR(MATCH(111,'كشف الحساب'!$N$4:$N$353,0),0)=0,"",INDEX('كشف الحساب'!$A$4:$A$353,IFERROR(MATCH(111,'كشف الحساب'!$N$4:$N$353,0),0))),"")</f>
        <v/>
      </c>
      <c r="B115" s="64" t="str">
        <f>IFERROR(IF(IFERROR(MATCH(111,'كشف الحساب'!$N$4:$N$353,0),0)=0,"",INDEX('كشف الحساب'!$B$4:$B$353,IFERROR(MATCH(111,'كشف الحساب'!$N$4:$N$353,0),0))),"")</f>
        <v/>
      </c>
      <c r="C115" s="65" t="str">
        <f>IFERROR(IF(IFERROR(MATCH(111,'كشف الحساب'!$N$4:$N$353,0),0)=0,"",INDEX('كشف الحساب'!$C$4:$C$353,IFERROR(MATCH(111,'كشف الحساب'!$N$4:$N$353,0),0))),"")</f>
        <v/>
      </c>
      <c r="D115" s="66" t="str">
        <f>IFERROR(IF(IFERROR(MATCH(111,'كشف الحساب'!$N$4:$N$353,0),0)=0,"",INDEX('كشف الحساب'!$D$4:$D$353,IFERROR(MATCH(111,'كشف الحساب'!$N$4:$N$353,0),0))),"")</f>
        <v/>
      </c>
      <c r="E115" s="67" t="str">
        <f>IFERROR(IF(IFERROR(MATCH(111,'كشف الحساب'!$N$4:$N$353,0),0)=0,"",INDEX('كشف الحساب'!$E$4:$E$353,IFERROR(MATCH(111,'كشف الحساب'!$N$4:$N$353,0),0))),"")</f>
        <v/>
      </c>
      <c r="F115" s="64" t="str">
        <f>IFERROR(IF(IFERROR(MATCH(111,'كشف الحساب'!$N$4:$N$353,0),0)=0,"",INDEX('كشف الحساب'!$F$4:$F$353,IFERROR(MATCH(111,'كشف الحساب'!$N$4:$N$353,0),0))),"")</f>
        <v/>
      </c>
      <c r="G115" s="64" t="str">
        <f>IFERROR(IF(IFERROR(MATCH(111,'كشف الحساب'!$N$4:$N$353,0),0)=0,"",INDEX('كشف الحساب'!$G$4:$G$353,IFERROR(MATCH(111,'كشف الحساب'!$N$4:$N$353,0),0))),"")</f>
        <v/>
      </c>
      <c r="H115" s="64" t="str">
        <f>IFERROR(IF(IFERROR(MATCH(111,'كشف الحساب'!$N$4:$N$353,0),0)=0,"",INDEX('كشف الحساب'!$H$4:$H$353,IFERROR(MATCH(111,'كشف الحساب'!$N$4:$N$353,0),0))),"")</f>
        <v/>
      </c>
      <c r="I115" s="64" t="str">
        <f>IFERROR(IF(IFERROR(MATCH(111,'كشف الحساب'!$N$4:$N$353,0),0)=0,"",INDEX('كشف الحساب'!$I$4:$I$353,IFERROR(MATCH(111,'كشف الحساب'!$N$4:$N$353,0),0))),"")</f>
        <v/>
      </c>
      <c r="J115" s="68" t="str">
        <f>IFERROR(IF(IFERROR(MATCH(111,'كشف الحساب'!$N$4:$N$353,0),0)=0,"",INDEX('كشف الحساب'!$J$4:$J$353,IFERROR(MATCH(111,'كشف الحساب'!$N$4:$N$353,0),0))),"")</f>
        <v/>
      </c>
      <c r="K115" s="64" t="str">
        <f>IFERROR(IF(IFERROR(MATCH(111,'كشف الحساب'!$N$4:$N$353,0),0)=0,"",INDEX('كشف الحساب'!$K$4:$K$353,IFERROR(MATCH(111,'كشف الحساب'!$N$4:$N$353,0),0))),"")</f>
        <v/>
      </c>
    </row>
    <row r="116" spans="1:11" ht="15" customHeight="1" x14ac:dyDescent="0.25">
      <c r="A116" s="69" t="str">
        <f>IFERROR(IF(IFERROR(MATCH(112,'كشف الحساب'!$N$4:$N$353,0),0)=0,"",INDEX('كشف الحساب'!$A$4:$A$353,IFERROR(MATCH(112,'كشف الحساب'!$N$4:$N$353,0),0))),"")</f>
        <v/>
      </c>
      <c r="B116" s="70" t="str">
        <f>IFERROR(IF(IFERROR(MATCH(112,'كشف الحساب'!$N$4:$N$353,0),0)=0,"",INDEX('كشف الحساب'!$B$4:$B$353,IFERROR(MATCH(112,'كشف الحساب'!$N$4:$N$353,0),0))),"")</f>
        <v/>
      </c>
      <c r="C116" s="71" t="str">
        <f>IFERROR(IF(IFERROR(MATCH(112,'كشف الحساب'!$N$4:$N$353,0),0)=0,"",INDEX('كشف الحساب'!$C$4:$C$353,IFERROR(MATCH(112,'كشف الحساب'!$N$4:$N$353,0),0))),"")</f>
        <v/>
      </c>
      <c r="D116" s="72" t="str">
        <f>IFERROR(IF(IFERROR(MATCH(112,'كشف الحساب'!$N$4:$N$353,0),0)=0,"",INDEX('كشف الحساب'!$D$4:$D$353,IFERROR(MATCH(112,'كشف الحساب'!$N$4:$N$353,0),0))),"")</f>
        <v/>
      </c>
      <c r="E116" s="73" t="str">
        <f>IFERROR(IF(IFERROR(MATCH(112,'كشف الحساب'!$N$4:$N$353,0),0)=0,"",INDEX('كشف الحساب'!$E$4:$E$353,IFERROR(MATCH(112,'كشف الحساب'!$N$4:$N$353,0),0))),"")</f>
        <v/>
      </c>
      <c r="F116" s="70" t="str">
        <f>IFERROR(IF(IFERROR(MATCH(112,'كشف الحساب'!$N$4:$N$353,0),0)=0,"",INDEX('كشف الحساب'!$F$4:$F$353,IFERROR(MATCH(112,'كشف الحساب'!$N$4:$N$353,0),0))),"")</f>
        <v/>
      </c>
      <c r="G116" s="70" t="str">
        <f>IFERROR(IF(IFERROR(MATCH(112,'كشف الحساب'!$N$4:$N$353,0),0)=0,"",INDEX('كشف الحساب'!$G$4:$G$353,IFERROR(MATCH(112,'كشف الحساب'!$N$4:$N$353,0),0))),"")</f>
        <v/>
      </c>
      <c r="H116" s="70" t="str">
        <f>IFERROR(IF(IFERROR(MATCH(112,'كشف الحساب'!$N$4:$N$353,0),0)=0,"",INDEX('كشف الحساب'!$H$4:$H$353,IFERROR(MATCH(112,'كشف الحساب'!$N$4:$N$353,0),0))),"")</f>
        <v/>
      </c>
      <c r="I116" s="70" t="str">
        <f>IFERROR(IF(IFERROR(MATCH(112,'كشف الحساب'!$N$4:$N$353,0),0)=0,"",INDEX('كشف الحساب'!$I$4:$I$353,IFERROR(MATCH(112,'كشف الحساب'!$N$4:$N$353,0),0))),"")</f>
        <v/>
      </c>
      <c r="J116" s="74" t="str">
        <f>IFERROR(IF(IFERROR(MATCH(112,'كشف الحساب'!$N$4:$N$353,0),0)=0,"",INDEX('كشف الحساب'!$J$4:$J$353,IFERROR(MATCH(112,'كشف الحساب'!$N$4:$N$353,0),0))),"")</f>
        <v/>
      </c>
      <c r="K116" s="70" t="str">
        <f>IFERROR(IF(IFERROR(MATCH(112,'كشف الحساب'!$N$4:$N$353,0),0)=0,"",INDEX('كشف الحساب'!$K$4:$K$353,IFERROR(MATCH(112,'كشف الحساب'!$N$4:$N$353,0),0))),"")</f>
        <v/>
      </c>
    </row>
    <row r="117" spans="1:11" ht="15" customHeight="1" x14ac:dyDescent="0.25">
      <c r="A117" s="63" t="str">
        <f>IFERROR(IF(IFERROR(MATCH(113,'كشف الحساب'!$N$4:$N$353,0),0)=0,"",INDEX('كشف الحساب'!$A$4:$A$353,IFERROR(MATCH(113,'كشف الحساب'!$N$4:$N$353,0),0))),"")</f>
        <v/>
      </c>
      <c r="B117" s="64" t="str">
        <f>IFERROR(IF(IFERROR(MATCH(113,'كشف الحساب'!$N$4:$N$353,0),0)=0,"",INDEX('كشف الحساب'!$B$4:$B$353,IFERROR(MATCH(113,'كشف الحساب'!$N$4:$N$353,0),0))),"")</f>
        <v/>
      </c>
      <c r="C117" s="65" t="str">
        <f>IFERROR(IF(IFERROR(MATCH(113,'كشف الحساب'!$N$4:$N$353,0),0)=0,"",INDEX('كشف الحساب'!$C$4:$C$353,IFERROR(MATCH(113,'كشف الحساب'!$N$4:$N$353,0),0))),"")</f>
        <v/>
      </c>
      <c r="D117" s="66" t="str">
        <f>IFERROR(IF(IFERROR(MATCH(113,'كشف الحساب'!$N$4:$N$353,0),0)=0,"",INDEX('كشف الحساب'!$D$4:$D$353,IFERROR(MATCH(113,'كشف الحساب'!$N$4:$N$353,0),0))),"")</f>
        <v/>
      </c>
      <c r="E117" s="67" t="str">
        <f>IFERROR(IF(IFERROR(MATCH(113,'كشف الحساب'!$N$4:$N$353,0),0)=0,"",INDEX('كشف الحساب'!$E$4:$E$353,IFERROR(MATCH(113,'كشف الحساب'!$N$4:$N$353,0),0))),"")</f>
        <v/>
      </c>
      <c r="F117" s="64" t="str">
        <f>IFERROR(IF(IFERROR(MATCH(113,'كشف الحساب'!$N$4:$N$353,0),0)=0,"",INDEX('كشف الحساب'!$F$4:$F$353,IFERROR(MATCH(113,'كشف الحساب'!$N$4:$N$353,0),0))),"")</f>
        <v/>
      </c>
      <c r="G117" s="64" t="str">
        <f>IFERROR(IF(IFERROR(MATCH(113,'كشف الحساب'!$N$4:$N$353,0),0)=0,"",INDEX('كشف الحساب'!$G$4:$G$353,IFERROR(MATCH(113,'كشف الحساب'!$N$4:$N$353,0),0))),"")</f>
        <v/>
      </c>
      <c r="H117" s="64" t="str">
        <f>IFERROR(IF(IFERROR(MATCH(113,'كشف الحساب'!$N$4:$N$353,0),0)=0,"",INDEX('كشف الحساب'!$H$4:$H$353,IFERROR(MATCH(113,'كشف الحساب'!$N$4:$N$353,0),0))),"")</f>
        <v/>
      </c>
      <c r="I117" s="64" t="str">
        <f>IFERROR(IF(IFERROR(MATCH(113,'كشف الحساب'!$N$4:$N$353,0),0)=0,"",INDEX('كشف الحساب'!$I$4:$I$353,IFERROR(MATCH(113,'كشف الحساب'!$N$4:$N$353,0),0))),"")</f>
        <v/>
      </c>
      <c r="J117" s="68" t="str">
        <f>IFERROR(IF(IFERROR(MATCH(113,'كشف الحساب'!$N$4:$N$353,0),0)=0,"",INDEX('كشف الحساب'!$J$4:$J$353,IFERROR(MATCH(113,'كشف الحساب'!$N$4:$N$353,0),0))),"")</f>
        <v/>
      </c>
      <c r="K117" s="64" t="str">
        <f>IFERROR(IF(IFERROR(MATCH(113,'كشف الحساب'!$N$4:$N$353,0),0)=0,"",INDEX('كشف الحساب'!$K$4:$K$353,IFERROR(MATCH(113,'كشف الحساب'!$N$4:$N$353,0),0))),"")</f>
        <v/>
      </c>
    </row>
    <row r="118" spans="1:11" ht="15" customHeight="1" x14ac:dyDescent="0.25">
      <c r="A118" s="69" t="str">
        <f>IFERROR(IF(IFERROR(MATCH(114,'كشف الحساب'!$N$4:$N$353,0),0)=0,"",INDEX('كشف الحساب'!$A$4:$A$353,IFERROR(MATCH(114,'كشف الحساب'!$N$4:$N$353,0),0))),"")</f>
        <v/>
      </c>
      <c r="B118" s="70" t="str">
        <f>IFERROR(IF(IFERROR(MATCH(114,'كشف الحساب'!$N$4:$N$353,0),0)=0,"",INDEX('كشف الحساب'!$B$4:$B$353,IFERROR(MATCH(114,'كشف الحساب'!$N$4:$N$353,0),0))),"")</f>
        <v/>
      </c>
      <c r="C118" s="71" t="str">
        <f>IFERROR(IF(IFERROR(MATCH(114,'كشف الحساب'!$N$4:$N$353,0),0)=0,"",INDEX('كشف الحساب'!$C$4:$C$353,IFERROR(MATCH(114,'كشف الحساب'!$N$4:$N$353,0),0))),"")</f>
        <v/>
      </c>
      <c r="D118" s="72" t="str">
        <f>IFERROR(IF(IFERROR(MATCH(114,'كشف الحساب'!$N$4:$N$353,0),0)=0,"",INDEX('كشف الحساب'!$D$4:$D$353,IFERROR(MATCH(114,'كشف الحساب'!$N$4:$N$353,0),0))),"")</f>
        <v/>
      </c>
      <c r="E118" s="73" t="str">
        <f>IFERROR(IF(IFERROR(MATCH(114,'كشف الحساب'!$N$4:$N$353,0),0)=0,"",INDEX('كشف الحساب'!$E$4:$E$353,IFERROR(MATCH(114,'كشف الحساب'!$N$4:$N$353,0),0))),"")</f>
        <v/>
      </c>
      <c r="F118" s="70" t="str">
        <f>IFERROR(IF(IFERROR(MATCH(114,'كشف الحساب'!$N$4:$N$353,0),0)=0,"",INDEX('كشف الحساب'!$F$4:$F$353,IFERROR(MATCH(114,'كشف الحساب'!$N$4:$N$353,0),0))),"")</f>
        <v/>
      </c>
      <c r="G118" s="70" t="str">
        <f>IFERROR(IF(IFERROR(MATCH(114,'كشف الحساب'!$N$4:$N$353,0),0)=0,"",INDEX('كشف الحساب'!$G$4:$G$353,IFERROR(MATCH(114,'كشف الحساب'!$N$4:$N$353,0),0))),"")</f>
        <v/>
      </c>
      <c r="H118" s="70" t="str">
        <f>IFERROR(IF(IFERROR(MATCH(114,'كشف الحساب'!$N$4:$N$353,0),0)=0,"",INDEX('كشف الحساب'!$H$4:$H$353,IFERROR(MATCH(114,'كشف الحساب'!$N$4:$N$353,0),0))),"")</f>
        <v/>
      </c>
      <c r="I118" s="70" t="str">
        <f>IFERROR(IF(IFERROR(MATCH(114,'كشف الحساب'!$N$4:$N$353,0),0)=0,"",INDEX('كشف الحساب'!$I$4:$I$353,IFERROR(MATCH(114,'كشف الحساب'!$N$4:$N$353,0),0))),"")</f>
        <v/>
      </c>
      <c r="J118" s="74" t="str">
        <f>IFERROR(IF(IFERROR(MATCH(114,'كشف الحساب'!$N$4:$N$353,0),0)=0,"",INDEX('كشف الحساب'!$J$4:$J$353,IFERROR(MATCH(114,'كشف الحساب'!$N$4:$N$353,0),0))),"")</f>
        <v/>
      </c>
      <c r="K118" s="70" t="str">
        <f>IFERROR(IF(IFERROR(MATCH(114,'كشف الحساب'!$N$4:$N$353,0),0)=0,"",INDEX('كشف الحساب'!$K$4:$K$353,IFERROR(MATCH(114,'كشف الحساب'!$N$4:$N$353,0),0))),"")</f>
        <v/>
      </c>
    </row>
    <row r="119" spans="1:11" ht="15" customHeight="1" x14ac:dyDescent="0.25">
      <c r="A119" s="63" t="str">
        <f>IFERROR(IF(IFERROR(MATCH(115,'كشف الحساب'!$N$4:$N$353,0),0)=0,"",INDEX('كشف الحساب'!$A$4:$A$353,IFERROR(MATCH(115,'كشف الحساب'!$N$4:$N$353,0),0))),"")</f>
        <v/>
      </c>
      <c r="B119" s="64" t="str">
        <f>IFERROR(IF(IFERROR(MATCH(115,'كشف الحساب'!$N$4:$N$353,0),0)=0,"",INDEX('كشف الحساب'!$B$4:$B$353,IFERROR(MATCH(115,'كشف الحساب'!$N$4:$N$353,0),0))),"")</f>
        <v/>
      </c>
      <c r="C119" s="65" t="str">
        <f>IFERROR(IF(IFERROR(MATCH(115,'كشف الحساب'!$N$4:$N$353,0),0)=0,"",INDEX('كشف الحساب'!$C$4:$C$353,IFERROR(MATCH(115,'كشف الحساب'!$N$4:$N$353,0),0))),"")</f>
        <v/>
      </c>
      <c r="D119" s="66" t="str">
        <f>IFERROR(IF(IFERROR(MATCH(115,'كشف الحساب'!$N$4:$N$353,0),0)=0,"",INDEX('كشف الحساب'!$D$4:$D$353,IFERROR(MATCH(115,'كشف الحساب'!$N$4:$N$353,0),0))),"")</f>
        <v/>
      </c>
      <c r="E119" s="67" t="str">
        <f>IFERROR(IF(IFERROR(MATCH(115,'كشف الحساب'!$N$4:$N$353,0),0)=0,"",INDEX('كشف الحساب'!$E$4:$E$353,IFERROR(MATCH(115,'كشف الحساب'!$N$4:$N$353,0),0))),"")</f>
        <v/>
      </c>
      <c r="F119" s="64" t="str">
        <f>IFERROR(IF(IFERROR(MATCH(115,'كشف الحساب'!$N$4:$N$353,0),0)=0,"",INDEX('كشف الحساب'!$F$4:$F$353,IFERROR(MATCH(115,'كشف الحساب'!$N$4:$N$353,0),0))),"")</f>
        <v/>
      </c>
      <c r="G119" s="64" t="str">
        <f>IFERROR(IF(IFERROR(MATCH(115,'كشف الحساب'!$N$4:$N$353,0),0)=0,"",INDEX('كشف الحساب'!$G$4:$G$353,IFERROR(MATCH(115,'كشف الحساب'!$N$4:$N$353,0),0))),"")</f>
        <v/>
      </c>
      <c r="H119" s="64" t="str">
        <f>IFERROR(IF(IFERROR(MATCH(115,'كشف الحساب'!$N$4:$N$353,0),0)=0,"",INDEX('كشف الحساب'!$H$4:$H$353,IFERROR(MATCH(115,'كشف الحساب'!$N$4:$N$353,0),0))),"")</f>
        <v/>
      </c>
      <c r="I119" s="64" t="str">
        <f>IFERROR(IF(IFERROR(MATCH(115,'كشف الحساب'!$N$4:$N$353,0),0)=0,"",INDEX('كشف الحساب'!$I$4:$I$353,IFERROR(MATCH(115,'كشف الحساب'!$N$4:$N$353,0),0))),"")</f>
        <v/>
      </c>
      <c r="J119" s="68" t="str">
        <f>IFERROR(IF(IFERROR(MATCH(115,'كشف الحساب'!$N$4:$N$353,0),0)=0,"",INDEX('كشف الحساب'!$J$4:$J$353,IFERROR(MATCH(115,'كشف الحساب'!$N$4:$N$353,0),0))),"")</f>
        <v/>
      </c>
      <c r="K119" s="64" t="str">
        <f>IFERROR(IF(IFERROR(MATCH(115,'كشف الحساب'!$N$4:$N$353,0),0)=0,"",INDEX('كشف الحساب'!$K$4:$K$353,IFERROR(MATCH(115,'كشف الحساب'!$N$4:$N$353,0),0))),"")</f>
        <v/>
      </c>
    </row>
    <row r="120" spans="1:11" ht="15" customHeight="1" x14ac:dyDescent="0.25">
      <c r="A120" s="69" t="str">
        <f>IFERROR(IF(IFERROR(MATCH(116,'كشف الحساب'!$N$4:$N$353,0),0)=0,"",INDEX('كشف الحساب'!$A$4:$A$353,IFERROR(MATCH(116,'كشف الحساب'!$N$4:$N$353,0),0))),"")</f>
        <v/>
      </c>
      <c r="B120" s="70" t="str">
        <f>IFERROR(IF(IFERROR(MATCH(116,'كشف الحساب'!$N$4:$N$353,0),0)=0,"",INDEX('كشف الحساب'!$B$4:$B$353,IFERROR(MATCH(116,'كشف الحساب'!$N$4:$N$353,0),0))),"")</f>
        <v/>
      </c>
      <c r="C120" s="71" t="str">
        <f>IFERROR(IF(IFERROR(MATCH(116,'كشف الحساب'!$N$4:$N$353,0),0)=0,"",INDEX('كشف الحساب'!$C$4:$C$353,IFERROR(MATCH(116,'كشف الحساب'!$N$4:$N$353,0),0))),"")</f>
        <v/>
      </c>
      <c r="D120" s="72" t="str">
        <f>IFERROR(IF(IFERROR(MATCH(116,'كشف الحساب'!$N$4:$N$353,0),0)=0,"",INDEX('كشف الحساب'!$D$4:$D$353,IFERROR(MATCH(116,'كشف الحساب'!$N$4:$N$353,0),0))),"")</f>
        <v/>
      </c>
      <c r="E120" s="73" t="str">
        <f>IFERROR(IF(IFERROR(MATCH(116,'كشف الحساب'!$N$4:$N$353,0),0)=0,"",INDEX('كشف الحساب'!$E$4:$E$353,IFERROR(MATCH(116,'كشف الحساب'!$N$4:$N$353,0),0))),"")</f>
        <v/>
      </c>
      <c r="F120" s="70" t="str">
        <f>IFERROR(IF(IFERROR(MATCH(116,'كشف الحساب'!$N$4:$N$353,0),0)=0,"",INDEX('كشف الحساب'!$F$4:$F$353,IFERROR(MATCH(116,'كشف الحساب'!$N$4:$N$353,0),0))),"")</f>
        <v/>
      </c>
      <c r="G120" s="70" t="str">
        <f>IFERROR(IF(IFERROR(MATCH(116,'كشف الحساب'!$N$4:$N$353,0),0)=0,"",INDEX('كشف الحساب'!$G$4:$G$353,IFERROR(MATCH(116,'كشف الحساب'!$N$4:$N$353,0),0))),"")</f>
        <v/>
      </c>
      <c r="H120" s="70" t="str">
        <f>IFERROR(IF(IFERROR(MATCH(116,'كشف الحساب'!$N$4:$N$353,0),0)=0,"",INDEX('كشف الحساب'!$H$4:$H$353,IFERROR(MATCH(116,'كشف الحساب'!$N$4:$N$353,0),0))),"")</f>
        <v/>
      </c>
      <c r="I120" s="70" t="str">
        <f>IFERROR(IF(IFERROR(MATCH(116,'كشف الحساب'!$N$4:$N$353,0),0)=0,"",INDEX('كشف الحساب'!$I$4:$I$353,IFERROR(MATCH(116,'كشف الحساب'!$N$4:$N$353,0),0))),"")</f>
        <v/>
      </c>
      <c r="J120" s="74" t="str">
        <f>IFERROR(IF(IFERROR(MATCH(116,'كشف الحساب'!$N$4:$N$353,0),0)=0,"",INDEX('كشف الحساب'!$J$4:$J$353,IFERROR(MATCH(116,'كشف الحساب'!$N$4:$N$353,0),0))),"")</f>
        <v/>
      </c>
      <c r="K120" s="70" t="str">
        <f>IFERROR(IF(IFERROR(MATCH(116,'كشف الحساب'!$N$4:$N$353,0),0)=0,"",INDEX('كشف الحساب'!$K$4:$K$353,IFERROR(MATCH(116,'كشف الحساب'!$N$4:$N$353,0),0))),"")</f>
        <v/>
      </c>
    </row>
    <row r="121" spans="1:11" ht="15" customHeight="1" x14ac:dyDescent="0.25">
      <c r="A121" s="63" t="str">
        <f>IFERROR(IF(IFERROR(MATCH(117,'كشف الحساب'!$N$4:$N$353,0),0)=0,"",INDEX('كشف الحساب'!$A$4:$A$353,IFERROR(MATCH(117,'كشف الحساب'!$N$4:$N$353,0),0))),"")</f>
        <v/>
      </c>
      <c r="B121" s="64" t="str">
        <f>IFERROR(IF(IFERROR(MATCH(117,'كشف الحساب'!$N$4:$N$353,0),0)=0,"",INDEX('كشف الحساب'!$B$4:$B$353,IFERROR(MATCH(117,'كشف الحساب'!$N$4:$N$353,0),0))),"")</f>
        <v/>
      </c>
      <c r="C121" s="65" t="str">
        <f>IFERROR(IF(IFERROR(MATCH(117,'كشف الحساب'!$N$4:$N$353,0),0)=0,"",INDEX('كشف الحساب'!$C$4:$C$353,IFERROR(MATCH(117,'كشف الحساب'!$N$4:$N$353,0),0))),"")</f>
        <v/>
      </c>
      <c r="D121" s="66" t="str">
        <f>IFERROR(IF(IFERROR(MATCH(117,'كشف الحساب'!$N$4:$N$353,0),0)=0,"",INDEX('كشف الحساب'!$D$4:$D$353,IFERROR(MATCH(117,'كشف الحساب'!$N$4:$N$353,0),0))),"")</f>
        <v/>
      </c>
      <c r="E121" s="67" t="str">
        <f>IFERROR(IF(IFERROR(MATCH(117,'كشف الحساب'!$N$4:$N$353,0),0)=0,"",INDEX('كشف الحساب'!$E$4:$E$353,IFERROR(MATCH(117,'كشف الحساب'!$N$4:$N$353,0),0))),"")</f>
        <v/>
      </c>
      <c r="F121" s="64" t="str">
        <f>IFERROR(IF(IFERROR(MATCH(117,'كشف الحساب'!$N$4:$N$353,0),0)=0,"",INDEX('كشف الحساب'!$F$4:$F$353,IFERROR(MATCH(117,'كشف الحساب'!$N$4:$N$353,0),0))),"")</f>
        <v/>
      </c>
      <c r="G121" s="64" t="str">
        <f>IFERROR(IF(IFERROR(MATCH(117,'كشف الحساب'!$N$4:$N$353,0),0)=0,"",INDEX('كشف الحساب'!$G$4:$G$353,IFERROR(MATCH(117,'كشف الحساب'!$N$4:$N$353,0),0))),"")</f>
        <v/>
      </c>
      <c r="H121" s="64" t="str">
        <f>IFERROR(IF(IFERROR(MATCH(117,'كشف الحساب'!$N$4:$N$353,0),0)=0,"",INDEX('كشف الحساب'!$H$4:$H$353,IFERROR(MATCH(117,'كشف الحساب'!$N$4:$N$353,0),0))),"")</f>
        <v/>
      </c>
      <c r="I121" s="64" t="str">
        <f>IFERROR(IF(IFERROR(MATCH(117,'كشف الحساب'!$N$4:$N$353,0),0)=0,"",INDEX('كشف الحساب'!$I$4:$I$353,IFERROR(MATCH(117,'كشف الحساب'!$N$4:$N$353,0),0))),"")</f>
        <v/>
      </c>
      <c r="J121" s="68" t="str">
        <f>IFERROR(IF(IFERROR(MATCH(117,'كشف الحساب'!$N$4:$N$353,0),0)=0,"",INDEX('كشف الحساب'!$J$4:$J$353,IFERROR(MATCH(117,'كشف الحساب'!$N$4:$N$353,0),0))),"")</f>
        <v/>
      </c>
      <c r="K121" s="64" t="str">
        <f>IFERROR(IF(IFERROR(MATCH(117,'كشف الحساب'!$N$4:$N$353,0),0)=0,"",INDEX('كشف الحساب'!$K$4:$K$353,IFERROR(MATCH(117,'كشف الحساب'!$N$4:$N$353,0),0))),"")</f>
        <v/>
      </c>
    </row>
    <row r="122" spans="1:11" ht="15" customHeight="1" x14ac:dyDescent="0.25">
      <c r="A122" s="69" t="str">
        <f>IFERROR(IF(IFERROR(MATCH(118,'كشف الحساب'!$N$4:$N$353,0),0)=0,"",INDEX('كشف الحساب'!$A$4:$A$353,IFERROR(MATCH(118,'كشف الحساب'!$N$4:$N$353,0),0))),"")</f>
        <v/>
      </c>
      <c r="B122" s="70" t="str">
        <f>IFERROR(IF(IFERROR(MATCH(118,'كشف الحساب'!$N$4:$N$353,0),0)=0,"",INDEX('كشف الحساب'!$B$4:$B$353,IFERROR(MATCH(118,'كشف الحساب'!$N$4:$N$353,0),0))),"")</f>
        <v/>
      </c>
      <c r="C122" s="71" t="str">
        <f>IFERROR(IF(IFERROR(MATCH(118,'كشف الحساب'!$N$4:$N$353,0),0)=0,"",INDEX('كشف الحساب'!$C$4:$C$353,IFERROR(MATCH(118,'كشف الحساب'!$N$4:$N$353,0),0))),"")</f>
        <v/>
      </c>
      <c r="D122" s="72" t="str">
        <f>IFERROR(IF(IFERROR(MATCH(118,'كشف الحساب'!$N$4:$N$353,0),0)=0,"",INDEX('كشف الحساب'!$D$4:$D$353,IFERROR(MATCH(118,'كشف الحساب'!$N$4:$N$353,0),0))),"")</f>
        <v/>
      </c>
      <c r="E122" s="73" t="str">
        <f>IFERROR(IF(IFERROR(MATCH(118,'كشف الحساب'!$N$4:$N$353,0),0)=0,"",INDEX('كشف الحساب'!$E$4:$E$353,IFERROR(MATCH(118,'كشف الحساب'!$N$4:$N$353,0),0))),"")</f>
        <v/>
      </c>
      <c r="F122" s="70" t="str">
        <f>IFERROR(IF(IFERROR(MATCH(118,'كشف الحساب'!$N$4:$N$353,0),0)=0,"",INDEX('كشف الحساب'!$F$4:$F$353,IFERROR(MATCH(118,'كشف الحساب'!$N$4:$N$353,0),0))),"")</f>
        <v/>
      </c>
      <c r="G122" s="70" t="str">
        <f>IFERROR(IF(IFERROR(MATCH(118,'كشف الحساب'!$N$4:$N$353,0),0)=0,"",INDEX('كشف الحساب'!$G$4:$G$353,IFERROR(MATCH(118,'كشف الحساب'!$N$4:$N$353,0),0))),"")</f>
        <v/>
      </c>
      <c r="H122" s="70" t="str">
        <f>IFERROR(IF(IFERROR(MATCH(118,'كشف الحساب'!$N$4:$N$353,0),0)=0,"",INDEX('كشف الحساب'!$H$4:$H$353,IFERROR(MATCH(118,'كشف الحساب'!$N$4:$N$353,0),0))),"")</f>
        <v/>
      </c>
      <c r="I122" s="70" t="str">
        <f>IFERROR(IF(IFERROR(MATCH(118,'كشف الحساب'!$N$4:$N$353,0),0)=0,"",INDEX('كشف الحساب'!$I$4:$I$353,IFERROR(MATCH(118,'كشف الحساب'!$N$4:$N$353,0),0))),"")</f>
        <v/>
      </c>
      <c r="J122" s="74" t="str">
        <f>IFERROR(IF(IFERROR(MATCH(118,'كشف الحساب'!$N$4:$N$353,0),0)=0,"",INDEX('كشف الحساب'!$J$4:$J$353,IFERROR(MATCH(118,'كشف الحساب'!$N$4:$N$353,0),0))),"")</f>
        <v/>
      </c>
      <c r="K122" s="70" t="str">
        <f>IFERROR(IF(IFERROR(MATCH(118,'كشف الحساب'!$N$4:$N$353,0),0)=0,"",INDEX('كشف الحساب'!$K$4:$K$353,IFERROR(MATCH(118,'كشف الحساب'!$N$4:$N$353,0),0))),"")</f>
        <v/>
      </c>
    </row>
    <row r="123" spans="1:11" ht="15" customHeight="1" x14ac:dyDescent="0.25">
      <c r="A123" s="63" t="str">
        <f>IFERROR(IF(IFERROR(MATCH(119,'كشف الحساب'!$N$4:$N$353,0),0)=0,"",INDEX('كشف الحساب'!$A$4:$A$353,IFERROR(MATCH(119,'كشف الحساب'!$N$4:$N$353,0),0))),"")</f>
        <v/>
      </c>
      <c r="B123" s="64" t="str">
        <f>IFERROR(IF(IFERROR(MATCH(119,'كشف الحساب'!$N$4:$N$353,0),0)=0,"",INDEX('كشف الحساب'!$B$4:$B$353,IFERROR(MATCH(119,'كشف الحساب'!$N$4:$N$353,0),0))),"")</f>
        <v/>
      </c>
      <c r="C123" s="65" t="str">
        <f>IFERROR(IF(IFERROR(MATCH(119,'كشف الحساب'!$N$4:$N$353,0),0)=0,"",INDEX('كشف الحساب'!$C$4:$C$353,IFERROR(MATCH(119,'كشف الحساب'!$N$4:$N$353,0),0))),"")</f>
        <v/>
      </c>
      <c r="D123" s="66" t="str">
        <f>IFERROR(IF(IFERROR(MATCH(119,'كشف الحساب'!$N$4:$N$353,0),0)=0,"",INDEX('كشف الحساب'!$D$4:$D$353,IFERROR(MATCH(119,'كشف الحساب'!$N$4:$N$353,0),0))),"")</f>
        <v/>
      </c>
      <c r="E123" s="67" t="str">
        <f>IFERROR(IF(IFERROR(MATCH(119,'كشف الحساب'!$N$4:$N$353,0),0)=0,"",INDEX('كشف الحساب'!$E$4:$E$353,IFERROR(MATCH(119,'كشف الحساب'!$N$4:$N$353,0),0))),"")</f>
        <v/>
      </c>
      <c r="F123" s="64" t="str">
        <f>IFERROR(IF(IFERROR(MATCH(119,'كشف الحساب'!$N$4:$N$353,0),0)=0,"",INDEX('كشف الحساب'!$F$4:$F$353,IFERROR(MATCH(119,'كشف الحساب'!$N$4:$N$353,0),0))),"")</f>
        <v/>
      </c>
      <c r="G123" s="64" t="str">
        <f>IFERROR(IF(IFERROR(MATCH(119,'كشف الحساب'!$N$4:$N$353,0),0)=0,"",INDEX('كشف الحساب'!$G$4:$G$353,IFERROR(MATCH(119,'كشف الحساب'!$N$4:$N$353,0),0))),"")</f>
        <v/>
      </c>
      <c r="H123" s="64" t="str">
        <f>IFERROR(IF(IFERROR(MATCH(119,'كشف الحساب'!$N$4:$N$353,0),0)=0,"",INDEX('كشف الحساب'!$H$4:$H$353,IFERROR(MATCH(119,'كشف الحساب'!$N$4:$N$353,0),0))),"")</f>
        <v/>
      </c>
      <c r="I123" s="64" t="str">
        <f>IFERROR(IF(IFERROR(MATCH(119,'كشف الحساب'!$N$4:$N$353,0),0)=0,"",INDEX('كشف الحساب'!$I$4:$I$353,IFERROR(MATCH(119,'كشف الحساب'!$N$4:$N$353,0),0))),"")</f>
        <v/>
      </c>
      <c r="J123" s="68" t="str">
        <f>IFERROR(IF(IFERROR(MATCH(119,'كشف الحساب'!$N$4:$N$353,0),0)=0,"",INDEX('كشف الحساب'!$J$4:$J$353,IFERROR(MATCH(119,'كشف الحساب'!$N$4:$N$353,0),0))),"")</f>
        <v/>
      </c>
      <c r="K123" s="64" t="str">
        <f>IFERROR(IF(IFERROR(MATCH(119,'كشف الحساب'!$N$4:$N$353,0),0)=0,"",INDEX('كشف الحساب'!$K$4:$K$353,IFERROR(MATCH(119,'كشف الحساب'!$N$4:$N$353,0),0))),"")</f>
        <v/>
      </c>
    </row>
    <row r="124" spans="1:11" ht="15" customHeight="1" x14ac:dyDescent="0.25">
      <c r="A124" s="69" t="str">
        <f>IFERROR(IF(IFERROR(MATCH(120,'كشف الحساب'!$N$4:$N$353,0),0)=0,"",INDEX('كشف الحساب'!$A$4:$A$353,IFERROR(MATCH(120,'كشف الحساب'!$N$4:$N$353,0),0))),"")</f>
        <v/>
      </c>
      <c r="B124" s="70" t="str">
        <f>IFERROR(IF(IFERROR(MATCH(120,'كشف الحساب'!$N$4:$N$353,0),0)=0,"",INDEX('كشف الحساب'!$B$4:$B$353,IFERROR(MATCH(120,'كشف الحساب'!$N$4:$N$353,0),0))),"")</f>
        <v/>
      </c>
      <c r="C124" s="71" t="str">
        <f>IFERROR(IF(IFERROR(MATCH(120,'كشف الحساب'!$N$4:$N$353,0),0)=0,"",INDEX('كشف الحساب'!$C$4:$C$353,IFERROR(MATCH(120,'كشف الحساب'!$N$4:$N$353,0),0))),"")</f>
        <v/>
      </c>
      <c r="D124" s="72" t="str">
        <f>IFERROR(IF(IFERROR(MATCH(120,'كشف الحساب'!$N$4:$N$353,0),0)=0,"",INDEX('كشف الحساب'!$D$4:$D$353,IFERROR(MATCH(120,'كشف الحساب'!$N$4:$N$353,0),0))),"")</f>
        <v/>
      </c>
      <c r="E124" s="73" t="str">
        <f>IFERROR(IF(IFERROR(MATCH(120,'كشف الحساب'!$N$4:$N$353,0),0)=0,"",INDEX('كشف الحساب'!$E$4:$E$353,IFERROR(MATCH(120,'كشف الحساب'!$N$4:$N$353,0),0))),"")</f>
        <v/>
      </c>
      <c r="F124" s="70" t="str">
        <f>IFERROR(IF(IFERROR(MATCH(120,'كشف الحساب'!$N$4:$N$353,0),0)=0,"",INDEX('كشف الحساب'!$F$4:$F$353,IFERROR(MATCH(120,'كشف الحساب'!$N$4:$N$353,0),0))),"")</f>
        <v/>
      </c>
      <c r="G124" s="70" t="str">
        <f>IFERROR(IF(IFERROR(MATCH(120,'كشف الحساب'!$N$4:$N$353,0),0)=0,"",INDEX('كشف الحساب'!$G$4:$G$353,IFERROR(MATCH(120,'كشف الحساب'!$N$4:$N$353,0),0))),"")</f>
        <v/>
      </c>
      <c r="H124" s="70" t="str">
        <f>IFERROR(IF(IFERROR(MATCH(120,'كشف الحساب'!$N$4:$N$353,0),0)=0,"",INDEX('كشف الحساب'!$H$4:$H$353,IFERROR(MATCH(120,'كشف الحساب'!$N$4:$N$353,0),0))),"")</f>
        <v/>
      </c>
      <c r="I124" s="70" t="str">
        <f>IFERROR(IF(IFERROR(MATCH(120,'كشف الحساب'!$N$4:$N$353,0),0)=0,"",INDEX('كشف الحساب'!$I$4:$I$353,IFERROR(MATCH(120,'كشف الحساب'!$N$4:$N$353,0),0))),"")</f>
        <v/>
      </c>
      <c r="J124" s="74" t="str">
        <f>IFERROR(IF(IFERROR(MATCH(120,'كشف الحساب'!$N$4:$N$353,0),0)=0,"",INDEX('كشف الحساب'!$J$4:$J$353,IFERROR(MATCH(120,'كشف الحساب'!$N$4:$N$353,0),0))),"")</f>
        <v/>
      </c>
      <c r="K124" s="70" t="str">
        <f>IFERROR(IF(IFERROR(MATCH(120,'كشف الحساب'!$N$4:$N$353,0),0)=0,"",INDEX('كشف الحساب'!$K$4:$K$353,IFERROR(MATCH(120,'كشف الحساب'!$N$4:$N$353,0),0))),"")</f>
        <v/>
      </c>
    </row>
    <row r="125" spans="1:11" ht="15" customHeight="1" x14ac:dyDescent="0.25">
      <c r="A125" s="63" t="str">
        <f>IFERROR(IF(IFERROR(MATCH(121,'كشف الحساب'!$N$4:$N$353,0),0)=0,"",INDEX('كشف الحساب'!$A$4:$A$353,IFERROR(MATCH(121,'كشف الحساب'!$N$4:$N$353,0),0))),"")</f>
        <v/>
      </c>
      <c r="B125" s="64" t="str">
        <f>IFERROR(IF(IFERROR(MATCH(121,'كشف الحساب'!$N$4:$N$353,0),0)=0,"",INDEX('كشف الحساب'!$B$4:$B$353,IFERROR(MATCH(121,'كشف الحساب'!$N$4:$N$353,0),0))),"")</f>
        <v/>
      </c>
      <c r="C125" s="65" t="str">
        <f>IFERROR(IF(IFERROR(MATCH(121,'كشف الحساب'!$N$4:$N$353,0),0)=0,"",INDEX('كشف الحساب'!$C$4:$C$353,IFERROR(MATCH(121,'كشف الحساب'!$N$4:$N$353,0),0))),"")</f>
        <v/>
      </c>
      <c r="D125" s="66" t="str">
        <f>IFERROR(IF(IFERROR(MATCH(121,'كشف الحساب'!$N$4:$N$353,0),0)=0,"",INDEX('كشف الحساب'!$D$4:$D$353,IFERROR(MATCH(121,'كشف الحساب'!$N$4:$N$353,0),0))),"")</f>
        <v/>
      </c>
      <c r="E125" s="67" t="str">
        <f>IFERROR(IF(IFERROR(MATCH(121,'كشف الحساب'!$N$4:$N$353,0),0)=0,"",INDEX('كشف الحساب'!$E$4:$E$353,IFERROR(MATCH(121,'كشف الحساب'!$N$4:$N$353,0),0))),"")</f>
        <v/>
      </c>
      <c r="F125" s="64" t="str">
        <f>IFERROR(IF(IFERROR(MATCH(121,'كشف الحساب'!$N$4:$N$353,0),0)=0,"",INDEX('كشف الحساب'!$F$4:$F$353,IFERROR(MATCH(121,'كشف الحساب'!$N$4:$N$353,0),0))),"")</f>
        <v/>
      </c>
      <c r="G125" s="64" t="str">
        <f>IFERROR(IF(IFERROR(MATCH(121,'كشف الحساب'!$N$4:$N$353,0),0)=0,"",INDEX('كشف الحساب'!$G$4:$G$353,IFERROR(MATCH(121,'كشف الحساب'!$N$4:$N$353,0),0))),"")</f>
        <v/>
      </c>
      <c r="H125" s="64" t="str">
        <f>IFERROR(IF(IFERROR(MATCH(121,'كشف الحساب'!$N$4:$N$353,0),0)=0,"",INDEX('كشف الحساب'!$H$4:$H$353,IFERROR(MATCH(121,'كشف الحساب'!$N$4:$N$353,0),0))),"")</f>
        <v/>
      </c>
      <c r="I125" s="64" t="str">
        <f>IFERROR(IF(IFERROR(MATCH(121,'كشف الحساب'!$N$4:$N$353,0),0)=0,"",INDEX('كشف الحساب'!$I$4:$I$353,IFERROR(MATCH(121,'كشف الحساب'!$N$4:$N$353,0),0))),"")</f>
        <v/>
      </c>
      <c r="J125" s="68" t="str">
        <f>IFERROR(IF(IFERROR(MATCH(121,'كشف الحساب'!$N$4:$N$353,0),0)=0,"",INDEX('كشف الحساب'!$J$4:$J$353,IFERROR(MATCH(121,'كشف الحساب'!$N$4:$N$353,0),0))),"")</f>
        <v/>
      </c>
      <c r="K125" s="64" t="str">
        <f>IFERROR(IF(IFERROR(MATCH(121,'كشف الحساب'!$N$4:$N$353,0),0)=0,"",INDEX('كشف الحساب'!$K$4:$K$353,IFERROR(MATCH(121,'كشف الحساب'!$N$4:$N$353,0),0))),"")</f>
        <v/>
      </c>
    </row>
    <row r="126" spans="1:11" ht="15" customHeight="1" x14ac:dyDescent="0.25">
      <c r="A126" s="69" t="str">
        <f>IFERROR(IF(IFERROR(MATCH(122,'كشف الحساب'!$N$4:$N$353,0),0)=0,"",INDEX('كشف الحساب'!$A$4:$A$353,IFERROR(MATCH(122,'كشف الحساب'!$N$4:$N$353,0),0))),"")</f>
        <v/>
      </c>
      <c r="B126" s="70" t="str">
        <f>IFERROR(IF(IFERROR(MATCH(122,'كشف الحساب'!$N$4:$N$353,0),0)=0,"",INDEX('كشف الحساب'!$B$4:$B$353,IFERROR(MATCH(122,'كشف الحساب'!$N$4:$N$353,0),0))),"")</f>
        <v/>
      </c>
      <c r="C126" s="71" t="str">
        <f>IFERROR(IF(IFERROR(MATCH(122,'كشف الحساب'!$N$4:$N$353,0),0)=0,"",INDEX('كشف الحساب'!$C$4:$C$353,IFERROR(MATCH(122,'كشف الحساب'!$N$4:$N$353,0),0))),"")</f>
        <v/>
      </c>
      <c r="D126" s="72" t="str">
        <f>IFERROR(IF(IFERROR(MATCH(122,'كشف الحساب'!$N$4:$N$353,0),0)=0,"",INDEX('كشف الحساب'!$D$4:$D$353,IFERROR(MATCH(122,'كشف الحساب'!$N$4:$N$353,0),0))),"")</f>
        <v/>
      </c>
      <c r="E126" s="73" t="str">
        <f>IFERROR(IF(IFERROR(MATCH(122,'كشف الحساب'!$N$4:$N$353,0),0)=0,"",INDEX('كشف الحساب'!$E$4:$E$353,IFERROR(MATCH(122,'كشف الحساب'!$N$4:$N$353,0),0))),"")</f>
        <v/>
      </c>
      <c r="F126" s="70" t="str">
        <f>IFERROR(IF(IFERROR(MATCH(122,'كشف الحساب'!$N$4:$N$353,0),0)=0,"",INDEX('كشف الحساب'!$F$4:$F$353,IFERROR(MATCH(122,'كشف الحساب'!$N$4:$N$353,0),0))),"")</f>
        <v/>
      </c>
      <c r="G126" s="70" t="str">
        <f>IFERROR(IF(IFERROR(MATCH(122,'كشف الحساب'!$N$4:$N$353,0),0)=0,"",INDEX('كشف الحساب'!$G$4:$G$353,IFERROR(MATCH(122,'كشف الحساب'!$N$4:$N$353,0),0))),"")</f>
        <v/>
      </c>
      <c r="H126" s="70" t="str">
        <f>IFERROR(IF(IFERROR(MATCH(122,'كشف الحساب'!$N$4:$N$353,0),0)=0,"",INDEX('كشف الحساب'!$H$4:$H$353,IFERROR(MATCH(122,'كشف الحساب'!$N$4:$N$353,0),0))),"")</f>
        <v/>
      </c>
      <c r="I126" s="70" t="str">
        <f>IFERROR(IF(IFERROR(MATCH(122,'كشف الحساب'!$N$4:$N$353,0),0)=0,"",INDEX('كشف الحساب'!$I$4:$I$353,IFERROR(MATCH(122,'كشف الحساب'!$N$4:$N$353,0),0))),"")</f>
        <v/>
      </c>
      <c r="J126" s="74" t="str">
        <f>IFERROR(IF(IFERROR(MATCH(122,'كشف الحساب'!$N$4:$N$353,0),0)=0,"",INDEX('كشف الحساب'!$J$4:$J$353,IFERROR(MATCH(122,'كشف الحساب'!$N$4:$N$353,0),0))),"")</f>
        <v/>
      </c>
      <c r="K126" s="70" t="str">
        <f>IFERROR(IF(IFERROR(MATCH(122,'كشف الحساب'!$N$4:$N$353,0),0)=0,"",INDEX('كشف الحساب'!$K$4:$K$353,IFERROR(MATCH(122,'كشف الحساب'!$N$4:$N$353,0),0))),"")</f>
        <v/>
      </c>
    </row>
    <row r="127" spans="1:11" ht="15" customHeight="1" x14ac:dyDescent="0.25">
      <c r="A127" s="63" t="str">
        <f>IFERROR(IF(IFERROR(MATCH(123,'كشف الحساب'!$N$4:$N$353,0),0)=0,"",INDEX('كشف الحساب'!$A$4:$A$353,IFERROR(MATCH(123,'كشف الحساب'!$N$4:$N$353,0),0))),"")</f>
        <v/>
      </c>
      <c r="B127" s="64" t="str">
        <f>IFERROR(IF(IFERROR(MATCH(123,'كشف الحساب'!$N$4:$N$353,0),0)=0,"",INDEX('كشف الحساب'!$B$4:$B$353,IFERROR(MATCH(123,'كشف الحساب'!$N$4:$N$353,0),0))),"")</f>
        <v/>
      </c>
      <c r="C127" s="65" t="str">
        <f>IFERROR(IF(IFERROR(MATCH(123,'كشف الحساب'!$N$4:$N$353,0),0)=0,"",INDEX('كشف الحساب'!$C$4:$C$353,IFERROR(MATCH(123,'كشف الحساب'!$N$4:$N$353,0),0))),"")</f>
        <v/>
      </c>
      <c r="D127" s="66" t="str">
        <f>IFERROR(IF(IFERROR(MATCH(123,'كشف الحساب'!$N$4:$N$353,0),0)=0,"",INDEX('كشف الحساب'!$D$4:$D$353,IFERROR(MATCH(123,'كشف الحساب'!$N$4:$N$353,0),0))),"")</f>
        <v/>
      </c>
      <c r="E127" s="67" t="str">
        <f>IFERROR(IF(IFERROR(MATCH(123,'كشف الحساب'!$N$4:$N$353,0),0)=0,"",INDEX('كشف الحساب'!$E$4:$E$353,IFERROR(MATCH(123,'كشف الحساب'!$N$4:$N$353,0),0))),"")</f>
        <v/>
      </c>
      <c r="F127" s="64" t="str">
        <f>IFERROR(IF(IFERROR(MATCH(123,'كشف الحساب'!$N$4:$N$353,0),0)=0,"",INDEX('كشف الحساب'!$F$4:$F$353,IFERROR(MATCH(123,'كشف الحساب'!$N$4:$N$353,0),0))),"")</f>
        <v/>
      </c>
      <c r="G127" s="64" t="str">
        <f>IFERROR(IF(IFERROR(MATCH(123,'كشف الحساب'!$N$4:$N$353,0),0)=0,"",INDEX('كشف الحساب'!$G$4:$G$353,IFERROR(MATCH(123,'كشف الحساب'!$N$4:$N$353,0),0))),"")</f>
        <v/>
      </c>
      <c r="H127" s="64" t="str">
        <f>IFERROR(IF(IFERROR(MATCH(123,'كشف الحساب'!$N$4:$N$353,0),0)=0,"",INDEX('كشف الحساب'!$H$4:$H$353,IFERROR(MATCH(123,'كشف الحساب'!$N$4:$N$353,0),0))),"")</f>
        <v/>
      </c>
      <c r="I127" s="64" t="str">
        <f>IFERROR(IF(IFERROR(MATCH(123,'كشف الحساب'!$N$4:$N$353,0),0)=0,"",INDEX('كشف الحساب'!$I$4:$I$353,IFERROR(MATCH(123,'كشف الحساب'!$N$4:$N$353,0),0))),"")</f>
        <v/>
      </c>
      <c r="J127" s="68" t="str">
        <f>IFERROR(IF(IFERROR(MATCH(123,'كشف الحساب'!$N$4:$N$353,0),0)=0,"",INDEX('كشف الحساب'!$J$4:$J$353,IFERROR(MATCH(123,'كشف الحساب'!$N$4:$N$353,0),0))),"")</f>
        <v/>
      </c>
      <c r="K127" s="64" t="str">
        <f>IFERROR(IF(IFERROR(MATCH(123,'كشف الحساب'!$N$4:$N$353,0),0)=0,"",INDEX('كشف الحساب'!$K$4:$K$353,IFERROR(MATCH(123,'كشف الحساب'!$N$4:$N$353,0),0))),"")</f>
        <v/>
      </c>
    </row>
    <row r="128" spans="1:11" ht="15" customHeight="1" x14ac:dyDescent="0.25">
      <c r="A128" s="69" t="str">
        <f>IFERROR(IF(IFERROR(MATCH(124,'كشف الحساب'!$N$4:$N$353,0),0)=0,"",INDEX('كشف الحساب'!$A$4:$A$353,IFERROR(MATCH(124,'كشف الحساب'!$N$4:$N$353,0),0))),"")</f>
        <v/>
      </c>
      <c r="B128" s="70" t="str">
        <f>IFERROR(IF(IFERROR(MATCH(124,'كشف الحساب'!$N$4:$N$353,0),0)=0,"",INDEX('كشف الحساب'!$B$4:$B$353,IFERROR(MATCH(124,'كشف الحساب'!$N$4:$N$353,0),0))),"")</f>
        <v/>
      </c>
      <c r="C128" s="71" t="str">
        <f>IFERROR(IF(IFERROR(MATCH(124,'كشف الحساب'!$N$4:$N$353,0),0)=0,"",INDEX('كشف الحساب'!$C$4:$C$353,IFERROR(MATCH(124,'كشف الحساب'!$N$4:$N$353,0),0))),"")</f>
        <v/>
      </c>
      <c r="D128" s="72" t="str">
        <f>IFERROR(IF(IFERROR(MATCH(124,'كشف الحساب'!$N$4:$N$353,0),0)=0,"",INDEX('كشف الحساب'!$D$4:$D$353,IFERROR(MATCH(124,'كشف الحساب'!$N$4:$N$353,0),0))),"")</f>
        <v/>
      </c>
      <c r="E128" s="73" t="str">
        <f>IFERROR(IF(IFERROR(MATCH(124,'كشف الحساب'!$N$4:$N$353,0),0)=0,"",INDEX('كشف الحساب'!$E$4:$E$353,IFERROR(MATCH(124,'كشف الحساب'!$N$4:$N$353,0),0))),"")</f>
        <v/>
      </c>
      <c r="F128" s="70" t="str">
        <f>IFERROR(IF(IFERROR(MATCH(124,'كشف الحساب'!$N$4:$N$353,0),0)=0,"",INDEX('كشف الحساب'!$F$4:$F$353,IFERROR(MATCH(124,'كشف الحساب'!$N$4:$N$353,0),0))),"")</f>
        <v/>
      </c>
      <c r="G128" s="70" t="str">
        <f>IFERROR(IF(IFERROR(MATCH(124,'كشف الحساب'!$N$4:$N$353,0),0)=0,"",INDEX('كشف الحساب'!$G$4:$G$353,IFERROR(MATCH(124,'كشف الحساب'!$N$4:$N$353,0),0))),"")</f>
        <v/>
      </c>
      <c r="H128" s="70" t="str">
        <f>IFERROR(IF(IFERROR(MATCH(124,'كشف الحساب'!$N$4:$N$353,0),0)=0,"",INDEX('كشف الحساب'!$H$4:$H$353,IFERROR(MATCH(124,'كشف الحساب'!$N$4:$N$353,0),0))),"")</f>
        <v/>
      </c>
      <c r="I128" s="70" t="str">
        <f>IFERROR(IF(IFERROR(MATCH(124,'كشف الحساب'!$N$4:$N$353,0),0)=0,"",INDEX('كشف الحساب'!$I$4:$I$353,IFERROR(MATCH(124,'كشف الحساب'!$N$4:$N$353,0),0))),"")</f>
        <v/>
      </c>
      <c r="J128" s="74" t="str">
        <f>IFERROR(IF(IFERROR(MATCH(124,'كشف الحساب'!$N$4:$N$353,0),0)=0,"",INDEX('كشف الحساب'!$J$4:$J$353,IFERROR(MATCH(124,'كشف الحساب'!$N$4:$N$353,0),0))),"")</f>
        <v/>
      </c>
      <c r="K128" s="70" t="str">
        <f>IFERROR(IF(IFERROR(MATCH(124,'كشف الحساب'!$N$4:$N$353,0),0)=0,"",INDEX('كشف الحساب'!$K$4:$K$353,IFERROR(MATCH(124,'كشف الحساب'!$N$4:$N$353,0),0))),"")</f>
        <v/>
      </c>
    </row>
    <row r="129" spans="1:11" ht="15" customHeight="1" x14ac:dyDescent="0.25">
      <c r="A129" s="63" t="str">
        <f>IFERROR(IF(IFERROR(MATCH(125,'كشف الحساب'!$N$4:$N$353,0),0)=0,"",INDEX('كشف الحساب'!$A$4:$A$353,IFERROR(MATCH(125,'كشف الحساب'!$N$4:$N$353,0),0))),"")</f>
        <v/>
      </c>
      <c r="B129" s="64" t="str">
        <f>IFERROR(IF(IFERROR(MATCH(125,'كشف الحساب'!$N$4:$N$353,0),0)=0,"",INDEX('كشف الحساب'!$B$4:$B$353,IFERROR(MATCH(125,'كشف الحساب'!$N$4:$N$353,0),0))),"")</f>
        <v/>
      </c>
      <c r="C129" s="65" t="str">
        <f>IFERROR(IF(IFERROR(MATCH(125,'كشف الحساب'!$N$4:$N$353,0),0)=0,"",INDEX('كشف الحساب'!$C$4:$C$353,IFERROR(MATCH(125,'كشف الحساب'!$N$4:$N$353,0),0))),"")</f>
        <v/>
      </c>
      <c r="D129" s="66" t="str">
        <f>IFERROR(IF(IFERROR(MATCH(125,'كشف الحساب'!$N$4:$N$353,0),0)=0,"",INDEX('كشف الحساب'!$D$4:$D$353,IFERROR(MATCH(125,'كشف الحساب'!$N$4:$N$353,0),0))),"")</f>
        <v/>
      </c>
      <c r="E129" s="67" t="str">
        <f>IFERROR(IF(IFERROR(MATCH(125,'كشف الحساب'!$N$4:$N$353,0),0)=0,"",INDEX('كشف الحساب'!$E$4:$E$353,IFERROR(MATCH(125,'كشف الحساب'!$N$4:$N$353,0),0))),"")</f>
        <v/>
      </c>
      <c r="F129" s="64" t="str">
        <f>IFERROR(IF(IFERROR(MATCH(125,'كشف الحساب'!$N$4:$N$353,0),0)=0,"",INDEX('كشف الحساب'!$F$4:$F$353,IFERROR(MATCH(125,'كشف الحساب'!$N$4:$N$353,0),0))),"")</f>
        <v/>
      </c>
      <c r="G129" s="64" t="str">
        <f>IFERROR(IF(IFERROR(MATCH(125,'كشف الحساب'!$N$4:$N$353,0),0)=0,"",INDEX('كشف الحساب'!$G$4:$G$353,IFERROR(MATCH(125,'كشف الحساب'!$N$4:$N$353,0),0))),"")</f>
        <v/>
      </c>
      <c r="H129" s="64" t="str">
        <f>IFERROR(IF(IFERROR(MATCH(125,'كشف الحساب'!$N$4:$N$353,0),0)=0,"",INDEX('كشف الحساب'!$H$4:$H$353,IFERROR(MATCH(125,'كشف الحساب'!$N$4:$N$353,0),0))),"")</f>
        <v/>
      </c>
      <c r="I129" s="64" t="str">
        <f>IFERROR(IF(IFERROR(MATCH(125,'كشف الحساب'!$N$4:$N$353,0),0)=0,"",INDEX('كشف الحساب'!$I$4:$I$353,IFERROR(MATCH(125,'كشف الحساب'!$N$4:$N$353,0),0))),"")</f>
        <v/>
      </c>
      <c r="J129" s="68" t="str">
        <f>IFERROR(IF(IFERROR(MATCH(125,'كشف الحساب'!$N$4:$N$353,0),0)=0,"",INDEX('كشف الحساب'!$J$4:$J$353,IFERROR(MATCH(125,'كشف الحساب'!$N$4:$N$353,0),0))),"")</f>
        <v/>
      </c>
      <c r="K129" s="64" t="str">
        <f>IFERROR(IF(IFERROR(MATCH(125,'كشف الحساب'!$N$4:$N$353,0),0)=0,"",INDEX('كشف الحساب'!$K$4:$K$353,IFERROR(MATCH(125,'كشف الحساب'!$N$4:$N$353,0),0))),"")</f>
        <v/>
      </c>
    </row>
    <row r="130" spans="1:11" ht="15" customHeight="1" x14ac:dyDescent="0.25">
      <c r="A130" s="69" t="str">
        <f>IFERROR(IF(IFERROR(MATCH(126,'كشف الحساب'!$N$4:$N$353,0),0)=0,"",INDEX('كشف الحساب'!$A$4:$A$353,IFERROR(MATCH(126,'كشف الحساب'!$N$4:$N$353,0),0))),"")</f>
        <v/>
      </c>
      <c r="B130" s="70" t="str">
        <f>IFERROR(IF(IFERROR(MATCH(126,'كشف الحساب'!$N$4:$N$353,0),0)=0,"",INDEX('كشف الحساب'!$B$4:$B$353,IFERROR(MATCH(126,'كشف الحساب'!$N$4:$N$353,0),0))),"")</f>
        <v/>
      </c>
      <c r="C130" s="71" t="str">
        <f>IFERROR(IF(IFERROR(MATCH(126,'كشف الحساب'!$N$4:$N$353,0),0)=0,"",INDEX('كشف الحساب'!$C$4:$C$353,IFERROR(MATCH(126,'كشف الحساب'!$N$4:$N$353,0),0))),"")</f>
        <v/>
      </c>
      <c r="D130" s="72" t="str">
        <f>IFERROR(IF(IFERROR(MATCH(126,'كشف الحساب'!$N$4:$N$353,0),0)=0,"",INDEX('كشف الحساب'!$D$4:$D$353,IFERROR(MATCH(126,'كشف الحساب'!$N$4:$N$353,0),0))),"")</f>
        <v/>
      </c>
      <c r="E130" s="73" t="str">
        <f>IFERROR(IF(IFERROR(MATCH(126,'كشف الحساب'!$N$4:$N$353,0),0)=0,"",INDEX('كشف الحساب'!$E$4:$E$353,IFERROR(MATCH(126,'كشف الحساب'!$N$4:$N$353,0),0))),"")</f>
        <v/>
      </c>
      <c r="F130" s="70" t="str">
        <f>IFERROR(IF(IFERROR(MATCH(126,'كشف الحساب'!$N$4:$N$353,0),0)=0,"",INDEX('كشف الحساب'!$F$4:$F$353,IFERROR(MATCH(126,'كشف الحساب'!$N$4:$N$353,0),0))),"")</f>
        <v/>
      </c>
      <c r="G130" s="70" t="str">
        <f>IFERROR(IF(IFERROR(MATCH(126,'كشف الحساب'!$N$4:$N$353,0),0)=0,"",INDEX('كشف الحساب'!$G$4:$G$353,IFERROR(MATCH(126,'كشف الحساب'!$N$4:$N$353,0),0))),"")</f>
        <v/>
      </c>
      <c r="H130" s="70" t="str">
        <f>IFERROR(IF(IFERROR(MATCH(126,'كشف الحساب'!$N$4:$N$353,0),0)=0,"",INDEX('كشف الحساب'!$H$4:$H$353,IFERROR(MATCH(126,'كشف الحساب'!$N$4:$N$353,0),0))),"")</f>
        <v/>
      </c>
      <c r="I130" s="70" t="str">
        <f>IFERROR(IF(IFERROR(MATCH(126,'كشف الحساب'!$N$4:$N$353,0),0)=0,"",INDEX('كشف الحساب'!$I$4:$I$353,IFERROR(MATCH(126,'كشف الحساب'!$N$4:$N$353,0),0))),"")</f>
        <v/>
      </c>
      <c r="J130" s="74" t="str">
        <f>IFERROR(IF(IFERROR(MATCH(126,'كشف الحساب'!$N$4:$N$353,0),0)=0,"",INDEX('كشف الحساب'!$J$4:$J$353,IFERROR(MATCH(126,'كشف الحساب'!$N$4:$N$353,0),0))),"")</f>
        <v/>
      </c>
      <c r="K130" s="70" t="str">
        <f>IFERROR(IF(IFERROR(MATCH(126,'كشف الحساب'!$N$4:$N$353,0),0)=0,"",INDEX('كشف الحساب'!$K$4:$K$353,IFERROR(MATCH(126,'كشف الحساب'!$N$4:$N$353,0),0))),"")</f>
        <v/>
      </c>
    </row>
    <row r="131" spans="1:11" ht="15" customHeight="1" x14ac:dyDescent="0.25">
      <c r="A131" s="63" t="str">
        <f>IFERROR(IF(IFERROR(MATCH(127,'كشف الحساب'!$N$4:$N$353,0),0)=0,"",INDEX('كشف الحساب'!$A$4:$A$353,IFERROR(MATCH(127,'كشف الحساب'!$N$4:$N$353,0),0))),"")</f>
        <v/>
      </c>
      <c r="B131" s="64" t="str">
        <f>IFERROR(IF(IFERROR(MATCH(127,'كشف الحساب'!$N$4:$N$353,0),0)=0,"",INDEX('كشف الحساب'!$B$4:$B$353,IFERROR(MATCH(127,'كشف الحساب'!$N$4:$N$353,0),0))),"")</f>
        <v/>
      </c>
      <c r="C131" s="65" t="str">
        <f>IFERROR(IF(IFERROR(MATCH(127,'كشف الحساب'!$N$4:$N$353,0),0)=0,"",INDEX('كشف الحساب'!$C$4:$C$353,IFERROR(MATCH(127,'كشف الحساب'!$N$4:$N$353,0),0))),"")</f>
        <v/>
      </c>
      <c r="D131" s="66" t="str">
        <f>IFERROR(IF(IFERROR(MATCH(127,'كشف الحساب'!$N$4:$N$353,0),0)=0,"",INDEX('كشف الحساب'!$D$4:$D$353,IFERROR(MATCH(127,'كشف الحساب'!$N$4:$N$353,0),0))),"")</f>
        <v/>
      </c>
      <c r="E131" s="67" t="str">
        <f>IFERROR(IF(IFERROR(MATCH(127,'كشف الحساب'!$N$4:$N$353,0),0)=0,"",INDEX('كشف الحساب'!$E$4:$E$353,IFERROR(MATCH(127,'كشف الحساب'!$N$4:$N$353,0),0))),"")</f>
        <v/>
      </c>
      <c r="F131" s="64" t="str">
        <f>IFERROR(IF(IFERROR(MATCH(127,'كشف الحساب'!$N$4:$N$353,0),0)=0,"",INDEX('كشف الحساب'!$F$4:$F$353,IFERROR(MATCH(127,'كشف الحساب'!$N$4:$N$353,0),0))),"")</f>
        <v/>
      </c>
      <c r="G131" s="64" t="str">
        <f>IFERROR(IF(IFERROR(MATCH(127,'كشف الحساب'!$N$4:$N$353,0),0)=0,"",INDEX('كشف الحساب'!$G$4:$G$353,IFERROR(MATCH(127,'كشف الحساب'!$N$4:$N$353,0),0))),"")</f>
        <v/>
      </c>
      <c r="H131" s="64" t="str">
        <f>IFERROR(IF(IFERROR(MATCH(127,'كشف الحساب'!$N$4:$N$353,0),0)=0,"",INDEX('كشف الحساب'!$H$4:$H$353,IFERROR(MATCH(127,'كشف الحساب'!$N$4:$N$353,0),0))),"")</f>
        <v/>
      </c>
      <c r="I131" s="64" t="str">
        <f>IFERROR(IF(IFERROR(MATCH(127,'كشف الحساب'!$N$4:$N$353,0),0)=0,"",INDEX('كشف الحساب'!$I$4:$I$353,IFERROR(MATCH(127,'كشف الحساب'!$N$4:$N$353,0),0))),"")</f>
        <v/>
      </c>
      <c r="J131" s="68" t="str">
        <f>IFERROR(IF(IFERROR(MATCH(127,'كشف الحساب'!$N$4:$N$353,0),0)=0,"",INDEX('كشف الحساب'!$J$4:$J$353,IFERROR(MATCH(127,'كشف الحساب'!$N$4:$N$353,0),0))),"")</f>
        <v/>
      </c>
      <c r="K131" s="64" t="str">
        <f>IFERROR(IF(IFERROR(MATCH(127,'كشف الحساب'!$N$4:$N$353,0),0)=0,"",INDEX('كشف الحساب'!$K$4:$K$353,IFERROR(MATCH(127,'كشف الحساب'!$N$4:$N$353,0),0))),"")</f>
        <v/>
      </c>
    </row>
    <row r="132" spans="1:11" ht="15" customHeight="1" x14ac:dyDescent="0.25">
      <c r="A132" s="69" t="str">
        <f>IFERROR(IF(IFERROR(MATCH(128,'كشف الحساب'!$N$4:$N$353,0),0)=0,"",INDEX('كشف الحساب'!$A$4:$A$353,IFERROR(MATCH(128,'كشف الحساب'!$N$4:$N$353,0),0))),"")</f>
        <v/>
      </c>
      <c r="B132" s="70" t="str">
        <f>IFERROR(IF(IFERROR(MATCH(128,'كشف الحساب'!$N$4:$N$353,0),0)=0,"",INDEX('كشف الحساب'!$B$4:$B$353,IFERROR(MATCH(128,'كشف الحساب'!$N$4:$N$353,0),0))),"")</f>
        <v/>
      </c>
      <c r="C132" s="71" t="str">
        <f>IFERROR(IF(IFERROR(MATCH(128,'كشف الحساب'!$N$4:$N$353,0),0)=0,"",INDEX('كشف الحساب'!$C$4:$C$353,IFERROR(MATCH(128,'كشف الحساب'!$N$4:$N$353,0),0))),"")</f>
        <v/>
      </c>
      <c r="D132" s="72" t="str">
        <f>IFERROR(IF(IFERROR(MATCH(128,'كشف الحساب'!$N$4:$N$353,0),0)=0,"",INDEX('كشف الحساب'!$D$4:$D$353,IFERROR(MATCH(128,'كشف الحساب'!$N$4:$N$353,0),0))),"")</f>
        <v/>
      </c>
      <c r="E132" s="73" t="str">
        <f>IFERROR(IF(IFERROR(MATCH(128,'كشف الحساب'!$N$4:$N$353,0),0)=0,"",INDEX('كشف الحساب'!$E$4:$E$353,IFERROR(MATCH(128,'كشف الحساب'!$N$4:$N$353,0),0))),"")</f>
        <v/>
      </c>
      <c r="F132" s="70" t="str">
        <f>IFERROR(IF(IFERROR(MATCH(128,'كشف الحساب'!$N$4:$N$353,0),0)=0,"",INDEX('كشف الحساب'!$F$4:$F$353,IFERROR(MATCH(128,'كشف الحساب'!$N$4:$N$353,0),0))),"")</f>
        <v/>
      </c>
      <c r="G132" s="70" t="str">
        <f>IFERROR(IF(IFERROR(MATCH(128,'كشف الحساب'!$N$4:$N$353,0),0)=0,"",INDEX('كشف الحساب'!$G$4:$G$353,IFERROR(MATCH(128,'كشف الحساب'!$N$4:$N$353,0),0))),"")</f>
        <v/>
      </c>
      <c r="H132" s="70" t="str">
        <f>IFERROR(IF(IFERROR(MATCH(128,'كشف الحساب'!$N$4:$N$353,0),0)=0,"",INDEX('كشف الحساب'!$H$4:$H$353,IFERROR(MATCH(128,'كشف الحساب'!$N$4:$N$353,0),0))),"")</f>
        <v/>
      </c>
      <c r="I132" s="70" t="str">
        <f>IFERROR(IF(IFERROR(MATCH(128,'كشف الحساب'!$N$4:$N$353,0),0)=0,"",INDEX('كشف الحساب'!$I$4:$I$353,IFERROR(MATCH(128,'كشف الحساب'!$N$4:$N$353,0),0))),"")</f>
        <v/>
      </c>
      <c r="J132" s="74" t="str">
        <f>IFERROR(IF(IFERROR(MATCH(128,'كشف الحساب'!$N$4:$N$353,0),0)=0,"",INDEX('كشف الحساب'!$J$4:$J$353,IFERROR(MATCH(128,'كشف الحساب'!$N$4:$N$353,0),0))),"")</f>
        <v/>
      </c>
      <c r="K132" s="70" t="str">
        <f>IFERROR(IF(IFERROR(MATCH(128,'كشف الحساب'!$N$4:$N$353,0),0)=0,"",INDEX('كشف الحساب'!$K$4:$K$353,IFERROR(MATCH(128,'كشف الحساب'!$N$4:$N$353,0),0))),"")</f>
        <v/>
      </c>
    </row>
    <row r="133" spans="1:11" ht="15" customHeight="1" x14ac:dyDescent="0.25">
      <c r="A133" s="63" t="str">
        <f>IFERROR(IF(IFERROR(MATCH(129,'كشف الحساب'!$N$4:$N$353,0),0)=0,"",INDEX('كشف الحساب'!$A$4:$A$353,IFERROR(MATCH(129,'كشف الحساب'!$N$4:$N$353,0),0))),"")</f>
        <v/>
      </c>
      <c r="B133" s="64" t="str">
        <f>IFERROR(IF(IFERROR(MATCH(129,'كشف الحساب'!$N$4:$N$353,0),0)=0,"",INDEX('كشف الحساب'!$B$4:$B$353,IFERROR(MATCH(129,'كشف الحساب'!$N$4:$N$353,0),0))),"")</f>
        <v/>
      </c>
      <c r="C133" s="65" t="str">
        <f>IFERROR(IF(IFERROR(MATCH(129,'كشف الحساب'!$N$4:$N$353,0),0)=0,"",INDEX('كشف الحساب'!$C$4:$C$353,IFERROR(MATCH(129,'كشف الحساب'!$N$4:$N$353,0),0))),"")</f>
        <v/>
      </c>
      <c r="D133" s="66" t="str">
        <f>IFERROR(IF(IFERROR(MATCH(129,'كشف الحساب'!$N$4:$N$353,0),0)=0,"",INDEX('كشف الحساب'!$D$4:$D$353,IFERROR(MATCH(129,'كشف الحساب'!$N$4:$N$353,0),0))),"")</f>
        <v/>
      </c>
      <c r="E133" s="67" t="str">
        <f>IFERROR(IF(IFERROR(MATCH(129,'كشف الحساب'!$N$4:$N$353,0),0)=0,"",INDEX('كشف الحساب'!$E$4:$E$353,IFERROR(MATCH(129,'كشف الحساب'!$N$4:$N$353,0),0))),"")</f>
        <v/>
      </c>
      <c r="F133" s="64" t="str">
        <f>IFERROR(IF(IFERROR(MATCH(129,'كشف الحساب'!$N$4:$N$353,0),0)=0,"",INDEX('كشف الحساب'!$F$4:$F$353,IFERROR(MATCH(129,'كشف الحساب'!$N$4:$N$353,0),0))),"")</f>
        <v/>
      </c>
      <c r="G133" s="64" t="str">
        <f>IFERROR(IF(IFERROR(MATCH(129,'كشف الحساب'!$N$4:$N$353,0),0)=0,"",INDEX('كشف الحساب'!$G$4:$G$353,IFERROR(MATCH(129,'كشف الحساب'!$N$4:$N$353,0),0))),"")</f>
        <v/>
      </c>
      <c r="H133" s="64" t="str">
        <f>IFERROR(IF(IFERROR(MATCH(129,'كشف الحساب'!$N$4:$N$353,0),0)=0,"",INDEX('كشف الحساب'!$H$4:$H$353,IFERROR(MATCH(129,'كشف الحساب'!$N$4:$N$353,0),0))),"")</f>
        <v/>
      </c>
      <c r="I133" s="64" t="str">
        <f>IFERROR(IF(IFERROR(MATCH(129,'كشف الحساب'!$N$4:$N$353,0),0)=0,"",INDEX('كشف الحساب'!$I$4:$I$353,IFERROR(MATCH(129,'كشف الحساب'!$N$4:$N$353,0),0))),"")</f>
        <v/>
      </c>
      <c r="J133" s="68" t="str">
        <f>IFERROR(IF(IFERROR(MATCH(129,'كشف الحساب'!$N$4:$N$353,0),0)=0,"",INDEX('كشف الحساب'!$J$4:$J$353,IFERROR(MATCH(129,'كشف الحساب'!$N$4:$N$353,0),0))),"")</f>
        <v/>
      </c>
      <c r="K133" s="64" t="str">
        <f>IFERROR(IF(IFERROR(MATCH(129,'كشف الحساب'!$N$4:$N$353,0),0)=0,"",INDEX('كشف الحساب'!$K$4:$K$353,IFERROR(MATCH(129,'كشف الحساب'!$N$4:$N$353,0),0))),"")</f>
        <v/>
      </c>
    </row>
    <row r="134" spans="1:11" ht="15" customHeight="1" x14ac:dyDescent="0.25">
      <c r="A134" s="69" t="str">
        <f>IFERROR(IF(IFERROR(MATCH(130,'كشف الحساب'!$N$4:$N$353,0),0)=0,"",INDEX('كشف الحساب'!$A$4:$A$353,IFERROR(MATCH(130,'كشف الحساب'!$N$4:$N$353,0),0))),"")</f>
        <v/>
      </c>
      <c r="B134" s="70" t="str">
        <f>IFERROR(IF(IFERROR(MATCH(130,'كشف الحساب'!$N$4:$N$353,0),0)=0,"",INDEX('كشف الحساب'!$B$4:$B$353,IFERROR(MATCH(130,'كشف الحساب'!$N$4:$N$353,0),0))),"")</f>
        <v/>
      </c>
      <c r="C134" s="71" t="str">
        <f>IFERROR(IF(IFERROR(MATCH(130,'كشف الحساب'!$N$4:$N$353,0),0)=0,"",INDEX('كشف الحساب'!$C$4:$C$353,IFERROR(MATCH(130,'كشف الحساب'!$N$4:$N$353,0),0))),"")</f>
        <v/>
      </c>
      <c r="D134" s="72" t="str">
        <f>IFERROR(IF(IFERROR(MATCH(130,'كشف الحساب'!$N$4:$N$353,0),0)=0,"",INDEX('كشف الحساب'!$D$4:$D$353,IFERROR(MATCH(130,'كشف الحساب'!$N$4:$N$353,0),0))),"")</f>
        <v/>
      </c>
      <c r="E134" s="73" t="str">
        <f>IFERROR(IF(IFERROR(MATCH(130,'كشف الحساب'!$N$4:$N$353,0),0)=0,"",INDEX('كشف الحساب'!$E$4:$E$353,IFERROR(MATCH(130,'كشف الحساب'!$N$4:$N$353,0),0))),"")</f>
        <v/>
      </c>
      <c r="F134" s="70" t="str">
        <f>IFERROR(IF(IFERROR(MATCH(130,'كشف الحساب'!$N$4:$N$353,0),0)=0,"",INDEX('كشف الحساب'!$F$4:$F$353,IFERROR(MATCH(130,'كشف الحساب'!$N$4:$N$353,0),0))),"")</f>
        <v/>
      </c>
      <c r="G134" s="70" t="str">
        <f>IFERROR(IF(IFERROR(MATCH(130,'كشف الحساب'!$N$4:$N$353,0),0)=0,"",INDEX('كشف الحساب'!$G$4:$G$353,IFERROR(MATCH(130,'كشف الحساب'!$N$4:$N$353,0),0))),"")</f>
        <v/>
      </c>
      <c r="H134" s="70" t="str">
        <f>IFERROR(IF(IFERROR(MATCH(130,'كشف الحساب'!$N$4:$N$353,0),0)=0,"",INDEX('كشف الحساب'!$H$4:$H$353,IFERROR(MATCH(130,'كشف الحساب'!$N$4:$N$353,0),0))),"")</f>
        <v/>
      </c>
      <c r="I134" s="70" t="str">
        <f>IFERROR(IF(IFERROR(MATCH(130,'كشف الحساب'!$N$4:$N$353,0),0)=0,"",INDEX('كشف الحساب'!$I$4:$I$353,IFERROR(MATCH(130,'كشف الحساب'!$N$4:$N$353,0),0))),"")</f>
        <v/>
      </c>
      <c r="J134" s="74" t="str">
        <f>IFERROR(IF(IFERROR(MATCH(130,'كشف الحساب'!$N$4:$N$353,0),0)=0,"",INDEX('كشف الحساب'!$J$4:$J$353,IFERROR(MATCH(130,'كشف الحساب'!$N$4:$N$353,0),0))),"")</f>
        <v/>
      </c>
      <c r="K134" s="70" t="str">
        <f>IFERROR(IF(IFERROR(MATCH(130,'كشف الحساب'!$N$4:$N$353,0),0)=0,"",INDEX('كشف الحساب'!$K$4:$K$353,IFERROR(MATCH(130,'كشف الحساب'!$N$4:$N$353,0),0))),"")</f>
        <v/>
      </c>
    </row>
    <row r="135" spans="1:11" ht="15" customHeight="1" x14ac:dyDescent="0.25">
      <c r="A135" s="63" t="str">
        <f>IFERROR(IF(IFERROR(MATCH(131,'كشف الحساب'!$N$4:$N$353,0),0)=0,"",INDEX('كشف الحساب'!$A$4:$A$353,IFERROR(MATCH(131,'كشف الحساب'!$N$4:$N$353,0),0))),"")</f>
        <v/>
      </c>
      <c r="B135" s="64" t="str">
        <f>IFERROR(IF(IFERROR(MATCH(131,'كشف الحساب'!$N$4:$N$353,0),0)=0,"",INDEX('كشف الحساب'!$B$4:$B$353,IFERROR(MATCH(131,'كشف الحساب'!$N$4:$N$353,0),0))),"")</f>
        <v/>
      </c>
      <c r="C135" s="65" t="str">
        <f>IFERROR(IF(IFERROR(MATCH(131,'كشف الحساب'!$N$4:$N$353,0),0)=0,"",INDEX('كشف الحساب'!$C$4:$C$353,IFERROR(MATCH(131,'كشف الحساب'!$N$4:$N$353,0),0))),"")</f>
        <v/>
      </c>
      <c r="D135" s="66" t="str">
        <f>IFERROR(IF(IFERROR(MATCH(131,'كشف الحساب'!$N$4:$N$353,0),0)=0,"",INDEX('كشف الحساب'!$D$4:$D$353,IFERROR(MATCH(131,'كشف الحساب'!$N$4:$N$353,0),0))),"")</f>
        <v/>
      </c>
      <c r="E135" s="67" t="str">
        <f>IFERROR(IF(IFERROR(MATCH(131,'كشف الحساب'!$N$4:$N$353,0),0)=0,"",INDEX('كشف الحساب'!$E$4:$E$353,IFERROR(MATCH(131,'كشف الحساب'!$N$4:$N$353,0),0))),"")</f>
        <v/>
      </c>
      <c r="F135" s="64" t="str">
        <f>IFERROR(IF(IFERROR(MATCH(131,'كشف الحساب'!$N$4:$N$353,0),0)=0,"",INDEX('كشف الحساب'!$F$4:$F$353,IFERROR(MATCH(131,'كشف الحساب'!$N$4:$N$353,0),0))),"")</f>
        <v/>
      </c>
      <c r="G135" s="64" t="str">
        <f>IFERROR(IF(IFERROR(MATCH(131,'كشف الحساب'!$N$4:$N$353,0),0)=0,"",INDEX('كشف الحساب'!$G$4:$G$353,IFERROR(MATCH(131,'كشف الحساب'!$N$4:$N$353,0),0))),"")</f>
        <v/>
      </c>
      <c r="H135" s="64" t="str">
        <f>IFERROR(IF(IFERROR(MATCH(131,'كشف الحساب'!$N$4:$N$353,0),0)=0,"",INDEX('كشف الحساب'!$H$4:$H$353,IFERROR(MATCH(131,'كشف الحساب'!$N$4:$N$353,0),0))),"")</f>
        <v/>
      </c>
      <c r="I135" s="64" t="str">
        <f>IFERROR(IF(IFERROR(MATCH(131,'كشف الحساب'!$N$4:$N$353,0),0)=0,"",INDEX('كشف الحساب'!$I$4:$I$353,IFERROR(MATCH(131,'كشف الحساب'!$N$4:$N$353,0),0))),"")</f>
        <v/>
      </c>
      <c r="J135" s="68" t="str">
        <f>IFERROR(IF(IFERROR(MATCH(131,'كشف الحساب'!$N$4:$N$353,0),0)=0,"",INDEX('كشف الحساب'!$J$4:$J$353,IFERROR(MATCH(131,'كشف الحساب'!$N$4:$N$353,0),0))),"")</f>
        <v/>
      </c>
      <c r="K135" s="64" t="str">
        <f>IFERROR(IF(IFERROR(MATCH(131,'كشف الحساب'!$N$4:$N$353,0),0)=0,"",INDEX('كشف الحساب'!$K$4:$K$353,IFERROR(MATCH(131,'كشف الحساب'!$N$4:$N$353,0),0))),"")</f>
        <v/>
      </c>
    </row>
    <row r="136" spans="1:11" ht="15" customHeight="1" x14ac:dyDescent="0.25">
      <c r="A136" s="69" t="str">
        <f>IFERROR(IF(IFERROR(MATCH(132,'كشف الحساب'!$N$4:$N$353,0),0)=0,"",INDEX('كشف الحساب'!$A$4:$A$353,IFERROR(MATCH(132,'كشف الحساب'!$N$4:$N$353,0),0))),"")</f>
        <v/>
      </c>
      <c r="B136" s="70" t="str">
        <f>IFERROR(IF(IFERROR(MATCH(132,'كشف الحساب'!$N$4:$N$353,0),0)=0,"",INDEX('كشف الحساب'!$B$4:$B$353,IFERROR(MATCH(132,'كشف الحساب'!$N$4:$N$353,0),0))),"")</f>
        <v/>
      </c>
      <c r="C136" s="71" t="str">
        <f>IFERROR(IF(IFERROR(MATCH(132,'كشف الحساب'!$N$4:$N$353,0),0)=0,"",INDEX('كشف الحساب'!$C$4:$C$353,IFERROR(MATCH(132,'كشف الحساب'!$N$4:$N$353,0),0))),"")</f>
        <v/>
      </c>
      <c r="D136" s="72" t="str">
        <f>IFERROR(IF(IFERROR(MATCH(132,'كشف الحساب'!$N$4:$N$353,0),0)=0,"",INDEX('كشف الحساب'!$D$4:$D$353,IFERROR(MATCH(132,'كشف الحساب'!$N$4:$N$353,0),0))),"")</f>
        <v/>
      </c>
      <c r="E136" s="73" t="str">
        <f>IFERROR(IF(IFERROR(MATCH(132,'كشف الحساب'!$N$4:$N$353,0),0)=0,"",INDEX('كشف الحساب'!$E$4:$E$353,IFERROR(MATCH(132,'كشف الحساب'!$N$4:$N$353,0),0))),"")</f>
        <v/>
      </c>
      <c r="F136" s="70" t="str">
        <f>IFERROR(IF(IFERROR(MATCH(132,'كشف الحساب'!$N$4:$N$353,0),0)=0,"",INDEX('كشف الحساب'!$F$4:$F$353,IFERROR(MATCH(132,'كشف الحساب'!$N$4:$N$353,0),0))),"")</f>
        <v/>
      </c>
      <c r="G136" s="70" t="str">
        <f>IFERROR(IF(IFERROR(MATCH(132,'كشف الحساب'!$N$4:$N$353,0),0)=0,"",INDEX('كشف الحساب'!$G$4:$G$353,IFERROR(MATCH(132,'كشف الحساب'!$N$4:$N$353,0),0))),"")</f>
        <v/>
      </c>
      <c r="H136" s="70" t="str">
        <f>IFERROR(IF(IFERROR(MATCH(132,'كشف الحساب'!$N$4:$N$353,0),0)=0,"",INDEX('كشف الحساب'!$H$4:$H$353,IFERROR(MATCH(132,'كشف الحساب'!$N$4:$N$353,0),0))),"")</f>
        <v/>
      </c>
      <c r="I136" s="70" t="str">
        <f>IFERROR(IF(IFERROR(MATCH(132,'كشف الحساب'!$N$4:$N$353,0),0)=0,"",INDEX('كشف الحساب'!$I$4:$I$353,IFERROR(MATCH(132,'كشف الحساب'!$N$4:$N$353,0),0))),"")</f>
        <v/>
      </c>
      <c r="J136" s="74" t="str">
        <f>IFERROR(IF(IFERROR(MATCH(132,'كشف الحساب'!$N$4:$N$353,0),0)=0,"",INDEX('كشف الحساب'!$J$4:$J$353,IFERROR(MATCH(132,'كشف الحساب'!$N$4:$N$353,0),0))),"")</f>
        <v/>
      </c>
      <c r="K136" s="70" t="str">
        <f>IFERROR(IF(IFERROR(MATCH(132,'كشف الحساب'!$N$4:$N$353,0),0)=0,"",INDEX('كشف الحساب'!$K$4:$K$353,IFERROR(MATCH(132,'كشف الحساب'!$N$4:$N$353,0),0))),"")</f>
        <v/>
      </c>
    </row>
    <row r="137" spans="1:11" ht="15" customHeight="1" x14ac:dyDescent="0.25">
      <c r="A137" s="63" t="str">
        <f>IFERROR(IF(IFERROR(MATCH(133,'كشف الحساب'!$N$4:$N$353,0),0)=0,"",INDEX('كشف الحساب'!$A$4:$A$353,IFERROR(MATCH(133,'كشف الحساب'!$N$4:$N$353,0),0))),"")</f>
        <v/>
      </c>
      <c r="B137" s="64" t="str">
        <f>IFERROR(IF(IFERROR(MATCH(133,'كشف الحساب'!$N$4:$N$353,0),0)=0,"",INDEX('كشف الحساب'!$B$4:$B$353,IFERROR(MATCH(133,'كشف الحساب'!$N$4:$N$353,0),0))),"")</f>
        <v/>
      </c>
      <c r="C137" s="65" t="str">
        <f>IFERROR(IF(IFERROR(MATCH(133,'كشف الحساب'!$N$4:$N$353,0),0)=0,"",INDEX('كشف الحساب'!$C$4:$C$353,IFERROR(MATCH(133,'كشف الحساب'!$N$4:$N$353,0),0))),"")</f>
        <v/>
      </c>
      <c r="D137" s="66" t="str">
        <f>IFERROR(IF(IFERROR(MATCH(133,'كشف الحساب'!$N$4:$N$353,0),0)=0,"",INDEX('كشف الحساب'!$D$4:$D$353,IFERROR(MATCH(133,'كشف الحساب'!$N$4:$N$353,0),0))),"")</f>
        <v/>
      </c>
      <c r="E137" s="67" t="str">
        <f>IFERROR(IF(IFERROR(MATCH(133,'كشف الحساب'!$N$4:$N$353,0),0)=0,"",INDEX('كشف الحساب'!$E$4:$E$353,IFERROR(MATCH(133,'كشف الحساب'!$N$4:$N$353,0),0))),"")</f>
        <v/>
      </c>
      <c r="F137" s="64" t="str">
        <f>IFERROR(IF(IFERROR(MATCH(133,'كشف الحساب'!$N$4:$N$353,0),0)=0,"",INDEX('كشف الحساب'!$F$4:$F$353,IFERROR(MATCH(133,'كشف الحساب'!$N$4:$N$353,0),0))),"")</f>
        <v/>
      </c>
      <c r="G137" s="64" t="str">
        <f>IFERROR(IF(IFERROR(MATCH(133,'كشف الحساب'!$N$4:$N$353,0),0)=0,"",INDEX('كشف الحساب'!$G$4:$G$353,IFERROR(MATCH(133,'كشف الحساب'!$N$4:$N$353,0),0))),"")</f>
        <v/>
      </c>
      <c r="H137" s="64" t="str">
        <f>IFERROR(IF(IFERROR(MATCH(133,'كشف الحساب'!$N$4:$N$353,0),0)=0,"",INDEX('كشف الحساب'!$H$4:$H$353,IFERROR(MATCH(133,'كشف الحساب'!$N$4:$N$353,0),0))),"")</f>
        <v/>
      </c>
      <c r="I137" s="64" t="str">
        <f>IFERROR(IF(IFERROR(MATCH(133,'كشف الحساب'!$N$4:$N$353,0),0)=0,"",INDEX('كشف الحساب'!$I$4:$I$353,IFERROR(MATCH(133,'كشف الحساب'!$N$4:$N$353,0),0))),"")</f>
        <v/>
      </c>
      <c r="J137" s="68" t="str">
        <f>IFERROR(IF(IFERROR(MATCH(133,'كشف الحساب'!$N$4:$N$353,0),0)=0,"",INDEX('كشف الحساب'!$J$4:$J$353,IFERROR(MATCH(133,'كشف الحساب'!$N$4:$N$353,0),0))),"")</f>
        <v/>
      </c>
      <c r="K137" s="64" t="str">
        <f>IFERROR(IF(IFERROR(MATCH(133,'كشف الحساب'!$N$4:$N$353,0),0)=0,"",INDEX('كشف الحساب'!$K$4:$K$353,IFERROR(MATCH(133,'كشف الحساب'!$N$4:$N$353,0),0))),"")</f>
        <v/>
      </c>
    </row>
    <row r="138" spans="1:11" ht="15" customHeight="1" x14ac:dyDescent="0.25">
      <c r="A138" s="69" t="str">
        <f>IFERROR(IF(IFERROR(MATCH(134,'كشف الحساب'!$N$4:$N$353,0),0)=0,"",INDEX('كشف الحساب'!$A$4:$A$353,IFERROR(MATCH(134,'كشف الحساب'!$N$4:$N$353,0),0))),"")</f>
        <v/>
      </c>
      <c r="B138" s="70" t="str">
        <f>IFERROR(IF(IFERROR(MATCH(134,'كشف الحساب'!$N$4:$N$353,0),0)=0,"",INDEX('كشف الحساب'!$B$4:$B$353,IFERROR(MATCH(134,'كشف الحساب'!$N$4:$N$353,0),0))),"")</f>
        <v/>
      </c>
      <c r="C138" s="71" t="str">
        <f>IFERROR(IF(IFERROR(MATCH(134,'كشف الحساب'!$N$4:$N$353,0),0)=0,"",INDEX('كشف الحساب'!$C$4:$C$353,IFERROR(MATCH(134,'كشف الحساب'!$N$4:$N$353,0),0))),"")</f>
        <v/>
      </c>
      <c r="D138" s="72" t="str">
        <f>IFERROR(IF(IFERROR(MATCH(134,'كشف الحساب'!$N$4:$N$353,0),0)=0,"",INDEX('كشف الحساب'!$D$4:$D$353,IFERROR(MATCH(134,'كشف الحساب'!$N$4:$N$353,0),0))),"")</f>
        <v/>
      </c>
      <c r="E138" s="73" t="str">
        <f>IFERROR(IF(IFERROR(MATCH(134,'كشف الحساب'!$N$4:$N$353,0),0)=0,"",INDEX('كشف الحساب'!$E$4:$E$353,IFERROR(MATCH(134,'كشف الحساب'!$N$4:$N$353,0),0))),"")</f>
        <v/>
      </c>
      <c r="F138" s="70" t="str">
        <f>IFERROR(IF(IFERROR(MATCH(134,'كشف الحساب'!$N$4:$N$353,0),0)=0,"",INDEX('كشف الحساب'!$F$4:$F$353,IFERROR(MATCH(134,'كشف الحساب'!$N$4:$N$353,0),0))),"")</f>
        <v/>
      </c>
      <c r="G138" s="70" t="str">
        <f>IFERROR(IF(IFERROR(MATCH(134,'كشف الحساب'!$N$4:$N$353,0),0)=0,"",INDEX('كشف الحساب'!$G$4:$G$353,IFERROR(MATCH(134,'كشف الحساب'!$N$4:$N$353,0),0))),"")</f>
        <v/>
      </c>
      <c r="H138" s="70" t="str">
        <f>IFERROR(IF(IFERROR(MATCH(134,'كشف الحساب'!$N$4:$N$353,0),0)=0,"",INDEX('كشف الحساب'!$H$4:$H$353,IFERROR(MATCH(134,'كشف الحساب'!$N$4:$N$353,0),0))),"")</f>
        <v/>
      </c>
      <c r="I138" s="70" t="str">
        <f>IFERROR(IF(IFERROR(MATCH(134,'كشف الحساب'!$N$4:$N$353,0),0)=0,"",INDEX('كشف الحساب'!$I$4:$I$353,IFERROR(MATCH(134,'كشف الحساب'!$N$4:$N$353,0),0))),"")</f>
        <v/>
      </c>
      <c r="J138" s="74" t="str">
        <f>IFERROR(IF(IFERROR(MATCH(134,'كشف الحساب'!$N$4:$N$353,0),0)=0,"",INDEX('كشف الحساب'!$J$4:$J$353,IFERROR(MATCH(134,'كشف الحساب'!$N$4:$N$353,0),0))),"")</f>
        <v/>
      </c>
      <c r="K138" s="70" t="str">
        <f>IFERROR(IF(IFERROR(MATCH(134,'كشف الحساب'!$N$4:$N$353,0),0)=0,"",INDEX('كشف الحساب'!$K$4:$K$353,IFERROR(MATCH(134,'كشف الحساب'!$N$4:$N$353,0),0))),"")</f>
        <v/>
      </c>
    </row>
    <row r="139" spans="1:11" ht="15" customHeight="1" x14ac:dyDescent="0.25">
      <c r="A139" s="63" t="str">
        <f>IFERROR(IF(IFERROR(MATCH(135,'كشف الحساب'!$N$4:$N$353,0),0)=0,"",INDEX('كشف الحساب'!$A$4:$A$353,IFERROR(MATCH(135,'كشف الحساب'!$N$4:$N$353,0),0))),"")</f>
        <v/>
      </c>
      <c r="B139" s="64" t="str">
        <f>IFERROR(IF(IFERROR(MATCH(135,'كشف الحساب'!$N$4:$N$353,0),0)=0,"",INDEX('كشف الحساب'!$B$4:$B$353,IFERROR(MATCH(135,'كشف الحساب'!$N$4:$N$353,0),0))),"")</f>
        <v/>
      </c>
      <c r="C139" s="65" t="str">
        <f>IFERROR(IF(IFERROR(MATCH(135,'كشف الحساب'!$N$4:$N$353,0),0)=0,"",INDEX('كشف الحساب'!$C$4:$C$353,IFERROR(MATCH(135,'كشف الحساب'!$N$4:$N$353,0),0))),"")</f>
        <v/>
      </c>
      <c r="D139" s="66" t="str">
        <f>IFERROR(IF(IFERROR(MATCH(135,'كشف الحساب'!$N$4:$N$353,0),0)=0,"",INDEX('كشف الحساب'!$D$4:$D$353,IFERROR(MATCH(135,'كشف الحساب'!$N$4:$N$353,0),0))),"")</f>
        <v/>
      </c>
      <c r="E139" s="67" t="str">
        <f>IFERROR(IF(IFERROR(MATCH(135,'كشف الحساب'!$N$4:$N$353,0),0)=0,"",INDEX('كشف الحساب'!$E$4:$E$353,IFERROR(MATCH(135,'كشف الحساب'!$N$4:$N$353,0),0))),"")</f>
        <v/>
      </c>
      <c r="F139" s="64" t="str">
        <f>IFERROR(IF(IFERROR(MATCH(135,'كشف الحساب'!$N$4:$N$353,0),0)=0,"",INDEX('كشف الحساب'!$F$4:$F$353,IFERROR(MATCH(135,'كشف الحساب'!$N$4:$N$353,0),0))),"")</f>
        <v/>
      </c>
      <c r="G139" s="64" t="str">
        <f>IFERROR(IF(IFERROR(MATCH(135,'كشف الحساب'!$N$4:$N$353,0),0)=0,"",INDEX('كشف الحساب'!$G$4:$G$353,IFERROR(MATCH(135,'كشف الحساب'!$N$4:$N$353,0),0))),"")</f>
        <v/>
      </c>
      <c r="H139" s="64" t="str">
        <f>IFERROR(IF(IFERROR(MATCH(135,'كشف الحساب'!$N$4:$N$353,0),0)=0,"",INDEX('كشف الحساب'!$H$4:$H$353,IFERROR(MATCH(135,'كشف الحساب'!$N$4:$N$353,0),0))),"")</f>
        <v/>
      </c>
      <c r="I139" s="64" t="str">
        <f>IFERROR(IF(IFERROR(MATCH(135,'كشف الحساب'!$N$4:$N$353,0),0)=0,"",INDEX('كشف الحساب'!$I$4:$I$353,IFERROR(MATCH(135,'كشف الحساب'!$N$4:$N$353,0),0))),"")</f>
        <v/>
      </c>
      <c r="J139" s="68" t="str">
        <f>IFERROR(IF(IFERROR(MATCH(135,'كشف الحساب'!$N$4:$N$353,0),0)=0,"",INDEX('كشف الحساب'!$J$4:$J$353,IFERROR(MATCH(135,'كشف الحساب'!$N$4:$N$353,0),0))),"")</f>
        <v/>
      </c>
      <c r="K139" s="64" t="str">
        <f>IFERROR(IF(IFERROR(MATCH(135,'كشف الحساب'!$N$4:$N$353,0),0)=0,"",INDEX('كشف الحساب'!$K$4:$K$353,IFERROR(MATCH(135,'كشف الحساب'!$N$4:$N$353,0),0))),"")</f>
        <v/>
      </c>
    </row>
    <row r="140" spans="1:11" ht="15" customHeight="1" x14ac:dyDescent="0.25">
      <c r="A140" s="69" t="str">
        <f>IFERROR(IF(IFERROR(MATCH(136,'كشف الحساب'!$N$4:$N$353,0),0)=0,"",INDEX('كشف الحساب'!$A$4:$A$353,IFERROR(MATCH(136,'كشف الحساب'!$N$4:$N$353,0),0))),"")</f>
        <v/>
      </c>
      <c r="B140" s="70" t="str">
        <f>IFERROR(IF(IFERROR(MATCH(136,'كشف الحساب'!$N$4:$N$353,0),0)=0,"",INDEX('كشف الحساب'!$B$4:$B$353,IFERROR(MATCH(136,'كشف الحساب'!$N$4:$N$353,0),0))),"")</f>
        <v/>
      </c>
      <c r="C140" s="71" t="str">
        <f>IFERROR(IF(IFERROR(MATCH(136,'كشف الحساب'!$N$4:$N$353,0),0)=0,"",INDEX('كشف الحساب'!$C$4:$C$353,IFERROR(MATCH(136,'كشف الحساب'!$N$4:$N$353,0),0))),"")</f>
        <v/>
      </c>
      <c r="D140" s="72" t="str">
        <f>IFERROR(IF(IFERROR(MATCH(136,'كشف الحساب'!$N$4:$N$353,0),0)=0,"",INDEX('كشف الحساب'!$D$4:$D$353,IFERROR(MATCH(136,'كشف الحساب'!$N$4:$N$353,0),0))),"")</f>
        <v/>
      </c>
      <c r="E140" s="73" t="str">
        <f>IFERROR(IF(IFERROR(MATCH(136,'كشف الحساب'!$N$4:$N$353,0),0)=0,"",INDEX('كشف الحساب'!$E$4:$E$353,IFERROR(MATCH(136,'كشف الحساب'!$N$4:$N$353,0),0))),"")</f>
        <v/>
      </c>
      <c r="F140" s="70" t="str">
        <f>IFERROR(IF(IFERROR(MATCH(136,'كشف الحساب'!$N$4:$N$353,0),0)=0,"",INDEX('كشف الحساب'!$F$4:$F$353,IFERROR(MATCH(136,'كشف الحساب'!$N$4:$N$353,0),0))),"")</f>
        <v/>
      </c>
      <c r="G140" s="70" t="str">
        <f>IFERROR(IF(IFERROR(MATCH(136,'كشف الحساب'!$N$4:$N$353,0),0)=0,"",INDEX('كشف الحساب'!$G$4:$G$353,IFERROR(MATCH(136,'كشف الحساب'!$N$4:$N$353,0),0))),"")</f>
        <v/>
      </c>
      <c r="H140" s="70" t="str">
        <f>IFERROR(IF(IFERROR(MATCH(136,'كشف الحساب'!$N$4:$N$353,0),0)=0,"",INDEX('كشف الحساب'!$H$4:$H$353,IFERROR(MATCH(136,'كشف الحساب'!$N$4:$N$353,0),0))),"")</f>
        <v/>
      </c>
      <c r="I140" s="70" t="str">
        <f>IFERROR(IF(IFERROR(MATCH(136,'كشف الحساب'!$N$4:$N$353,0),0)=0,"",INDEX('كشف الحساب'!$I$4:$I$353,IFERROR(MATCH(136,'كشف الحساب'!$N$4:$N$353,0),0))),"")</f>
        <v/>
      </c>
      <c r="J140" s="74" t="str">
        <f>IFERROR(IF(IFERROR(MATCH(136,'كشف الحساب'!$N$4:$N$353,0),0)=0,"",INDEX('كشف الحساب'!$J$4:$J$353,IFERROR(MATCH(136,'كشف الحساب'!$N$4:$N$353,0),0))),"")</f>
        <v/>
      </c>
      <c r="K140" s="70" t="str">
        <f>IFERROR(IF(IFERROR(MATCH(136,'كشف الحساب'!$N$4:$N$353,0),0)=0,"",INDEX('كشف الحساب'!$K$4:$K$353,IFERROR(MATCH(136,'كشف الحساب'!$N$4:$N$353,0),0))),"")</f>
        <v/>
      </c>
    </row>
    <row r="141" spans="1:11" ht="15" customHeight="1" x14ac:dyDescent="0.25">
      <c r="A141" s="63" t="str">
        <f>IFERROR(IF(IFERROR(MATCH(137,'كشف الحساب'!$N$4:$N$353,0),0)=0,"",INDEX('كشف الحساب'!$A$4:$A$353,IFERROR(MATCH(137,'كشف الحساب'!$N$4:$N$353,0),0))),"")</f>
        <v/>
      </c>
      <c r="B141" s="64" t="str">
        <f>IFERROR(IF(IFERROR(MATCH(137,'كشف الحساب'!$N$4:$N$353,0),0)=0,"",INDEX('كشف الحساب'!$B$4:$B$353,IFERROR(MATCH(137,'كشف الحساب'!$N$4:$N$353,0),0))),"")</f>
        <v/>
      </c>
      <c r="C141" s="65" t="str">
        <f>IFERROR(IF(IFERROR(MATCH(137,'كشف الحساب'!$N$4:$N$353,0),0)=0,"",INDEX('كشف الحساب'!$C$4:$C$353,IFERROR(MATCH(137,'كشف الحساب'!$N$4:$N$353,0),0))),"")</f>
        <v/>
      </c>
      <c r="D141" s="66" t="str">
        <f>IFERROR(IF(IFERROR(MATCH(137,'كشف الحساب'!$N$4:$N$353,0),0)=0,"",INDEX('كشف الحساب'!$D$4:$D$353,IFERROR(MATCH(137,'كشف الحساب'!$N$4:$N$353,0),0))),"")</f>
        <v/>
      </c>
      <c r="E141" s="67" t="str">
        <f>IFERROR(IF(IFERROR(MATCH(137,'كشف الحساب'!$N$4:$N$353,0),0)=0,"",INDEX('كشف الحساب'!$E$4:$E$353,IFERROR(MATCH(137,'كشف الحساب'!$N$4:$N$353,0),0))),"")</f>
        <v/>
      </c>
      <c r="F141" s="64" t="str">
        <f>IFERROR(IF(IFERROR(MATCH(137,'كشف الحساب'!$N$4:$N$353,0),0)=0,"",INDEX('كشف الحساب'!$F$4:$F$353,IFERROR(MATCH(137,'كشف الحساب'!$N$4:$N$353,0),0))),"")</f>
        <v/>
      </c>
      <c r="G141" s="64" t="str">
        <f>IFERROR(IF(IFERROR(MATCH(137,'كشف الحساب'!$N$4:$N$353,0),0)=0,"",INDEX('كشف الحساب'!$G$4:$G$353,IFERROR(MATCH(137,'كشف الحساب'!$N$4:$N$353,0),0))),"")</f>
        <v/>
      </c>
      <c r="H141" s="64" t="str">
        <f>IFERROR(IF(IFERROR(MATCH(137,'كشف الحساب'!$N$4:$N$353,0),0)=0,"",INDEX('كشف الحساب'!$H$4:$H$353,IFERROR(MATCH(137,'كشف الحساب'!$N$4:$N$353,0),0))),"")</f>
        <v/>
      </c>
      <c r="I141" s="64" t="str">
        <f>IFERROR(IF(IFERROR(MATCH(137,'كشف الحساب'!$N$4:$N$353,0),0)=0,"",INDEX('كشف الحساب'!$I$4:$I$353,IFERROR(MATCH(137,'كشف الحساب'!$N$4:$N$353,0),0))),"")</f>
        <v/>
      </c>
      <c r="J141" s="68" t="str">
        <f>IFERROR(IF(IFERROR(MATCH(137,'كشف الحساب'!$N$4:$N$353,0),0)=0,"",INDEX('كشف الحساب'!$J$4:$J$353,IFERROR(MATCH(137,'كشف الحساب'!$N$4:$N$353,0),0))),"")</f>
        <v/>
      </c>
      <c r="K141" s="64" t="str">
        <f>IFERROR(IF(IFERROR(MATCH(137,'كشف الحساب'!$N$4:$N$353,0),0)=0,"",INDEX('كشف الحساب'!$K$4:$K$353,IFERROR(MATCH(137,'كشف الحساب'!$N$4:$N$353,0),0))),"")</f>
        <v/>
      </c>
    </row>
    <row r="142" spans="1:11" ht="15" customHeight="1" x14ac:dyDescent="0.25">
      <c r="A142" s="69" t="str">
        <f>IFERROR(IF(IFERROR(MATCH(138,'كشف الحساب'!$N$4:$N$353,0),0)=0,"",INDEX('كشف الحساب'!$A$4:$A$353,IFERROR(MATCH(138,'كشف الحساب'!$N$4:$N$353,0),0))),"")</f>
        <v/>
      </c>
      <c r="B142" s="70" t="str">
        <f>IFERROR(IF(IFERROR(MATCH(138,'كشف الحساب'!$N$4:$N$353,0),0)=0,"",INDEX('كشف الحساب'!$B$4:$B$353,IFERROR(MATCH(138,'كشف الحساب'!$N$4:$N$353,0),0))),"")</f>
        <v/>
      </c>
      <c r="C142" s="71" t="str">
        <f>IFERROR(IF(IFERROR(MATCH(138,'كشف الحساب'!$N$4:$N$353,0),0)=0,"",INDEX('كشف الحساب'!$C$4:$C$353,IFERROR(MATCH(138,'كشف الحساب'!$N$4:$N$353,0),0))),"")</f>
        <v/>
      </c>
      <c r="D142" s="72" t="str">
        <f>IFERROR(IF(IFERROR(MATCH(138,'كشف الحساب'!$N$4:$N$353,0),0)=0,"",INDEX('كشف الحساب'!$D$4:$D$353,IFERROR(MATCH(138,'كشف الحساب'!$N$4:$N$353,0),0))),"")</f>
        <v/>
      </c>
      <c r="E142" s="73" t="str">
        <f>IFERROR(IF(IFERROR(MATCH(138,'كشف الحساب'!$N$4:$N$353,0),0)=0,"",INDEX('كشف الحساب'!$E$4:$E$353,IFERROR(MATCH(138,'كشف الحساب'!$N$4:$N$353,0),0))),"")</f>
        <v/>
      </c>
      <c r="F142" s="70" t="str">
        <f>IFERROR(IF(IFERROR(MATCH(138,'كشف الحساب'!$N$4:$N$353,0),0)=0,"",INDEX('كشف الحساب'!$F$4:$F$353,IFERROR(MATCH(138,'كشف الحساب'!$N$4:$N$353,0),0))),"")</f>
        <v/>
      </c>
      <c r="G142" s="70" t="str">
        <f>IFERROR(IF(IFERROR(MATCH(138,'كشف الحساب'!$N$4:$N$353,0),0)=0,"",INDEX('كشف الحساب'!$G$4:$G$353,IFERROR(MATCH(138,'كشف الحساب'!$N$4:$N$353,0),0))),"")</f>
        <v/>
      </c>
      <c r="H142" s="70" t="str">
        <f>IFERROR(IF(IFERROR(MATCH(138,'كشف الحساب'!$N$4:$N$353,0),0)=0,"",INDEX('كشف الحساب'!$H$4:$H$353,IFERROR(MATCH(138,'كشف الحساب'!$N$4:$N$353,0),0))),"")</f>
        <v/>
      </c>
      <c r="I142" s="70" t="str">
        <f>IFERROR(IF(IFERROR(MATCH(138,'كشف الحساب'!$N$4:$N$353,0),0)=0,"",INDEX('كشف الحساب'!$I$4:$I$353,IFERROR(MATCH(138,'كشف الحساب'!$N$4:$N$353,0),0))),"")</f>
        <v/>
      </c>
      <c r="J142" s="74" t="str">
        <f>IFERROR(IF(IFERROR(MATCH(138,'كشف الحساب'!$N$4:$N$353,0),0)=0,"",INDEX('كشف الحساب'!$J$4:$J$353,IFERROR(MATCH(138,'كشف الحساب'!$N$4:$N$353,0),0))),"")</f>
        <v/>
      </c>
      <c r="K142" s="70" t="str">
        <f>IFERROR(IF(IFERROR(MATCH(138,'كشف الحساب'!$N$4:$N$353,0),0)=0,"",INDEX('كشف الحساب'!$K$4:$K$353,IFERROR(MATCH(138,'كشف الحساب'!$N$4:$N$353,0),0))),"")</f>
        <v/>
      </c>
    </row>
    <row r="143" spans="1:11" ht="15" customHeight="1" x14ac:dyDescent="0.25">
      <c r="A143" s="63" t="str">
        <f>IFERROR(IF(IFERROR(MATCH(139,'كشف الحساب'!$N$4:$N$353,0),0)=0,"",INDEX('كشف الحساب'!$A$4:$A$353,IFERROR(MATCH(139,'كشف الحساب'!$N$4:$N$353,0),0))),"")</f>
        <v/>
      </c>
      <c r="B143" s="64" t="str">
        <f>IFERROR(IF(IFERROR(MATCH(139,'كشف الحساب'!$N$4:$N$353,0),0)=0,"",INDEX('كشف الحساب'!$B$4:$B$353,IFERROR(MATCH(139,'كشف الحساب'!$N$4:$N$353,0),0))),"")</f>
        <v/>
      </c>
      <c r="C143" s="65" t="str">
        <f>IFERROR(IF(IFERROR(MATCH(139,'كشف الحساب'!$N$4:$N$353,0),0)=0,"",INDEX('كشف الحساب'!$C$4:$C$353,IFERROR(MATCH(139,'كشف الحساب'!$N$4:$N$353,0),0))),"")</f>
        <v/>
      </c>
      <c r="D143" s="66" t="str">
        <f>IFERROR(IF(IFERROR(MATCH(139,'كشف الحساب'!$N$4:$N$353,0),0)=0,"",INDEX('كشف الحساب'!$D$4:$D$353,IFERROR(MATCH(139,'كشف الحساب'!$N$4:$N$353,0),0))),"")</f>
        <v/>
      </c>
      <c r="E143" s="67" t="str">
        <f>IFERROR(IF(IFERROR(MATCH(139,'كشف الحساب'!$N$4:$N$353,0),0)=0,"",INDEX('كشف الحساب'!$E$4:$E$353,IFERROR(MATCH(139,'كشف الحساب'!$N$4:$N$353,0),0))),"")</f>
        <v/>
      </c>
      <c r="F143" s="64" t="str">
        <f>IFERROR(IF(IFERROR(MATCH(139,'كشف الحساب'!$N$4:$N$353,0),0)=0,"",INDEX('كشف الحساب'!$F$4:$F$353,IFERROR(MATCH(139,'كشف الحساب'!$N$4:$N$353,0),0))),"")</f>
        <v/>
      </c>
      <c r="G143" s="64" t="str">
        <f>IFERROR(IF(IFERROR(MATCH(139,'كشف الحساب'!$N$4:$N$353,0),0)=0,"",INDEX('كشف الحساب'!$G$4:$G$353,IFERROR(MATCH(139,'كشف الحساب'!$N$4:$N$353,0),0))),"")</f>
        <v/>
      </c>
      <c r="H143" s="64" t="str">
        <f>IFERROR(IF(IFERROR(MATCH(139,'كشف الحساب'!$N$4:$N$353,0),0)=0,"",INDEX('كشف الحساب'!$H$4:$H$353,IFERROR(MATCH(139,'كشف الحساب'!$N$4:$N$353,0),0))),"")</f>
        <v/>
      </c>
      <c r="I143" s="64" t="str">
        <f>IFERROR(IF(IFERROR(MATCH(139,'كشف الحساب'!$N$4:$N$353,0),0)=0,"",INDEX('كشف الحساب'!$I$4:$I$353,IFERROR(MATCH(139,'كشف الحساب'!$N$4:$N$353,0),0))),"")</f>
        <v/>
      </c>
      <c r="J143" s="68" t="str">
        <f>IFERROR(IF(IFERROR(MATCH(139,'كشف الحساب'!$N$4:$N$353,0),0)=0,"",INDEX('كشف الحساب'!$J$4:$J$353,IFERROR(MATCH(139,'كشف الحساب'!$N$4:$N$353,0),0))),"")</f>
        <v/>
      </c>
      <c r="K143" s="64" t="str">
        <f>IFERROR(IF(IFERROR(MATCH(139,'كشف الحساب'!$N$4:$N$353,0),0)=0,"",INDEX('كشف الحساب'!$K$4:$K$353,IFERROR(MATCH(139,'كشف الحساب'!$N$4:$N$353,0),0))),"")</f>
        <v/>
      </c>
    </row>
    <row r="144" spans="1:11" ht="15" customHeight="1" x14ac:dyDescent="0.25">
      <c r="A144" s="69" t="str">
        <f>IFERROR(IF(IFERROR(MATCH(140,'كشف الحساب'!$N$4:$N$353,0),0)=0,"",INDEX('كشف الحساب'!$A$4:$A$353,IFERROR(MATCH(140,'كشف الحساب'!$N$4:$N$353,0),0))),"")</f>
        <v/>
      </c>
      <c r="B144" s="70" t="str">
        <f>IFERROR(IF(IFERROR(MATCH(140,'كشف الحساب'!$N$4:$N$353,0),0)=0,"",INDEX('كشف الحساب'!$B$4:$B$353,IFERROR(MATCH(140,'كشف الحساب'!$N$4:$N$353,0),0))),"")</f>
        <v/>
      </c>
      <c r="C144" s="71" t="str">
        <f>IFERROR(IF(IFERROR(MATCH(140,'كشف الحساب'!$N$4:$N$353,0),0)=0,"",INDEX('كشف الحساب'!$C$4:$C$353,IFERROR(MATCH(140,'كشف الحساب'!$N$4:$N$353,0),0))),"")</f>
        <v/>
      </c>
      <c r="D144" s="72" t="str">
        <f>IFERROR(IF(IFERROR(MATCH(140,'كشف الحساب'!$N$4:$N$353,0),0)=0,"",INDEX('كشف الحساب'!$D$4:$D$353,IFERROR(MATCH(140,'كشف الحساب'!$N$4:$N$353,0),0))),"")</f>
        <v/>
      </c>
      <c r="E144" s="73" t="str">
        <f>IFERROR(IF(IFERROR(MATCH(140,'كشف الحساب'!$N$4:$N$353,0),0)=0,"",INDEX('كشف الحساب'!$E$4:$E$353,IFERROR(MATCH(140,'كشف الحساب'!$N$4:$N$353,0),0))),"")</f>
        <v/>
      </c>
      <c r="F144" s="70" t="str">
        <f>IFERROR(IF(IFERROR(MATCH(140,'كشف الحساب'!$N$4:$N$353,0),0)=0,"",INDEX('كشف الحساب'!$F$4:$F$353,IFERROR(MATCH(140,'كشف الحساب'!$N$4:$N$353,0),0))),"")</f>
        <v/>
      </c>
      <c r="G144" s="70" t="str">
        <f>IFERROR(IF(IFERROR(MATCH(140,'كشف الحساب'!$N$4:$N$353,0),0)=0,"",INDEX('كشف الحساب'!$G$4:$G$353,IFERROR(MATCH(140,'كشف الحساب'!$N$4:$N$353,0),0))),"")</f>
        <v/>
      </c>
      <c r="H144" s="70" t="str">
        <f>IFERROR(IF(IFERROR(MATCH(140,'كشف الحساب'!$N$4:$N$353,0),0)=0,"",INDEX('كشف الحساب'!$H$4:$H$353,IFERROR(MATCH(140,'كشف الحساب'!$N$4:$N$353,0),0))),"")</f>
        <v/>
      </c>
      <c r="I144" s="70" t="str">
        <f>IFERROR(IF(IFERROR(MATCH(140,'كشف الحساب'!$N$4:$N$353,0),0)=0,"",INDEX('كشف الحساب'!$I$4:$I$353,IFERROR(MATCH(140,'كشف الحساب'!$N$4:$N$353,0),0))),"")</f>
        <v/>
      </c>
      <c r="J144" s="74" t="str">
        <f>IFERROR(IF(IFERROR(MATCH(140,'كشف الحساب'!$N$4:$N$353,0),0)=0,"",INDEX('كشف الحساب'!$J$4:$J$353,IFERROR(MATCH(140,'كشف الحساب'!$N$4:$N$353,0),0))),"")</f>
        <v/>
      </c>
      <c r="K144" s="70" t="str">
        <f>IFERROR(IF(IFERROR(MATCH(140,'كشف الحساب'!$N$4:$N$353,0),0)=0,"",INDEX('كشف الحساب'!$K$4:$K$353,IFERROR(MATCH(140,'كشف الحساب'!$N$4:$N$353,0),0))),"")</f>
        <v/>
      </c>
    </row>
    <row r="145" spans="1:11" ht="15" customHeight="1" x14ac:dyDescent="0.25">
      <c r="A145" s="63" t="str">
        <f>IFERROR(IF(IFERROR(MATCH(141,'كشف الحساب'!$N$4:$N$353,0),0)=0,"",INDEX('كشف الحساب'!$A$4:$A$353,IFERROR(MATCH(141,'كشف الحساب'!$N$4:$N$353,0),0))),"")</f>
        <v/>
      </c>
      <c r="B145" s="64" t="str">
        <f>IFERROR(IF(IFERROR(MATCH(141,'كشف الحساب'!$N$4:$N$353,0),0)=0,"",INDEX('كشف الحساب'!$B$4:$B$353,IFERROR(MATCH(141,'كشف الحساب'!$N$4:$N$353,0),0))),"")</f>
        <v/>
      </c>
      <c r="C145" s="65" t="str">
        <f>IFERROR(IF(IFERROR(MATCH(141,'كشف الحساب'!$N$4:$N$353,0),0)=0,"",INDEX('كشف الحساب'!$C$4:$C$353,IFERROR(MATCH(141,'كشف الحساب'!$N$4:$N$353,0),0))),"")</f>
        <v/>
      </c>
      <c r="D145" s="66" t="str">
        <f>IFERROR(IF(IFERROR(MATCH(141,'كشف الحساب'!$N$4:$N$353,0),0)=0,"",INDEX('كشف الحساب'!$D$4:$D$353,IFERROR(MATCH(141,'كشف الحساب'!$N$4:$N$353,0),0))),"")</f>
        <v/>
      </c>
      <c r="E145" s="67" t="str">
        <f>IFERROR(IF(IFERROR(MATCH(141,'كشف الحساب'!$N$4:$N$353,0),0)=0,"",INDEX('كشف الحساب'!$E$4:$E$353,IFERROR(MATCH(141,'كشف الحساب'!$N$4:$N$353,0),0))),"")</f>
        <v/>
      </c>
      <c r="F145" s="64" t="str">
        <f>IFERROR(IF(IFERROR(MATCH(141,'كشف الحساب'!$N$4:$N$353,0),0)=0,"",INDEX('كشف الحساب'!$F$4:$F$353,IFERROR(MATCH(141,'كشف الحساب'!$N$4:$N$353,0),0))),"")</f>
        <v/>
      </c>
      <c r="G145" s="64" t="str">
        <f>IFERROR(IF(IFERROR(MATCH(141,'كشف الحساب'!$N$4:$N$353,0),0)=0,"",INDEX('كشف الحساب'!$G$4:$G$353,IFERROR(MATCH(141,'كشف الحساب'!$N$4:$N$353,0),0))),"")</f>
        <v/>
      </c>
      <c r="H145" s="64" t="str">
        <f>IFERROR(IF(IFERROR(MATCH(141,'كشف الحساب'!$N$4:$N$353,0),0)=0,"",INDEX('كشف الحساب'!$H$4:$H$353,IFERROR(MATCH(141,'كشف الحساب'!$N$4:$N$353,0),0))),"")</f>
        <v/>
      </c>
      <c r="I145" s="64" t="str">
        <f>IFERROR(IF(IFERROR(MATCH(141,'كشف الحساب'!$N$4:$N$353,0),0)=0,"",INDEX('كشف الحساب'!$I$4:$I$353,IFERROR(MATCH(141,'كشف الحساب'!$N$4:$N$353,0),0))),"")</f>
        <v/>
      </c>
      <c r="J145" s="68" t="str">
        <f>IFERROR(IF(IFERROR(MATCH(141,'كشف الحساب'!$N$4:$N$353,0),0)=0,"",INDEX('كشف الحساب'!$J$4:$J$353,IFERROR(MATCH(141,'كشف الحساب'!$N$4:$N$353,0),0))),"")</f>
        <v/>
      </c>
      <c r="K145" s="64" t="str">
        <f>IFERROR(IF(IFERROR(MATCH(141,'كشف الحساب'!$N$4:$N$353,0),0)=0,"",INDEX('كشف الحساب'!$K$4:$K$353,IFERROR(MATCH(141,'كشف الحساب'!$N$4:$N$353,0),0))),"")</f>
        <v/>
      </c>
    </row>
    <row r="146" spans="1:11" ht="15" customHeight="1" x14ac:dyDescent="0.25">
      <c r="A146" s="69" t="str">
        <f>IFERROR(IF(IFERROR(MATCH(142,'كشف الحساب'!$N$4:$N$353,0),0)=0,"",INDEX('كشف الحساب'!$A$4:$A$353,IFERROR(MATCH(142,'كشف الحساب'!$N$4:$N$353,0),0))),"")</f>
        <v/>
      </c>
      <c r="B146" s="70" t="str">
        <f>IFERROR(IF(IFERROR(MATCH(142,'كشف الحساب'!$N$4:$N$353,0),0)=0,"",INDEX('كشف الحساب'!$B$4:$B$353,IFERROR(MATCH(142,'كشف الحساب'!$N$4:$N$353,0),0))),"")</f>
        <v/>
      </c>
      <c r="C146" s="71" t="str">
        <f>IFERROR(IF(IFERROR(MATCH(142,'كشف الحساب'!$N$4:$N$353,0),0)=0,"",INDEX('كشف الحساب'!$C$4:$C$353,IFERROR(MATCH(142,'كشف الحساب'!$N$4:$N$353,0),0))),"")</f>
        <v/>
      </c>
      <c r="D146" s="72" t="str">
        <f>IFERROR(IF(IFERROR(MATCH(142,'كشف الحساب'!$N$4:$N$353,0),0)=0,"",INDEX('كشف الحساب'!$D$4:$D$353,IFERROR(MATCH(142,'كشف الحساب'!$N$4:$N$353,0),0))),"")</f>
        <v/>
      </c>
      <c r="E146" s="73" t="str">
        <f>IFERROR(IF(IFERROR(MATCH(142,'كشف الحساب'!$N$4:$N$353,0),0)=0,"",INDEX('كشف الحساب'!$E$4:$E$353,IFERROR(MATCH(142,'كشف الحساب'!$N$4:$N$353,0),0))),"")</f>
        <v/>
      </c>
      <c r="F146" s="70" t="str">
        <f>IFERROR(IF(IFERROR(MATCH(142,'كشف الحساب'!$N$4:$N$353,0),0)=0,"",INDEX('كشف الحساب'!$F$4:$F$353,IFERROR(MATCH(142,'كشف الحساب'!$N$4:$N$353,0),0))),"")</f>
        <v/>
      </c>
      <c r="G146" s="70" t="str">
        <f>IFERROR(IF(IFERROR(MATCH(142,'كشف الحساب'!$N$4:$N$353,0),0)=0,"",INDEX('كشف الحساب'!$G$4:$G$353,IFERROR(MATCH(142,'كشف الحساب'!$N$4:$N$353,0),0))),"")</f>
        <v/>
      </c>
      <c r="H146" s="70" t="str">
        <f>IFERROR(IF(IFERROR(MATCH(142,'كشف الحساب'!$N$4:$N$353,0),0)=0,"",INDEX('كشف الحساب'!$H$4:$H$353,IFERROR(MATCH(142,'كشف الحساب'!$N$4:$N$353,0),0))),"")</f>
        <v/>
      </c>
      <c r="I146" s="70" t="str">
        <f>IFERROR(IF(IFERROR(MATCH(142,'كشف الحساب'!$N$4:$N$353,0),0)=0,"",INDEX('كشف الحساب'!$I$4:$I$353,IFERROR(MATCH(142,'كشف الحساب'!$N$4:$N$353,0),0))),"")</f>
        <v/>
      </c>
      <c r="J146" s="74" t="str">
        <f>IFERROR(IF(IFERROR(MATCH(142,'كشف الحساب'!$N$4:$N$353,0),0)=0,"",INDEX('كشف الحساب'!$J$4:$J$353,IFERROR(MATCH(142,'كشف الحساب'!$N$4:$N$353,0),0))),"")</f>
        <v/>
      </c>
      <c r="K146" s="70" t="str">
        <f>IFERROR(IF(IFERROR(MATCH(142,'كشف الحساب'!$N$4:$N$353,0),0)=0,"",INDEX('كشف الحساب'!$K$4:$K$353,IFERROR(MATCH(142,'كشف الحساب'!$N$4:$N$353,0),0))),"")</f>
        <v/>
      </c>
    </row>
    <row r="147" spans="1:11" ht="15" customHeight="1" x14ac:dyDescent="0.25">
      <c r="A147" s="63" t="str">
        <f>IFERROR(IF(IFERROR(MATCH(143,'كشف الحساب'!$N$4:$N$353,0),0)=0,"",INDEX('كشف الحساب'!$A$4:$A$353,IFERROR(MATCH(143,'كشف الحساب'!$N$4:$N$353,0),0))),"")</f>
        <v/>
      </c>
      <c r="B147" s="64" t="str">
        <f>IFERROR(IF(IFERROR(MATCH(143,'كشف الحساب'!$N$4:$N$353,0),0)=0,"",INDEX('كشف الحساب'!$B$4:$B$353,IFERROR(MATCH(143,'كشف الحساب'!$N$4:$N$353,0),0))),"")</f>
        <v/>
      </c>
      <c r="C147" s="65" t="str">
        <f>IFERROR(IF(IFERROR(MATCH(143,'كشف الحساب'!$N$4:$N$353,0),0)=0,"",INDEX('كشف الحساب'!$C$4:$C$353,IFERROR(MATCH(143,'كشف الحساب'!$N$4:$N$353,0),0))),"")</f>
        <v/>
      </c>
      <c r="D147" s="66" t="str">
        <f>IFERROR(IF(IFERROR(MATCH(143,'كشف الحساب'!$N$4:$N$353,0),0)=0,"",INDEX('كشف الحساب'!$D$4:$D$353,IFERROR(MATCH(143,'كشف الحساب'!$N$4:$N$353,0),0))),"")</f>
        <v/>
      </c>
      <c r="E147" s="67" t="str">
        <f>IFERROR(IF(IFERROR(MATCH(143,'كشف الحساب'!$N$4:$N$353,0),0)=0,"",INDEX('كشف الحساب'!$E$4:$E$353,IFERROR(MATCH(143,'كشف الحساب'!$N$4:$N$353,0),0))),"")</f>
        <v/>
      </c>
      <c r="F147" s="64" t="str">
        <f>IFERROR(IF(IFERROR(MATCH(143,'كشف الحساب'!$N$4:$N$353,0),0)=0,"",INDEX('كشف الحساب'!$F$4:$F$353,IFERROR(MATCH(143,'كشف الحساب'!$N$4:$N$353,0),0))),"")</f>
        <v/>
      </c>
      <c r="G147" s="64" t="str">
        <f>IFERROR(IF(IFERROR(MATCH(143,'كشف الحساب'!$N$4:$N$353,0),0)=0,"",INDEX('كشف الحساب'!$G$4:$G$353,IFERROR(MATCH(143,'كشف الحساب'!$N$4:$N$353,0),0))),"")</f>
        <v/>
      </c>
      <c r="H147" s="64" t="str">
        <f>IFERROR(IF(IFERROR(MATCH(143,'كشف الحساب'!$N$4:$N$353,0),0)=0,"",INDEX('كشف الحساب'!$H$4:$H$353,IFERROR(MATCH(143,'كشف الحساب'!$N$4:$N$353,0),0))),"")</f>
        <v/>
      </c>
      <c r="I147" s="64" t="str">
        <f>IFERROR(IF(IFERROR(MATCH(143,'كشف الحساب'!$N$4:$N$353,0),0)=0,"",INDEX('كشف الحساب'!$I$4:$I$353,IFERROR(MATCH(143,'كشف الحساب'!$N$4:$N$353,0),0))),"")</f>
        <v/>
      </c>
      <c r="J147" s="68" t="str">
        <f>IFERROR(IF(IFERROR(MATCH(143,'كشف الحساب'!$N$4:$N$353,0),0)=0,"",INDEX('كشف الحساب'!$J$4:$J$353,IFERROR(MATCH(143,'كشف الحساب'!$N$4:$N$353,0),0))),"")</f>
        <v/>
      </c>
      <c r="K147" s="64" t="str">
        <f>IFERROR(IF(IFERROR(MATCH(143,'كشف الحساب'!$N$4:$N$353,0),0)=0,"",INDEX('كشف الحساب'!$K$4:$K$353,IFERROR(MATCH(143,'كشف الحساب'!$N$4:$N$353,0),0))),"")</f>
        <v/>
      </c>
    </row>
    <row r="148" spans="1:11" ht="15" customHeight="1" x14ac:dyDescent="0.25">
      <c r="A148" s="69" t="str">
        <f>IFERROR(IF(IFERROR(MATCH(144,'كشف الحساب'!$N$4:$N$353,0),0)=0,"",INDEX('كشف الحساب'!$A$4:$A$353,IFERROR(MATCH(144,'كشف الحساب'!$N$4:$N$353,0),0))),"")</f>
        <v/>
      </c>
      <c r="B148" s="70" t="str">
        <f>IFERROR(IF(IFERROR(MATCH(144,'كشف الحساب'!$N$4:$N$353,0),0)=0,"",INDEX('كشف الحساب'!$B$4:$B$353,IFERROR(MATCH(144,'كشف الحساب'!$N$4:$N$353,0),0))),"")</f>
        <v/>
      </c>
      <c r="C148" s="71" t="str">
        <f>IFERROR(IF(IFERROR(MATCH(144,'كشف الحساب'!$N$4:$N$353,0),0)=0,"",INDEX('كشف الحساب'!$C$4:$C$353,IFERROR(MATCH(144,'كشف الحساب'!$N$4:$N$353,0),0))),"")</f>
        <v/>
      </c>
      <c r="D148" s="72" t="str">
        <f>IFERROR(IF(IFERROR(MATCH(144,'كشف الحساب'!$N$4:$N$353,0),0)=0,"",INDEX('كشف الحساب'!$D$4:$D$353,IFERROR(MATCH(144,'كشف الحساب'!$N$4:$N$353,0),0))),"")</f>
        <v/>
      </c>
      <c r="E148" s="73" t="str">
        <f>IFERROR(IF(IFERROR(MATCH(144,'كشف الحساب'!$N$4:$N$353,0),0)=0,"",INDEX('كشف الحساب'!$E$4:$E$353,IFERROR(MATCH(144,'كشف الحساب'!$N$4:$N$353,0),0))),"")</f>
        <v/>
      </c>
      <c r="F148" s="70" t="str">
        <f>IFERROR(IF(IFERROR(MATCH(144,'كشف الحساب'!$N$4:$N$353,0),0)=0,"",INDEX('كشف الحساب'!$F$4:$F$353,IFERROR(MATCH(144,'كشف الحساب'!$N$4:$N$353,0),0))),"")</f>
        <v/>
      </c>
      <c r="G148" s="70" t="str">
        <f>IFERROR(IF(IFERROR(MATCH(144,'كشف الحساب'!$N$4:$N$353,0),0)=0,"",INDEX('كشف الحساب'!$G$4:$G$353,IFERROR(MATCH(144,'كشف الحساب'!$N$4:$N$353,0),0))),"")</f>
        <v/>
      </c>
      <c r="H148" s="70" t="str">
        <f>IFERROR(IF(IFERROR(MATCH(144,'كشف الحساب'!$N$4:$N$353,0),0)=0,"",INDEX('كشف الحساب'!$H$4:$H$353,IFERROR(MATCH(144,'كشف الحساب'!$N$4:$N$353,0),0))),"")</f>
        <v/>
      </c>
      <c r="I148" s="70" t="str">
        <f>IFERROR(IF(IFERROR(MATCH(144,'كشف الحساب'!$N$4:$N$353,0),0)=0,"",INDEX('كشف الحساب'!$I$4:$I$353,IFERROR(MATCH(144,'كشف الحساب'!$N$4:$N$353,0),0))),"")</f>
        <v/>
      </c>
      <c r="J148" s="74" t="str">
        <f>IFERROR(IF(IFERROR(MATCH(144,'كشف الحساب'!$N$4:$N$353,0),0)=0,"",INDEX('كشف الحساب'!$J$4:$J$353,IFERROR(MATCH(144,'كشف الحساب'!$N$4:$N$353,0),0))),"")</f>
        <v/>
      </c>
      <c r="K148" s="70" t="str">
        <f>IFERROR(IF(IFERROR(MATCH(144,'كشف الحساب'!$N$4:$N$353,0),0)=0,"",INDEX('كشف الحساب'!$K$4:$K$353,IFERROR(MATCH(144,'كشف الحساب'!$N$4:$N$353,0),0))),"")</f>
        <v/>
      </c>
    </row>
    <row r="149" spans="1:11" ht="15" customHeight="1" x14ac:dyDescent="0.25">
      <c r="A149" s="63" t="str">
        <f>IFERROR(IF(IFERROR(MATCH(145,'كشف الحساب'!$N$4:$N$353,0),0)=0,"",INDEX('كشف الحساب'!$A$4:$A$353,IFERROR(MATCH(145,'كشف الحساب'!$N$4:$N$353,0),0))),"")</f>
        <v/>
      </c>
      <c r="B149" s="64" t="str">
        <f>IFERROR(IF(IFERROR(MATCH(145,'كشف الحساب'!$N$4:$N$353,0),0)=0,"",INDEX('كشف الحساب'!$B$4:$B$353,IFERROR(MATCH(145,'كشف الحساب'!$N$4:$N$353,0),0))),"")</f>
        <v/>
      </c>
      <c r="C149" s="65" t="str">
        <f>IFERROR(IF(IFERROR(MATCH(145,'كشف الحساب'!$N$4:$N$353,0),0)=0,"",INDEX('كشف الحساب'!$C$4:$C$353,IFERROR(MATCH(145,'كشف الحساب'!$N$4:$N$353,0),0))),"")</f>
        <v/>
      </c>
      <c r="D149" s="66" t="str">
        <f>IFERROR(IF(IFERROR(MATCH(145,'كشف الحساب'!$N$4:$N$353,0),0)=0,"",INDEX('كشف الحساب'!$D$4:$D$353,IFERROR(MATCH(145,'كشف الحساب'!$N$4:$N$353,0),0))),"")</f>
        <v/>
      </c>
      <c r="E149" s="67" t="str">
        <f>IFERROR(IF(IFERROR(MATCH(145,'كشف الحساب'!$N$4:$N$353,0),0)=0,"",INDEX('كشف الحساب'!$E$4:$E$353,IFERROR(MATCH(145,'كشف الحساب'!$N$4:$N$353,0),0))),"")</f>
        <v/>
      </c>
      <c r="F149" s="64" t="str">
        <f>IFERROR(IF(IFERROR(MATCH(145,'كشف الحساب'!$N$4:$N$353,0),0)=0,"",INDEX('كشف الحساب'!$F$4:$F$353,IFERROR(MATCH(145,'كشف الحساب'!$N$4:$N$353,0),0))),"")</f>
        <v/>
      </c>
      <c r="G149" s="64" t="str">
        <f>IFERROR(IF(IFERROR(MATCH(145,'كشف الحساب'!$N$4:$N$353,0),0)=0,"",INDEX('كشف الحساب'!$G$4:$G$353,IFERROR(MATCH(145,'كشف الحساب'!$N$4:$N$353,0),0))),"")</f>
        <v/>
      </c>
      <c r="H149" s="64" t="str">
        <f>IFERROR(IF(IFERROR(MATCH(145,'كشف الحساب'!$N$4:$N$353,0),0)=0,"",INDEX('كشف الحساب'!$H$4:$H$353,IFERROR(MATCH(145,'كشف الحساب'!$N$4:$N$353,0),0))),"")</f>
        <v/>
      </c>
      <c r="I149" s="64" t="str">
        <f>IFERROR(IF(IFERROR(MATCH(145,'كشف الحساب'!$N$4:$N$353,0),0)=0,"",INDEX('كشف الحساب'!$I$4:$I$353,IFERROR(MATCH(145,'كشف الحساب'!$N$4:$N$353,0),0))),"")</f>
        <v/>
      </c>
      <c r="J149" s="68" t="str">
        <f>IFERROR(IF(IFERROR(MATCH(145,'كشف الحساب'!$N$4:$N$353,0),0)=0,"",INDEX('كشف الحساب'!$J$4:$J$353,IFERROR(MATCH(145,'كشف الحساب'!$N$4:$N$353,0),0))),"")</f>
        <v/>
      </c>
      <c r="K149" s="64" t="str">
        <f>IFERROR(IF(IFERROR(MATCH(145,'كشف الحساب'!$N$4:$N$353,0),0)=0,"",INDEX('كشف الحساب'!$K$4:$K$353,IFERROR(MATCH(145,'كشف الحساب'!$N$4:$N$353,0),0))),"")</f>
        <v/>
      </c>
    </row>
    <row r="150" spans="1:11" ht="15" customHeight="1" x14ac:dyDescent="0.25">
      <c r="A150" s="69" t="str">
        <f>IFERROR(IF(IFERROR(MATCH(146,'كشف الحساب'!$N$4:$N$353,0),0)=0,"",INDEX('كشف الحساب'!$A$4:$A$353,IFERROR(MATCH(146,'كشف الحساب'!$N$4:$N$353,0),0))),"")</f>
        <v/>
      </c>
      <c r="B150" s="70" t="str">
        <f>IFERROR(IF(IFERROR(MATCH(146,'كشف الحساب'!$N$4:$N$353,0),0)=0,"",INDEX('كشف الحساب'!$B$4:$B$353,IFERROR(MATCH(146,'كشف الحساب'!$N$4:$N$353,0),0))),"")</f>
        <v/>
      </c>
      <c r="C150" s="71" t="str">
        <f>IFERROR(IF(IFERROR(MATCH(146,'كشف الحساب'!$N$4:$N$353,0),0)=0,"",INDEX('كشف الحساب'!$C$4:$C$353,IFERROR(MATCH(146,'كشف الحساب'!$N$4:$N$353,0),0))),"")</f>
        <v/>
      </c>
      <c r="D150" s="72" t="str">
        <f>IFERROR(IF(IFERROR(MATCH(146,'كشف الحساب'!$N$4:$N$353,0),0)=0,"",INDEX('كشف الحساب'!$D$4:$D$353,IFERROR(MATCH(146,'كشف الحساب'!$N$4:$N$353,0),0))),"")</f>
        <v/>
      </c>
      <c r="E150" s="73" t="str">
        <f>IFERROR(IF(IFERROR(MATCH(146,'كشف الحساب'!$N$4:$N$353,0),0)=0,"",INDEX('كشف الحساب'!$E$4:$E$353,IFERROR(MATCH(146,'كشف الحساب'!$N$4:$N$353,0),0))),"")</f>
        <v/>
      </c>
      <c r="F150" s="70" t="str">
        <f>IFERROR(IF(IFERROR(MATCH(146,'كشف الحساب'!$N$4:$N$353,0),0)=0,"",INDEX('كشف الحساب'!$F$4:$F$353,IFERROR(MATCH(146,'كشف الحساب'!$N$4:$N$353,0),0))),"")</f>
        <v/>
      </c>
      <c r="G150" s="70" t="str">
        <f>IFERROR(IF(IFERROR(MATCH(146,'كشف الحساب'!$N$4:$N$353,0),0)=0,"",INDEX('كشف الحساب'!$G$4:$G$353,IFERROR(MATCH(146,'كشف الحساب'!$N$4:$N$353,0),0))),"")</f>
        <v/>
      </c>
      <c r="H150" s="70" t="str">
        <f>IFERROR(IF(IFERROR(MATCH(146,'كشف الحساب'!$N$4:$N$353,0),0)=0,"",INDEX('كشف الحساب'!$H$4:$H$353,IFERROR(MATCH(146,'كشف الحساب'!$N$4:$N$353,0),0))),"")</f>
        <v/>
      </c>
      <c r="I150" s="70" t="str">
        <f>IFERROR(IF(IFERROR(MATCH(146,'كشف الحساب'!$N$4:$N$353,0),0)=0,"",INDEX('كشف الحساب'!$I$4:$I$353,IFERROR(MATCH(146,'كشف الحساب'!$N$4:$N$353,0),0))),"")</f>
        <v/>
      </c>
      <c r="J150" s="74" t="str">
        <f>IFERROR(IF(IFERROR(MATCH(146,'كشف الحساب'!$N$4:$N$353,0),0)=0,"",INDEX('كشف الحساب'!$J$4:$J$353,IFERROR(MATCH(146,'كشف الحساب'!$N$4:$N$353,0),0))),"")</f>
        <v/>
      </c>
      <c r="K150" s="70" t="str">
        <f>IFERROR(IF(IFERROR(MATCH(146,'كشف الحساب'!$N$4:$N$353,0),0)=0,"",INDEX('كشف الحساب'!$K$4:$K$353,IFERROR(MATCH(146,'كشف الحساب'!$N$4:$N$353,0),0))),"")</f>
        <v/>
      </c>
    </row>
    <row r="151" spans="1:11" ht="15" customHeight="1" x14ac:dyDescent="0.25">
      <c r="A151" s="63" t="str">
        <f>IFERROR(IF(IFERROR(MATCH(147,'كشف الحساب'!$N$4:$N$353,0),0)=0,"",INDEX('كشف الحساب'!$A$4:$A$353,IFERROR(MATCH(147,'كشف الحساب'!$N$4:$N$353,0),0))),"")</f>
        <v/>
      </c>
      <c r="B151" s="64" t="str">
        <f>IFERROR(IF(IFERROR(MATCH(147,'كشف الحساب'!$N$4:$N$353,0),0)=0,"",INDEX('كشف الحساب'!$B$4:$B$353,IFERROR(MATCH(147,'كشف الحساب'!$N$4:$N$353,0),0))),"")</f>
        <v/>
      </c>
      <c r="C151" s="65" t="str">
        <f>IFERROR(IF(IFERROR(MATCH(147,'كشف الحساب'!$N$4:$N$353,0),0)=0,"",INDEX('كشف الحساب'!$C$4:$C$353,IFERROR(MATCH(147,'كشف الحساب'!$N$4:$N$353,0),0))),"")</f>
        <v/>
      </c>
      <c r="D151" s="66" t="str">
        <f>IFERROR(IF(IFERROR(MATCH(147,'كشف الحساب'!$N$4:$N$353,0),0)=0,"",INDEX('كشف الحساب'!$D$4:$D$353,IFERROR(MATCH(147,'كشف الحساب'!$N$4:$N$353,0),0))),"")</f>
        <v/>
      </c>
      <c r="E151" s="67" t="str">
        <f>IFERROR(IF(IFERROR(MATCH(147,'كشف الحساب'!$N$4:$N$353,0),0)=0,"",INDEX('كشف الحساب'!$E$4:$E$353,IFERROR(MATCH(147,'كشف الحساب'!$N$4:$N$353,0),0))),"")</f>
        <v/>
      </c>
      <c r="F151" s="64" t="str">
        <f>IFERROR(IF(IFERROR(MATCH(147,'كشف الحساب'!$N$4:$N$353,0),0)=0,"",INDEX('كشف الحساب'!$F$4:$F$353,IFERROR(MATCH(147,'كشف الحساب'!$N$4:$N$353,0),0))),"")</f>
        <v/>
      </c>
      <c r="G151" s="64" t="str">
        <f>IFERROR(IF(IFERROR(MATCH(147,'كشف الحساب'!$N$4:$N$353,0),0)=0,"",INDEX('كشف الحساب'!$G$4:$G$353,IFERROR(MATCH(147,'كشف الحساب'!$N$4:$N$353,0),0))),"")</f>
        <v/>
      </c>
      <c r="H151" s="64" t="str">
        <f>IFERROR(IF(IFERROR(MATCH(147,'كشف الحساب'!$N$4:$N$353,0),0)=0,"",INDEX('كشف الحساب'!$H$4:$H$353,IFERROR(MATCH(147,'كشف الحساب'!$N$4:$N$353,0),0))),"")</f>
        <v/>
      </c>
      <c r="I151" s="64" t="str">
        <f>IFERROR(IF(IFERROR(MATCH(147,'كشف الحساب'!$N$4:$N$353,0),0)=0,"",INDEX('كشف الحساب'!$I$4:$I$353,IFERROR(MATCH(147,'كشف الحساب'!$N$4:$N$353,0),0))),"")</f>
        <v/>
      </c>
      <c r="J151" s="68" t="str">
        <f>IFERROR(IF(IFERROR(MATCH(147,'كشف الحساب'!$N$4:$N$353,0),0)=0,"",INDEX('كشف الحساب'!$J$4:$J$353,IFERROR(MATCH(147,'كشف الحساب'!$N$4:$N$353,0),0))),"")</f>
        <v/>
      </c>
      <c r="K151" s="64" t="str">
        <f>IFERROR(IF(IFERROR(MATCH(147,'كشف الحساب'!$N$4:$N$353,0),0)=0,"",INDEX('كشف الحساب'!$K$4:$K$353,IFERROR(MATCH(147,'كشف الحساب'!$N$4:$N$353,0),0))),"")</f>
        <v/>
      </c>
    </row>
    <row r="152" spans="1:11" ht="15" customHeight="1" x14ac:dyDescent="0.25">
      <c r="A152" s="69" t="str">
        <f>IFERROR(IF(IFERROR(MATCH(148,'كشف الحساب'!$N$4:$N$353,0),0)=0,"",INDEX('كشف الحساب'!$A$4:$A$353,IFERROR(MATCH(148,'كشف الحساب'!$N$4:$N$353,0),0))),"")</f>
        <v/>
      </c>
      <c r="B152" s="70" t="str">
        <f>IFERROR(IF(IFERROR(MATCH(148,'كشف الحساب'!$N$4:$N$353,0),0)=0,"",INDEX('كشف الحساب'!$B$4:$B$353,IFERROR(MATCH(148,'كشف الحساب'!$N$4:$N$353,0),0))),"")</f>
        <v/>
      </c>
      <c r="C152" s="71" t="str">
        <f>IFERROR(IF(IFERROR(MATCH(148,'كشف الحساب'!$N$4:$N$353,0),0)=0,"",INDEX('كشف الحساب'!$C$4:$C$353,IFERROR(MATCH(148,'كشف الحساب'!$N$4:$N$353,0),0))),"")</f>
        <v/>
      </c>
      <c r="D152" s="72" t="str">
        <f>IFERROR(IF(IFERROR(MATCH(148,'كشف الحساب'!$N$4:$N$353,0),0)=0,"",INDEX('كشف الحساب'!$D$4:$D$353,IFERROR(MATCH(148,'كشف الحساب'!$N$4:$N$353,0),0))),"")</f>
        <v/>
      </c>
      <c r="E152" s="73" t="str">
        <f>IFERROR(IF(IFERROR(MATCH(148,'كشف الحساب'!$N$4:$N$353,0),0)=0,"",INDEX('كشف الحساب'!$E$4:$E$353,IFERROR(MATCH(148,'كشف الحساب'!$N$4:$N$353,0),0))),"")</f>
        <v/>
      </c>
      <c r="F152" s="70" t="str">
        <f>IFERROR(IF(IFERROR(MATCH(148,'كشف الحساب'!$N$4:$N$353,0),0)=0,"",INDEX('كشف الحساب'!$F$4:$F$353,IFERROR(MATCH(148,'كشف الحساب'!$N$4:$N$353,0),0))),"")</f>
        <v/>
      </c>
      <c r="G152" s="70" t="str">
        <f>IFERROR(IF(IFERROR(MATCH(148,'كشف الحساب'!$N$4:$N$353,0),0)=0,"",INDEX('كشف الحساب'!$G$4:$G$353,IFERROR(MATCH(148,'كشف الحساب'!$N$4:$N$353,0),0))),"")</f>
        <v/>
      </c>
      <c r="H152" s="70" t="str">
        <f>IFERROR(IF(IFERROR(MATCH(148,'كشف الحساب'!$N$4:$N$353,0),0)=0,"",INDEX('كشف الحساب'!$H$4:$H$353,IFERROR(MATCH(148,'كشف الحساب'!$N$4:$N$353,0),0))),"")</f>
        <v/>
      </c>
      <c r="I152" s="70" t="str">
        <f>IFERROR(IF(IFERROR(MATCH(148,'كشف الحساب'!$N$4:$N$353,0),0)=0,"",INDEX('كشف الحساب'!$I$4:$I$353,IFERROR(MATCH(148,'كشف الحساب'!$N$4:$N$353,0),0))),"")</f>
        <v/>
      </c>
      <c r="J152" s="74" t="str">
        <f>IFERROR(IF(IFERROR(MATCH(148,'كشف الحساب'!$N$4:$N$353,0),0)=0,"",INDEX('كشف الحساب'!$J$4:$J$353,IFERROR(MATCH(148,'كشف الحساب'!$N$4:$N$353,0),0))),"")</f>
        <v/>
      </c>
      <c r="K152" s="70" t="str">
        <f>IFERROR(IF(IFERROR(MATCH(148,'كشف الحساب'!$N$4:$N$353,0),0)=0,"",INDEX('كشف الحساب'!$K$4:$K$353,IFERROR(MATCH(148,'كشف الحساب'!$N$4:$N$353,0),0))),"")</f>
        <v/>
      </c>
    </row>
    <row r="153" spans="1:11" ht="15" customHeight="1" x14ac:dyDescent="0.25">
      <c r="A153" s="63" t="str">
        <f>IFERROR(IF(IFERROR(MATCH(149,'كشف الحساب'!$N$4:$N$353,0),0)=0,"",INDEX('كشف الحساب'!$A$4:$A$353,IFERROR(MATCH(149,'كشف الحساب'!$N$4:$N$353,0),0))),"")</f>
        <v/>
      </c>
      <c r="B153" s="64" t="str">
        <f>IFERROR(IF(IFERROR(MATCH(149,'كشف الحساب'!$N$4:$N$353,0),0)=0,"",INDEX('كشف الحساب'!$B$4:$B$353,IFERROR(MATCH(149,'كشف الحساب'!$N$4:$N$353,0),0))),"")</f>
        <v/>
      </c>
      <c r="C153" s="65" t="str">
        <f>IFERROR(IF(IFERROR(MATCH(149,'كشف الحساب'!$N$4:$N$353,0),0)=0,"",INDEX('كشف الحساب'!$C$4:$C$353,IFERROR(MATCH(149,'كشف الحساب'!$N$4:$N$353,0),0))),"")</f>
        <v/>
      </c>
      <c r="D153" s="66" t="str">
        <f>IFERROR(IF(IFERROR(MATCH(149,'كشف الحساب'!$N$4:$N$353,0),0)=0,"",INDEX('كشف الحساب'!$D$4:$D$353,IFERROR(MATCH(149,'كشف الحساب'!$N$4:$N$353,0),0))),"")</f>
        <v/>
      </c>
      <c r="E153" s="67" t="str">
        <f>IFERROR(IF(IFERROR(MATCH(149,'كشف الحساب'!$N$4:$N$353,0),0)=0,"",INDEX('كشف الحساب'!$E$4:$E$353,IFERROR(MATCH(149,'كشف الحساب'!$N$4:$N$353,0),0))),"")</f>
        <v/>
      </c>
      <c r="F153" s="64" t="str">
        <f>IFERROR(IF(IFERROR(MATCH(149,'كشف الحساب'!$N$4:$N$353,0),0)=0,"",INDEX('كشف الحساب'!$F$4:$F$353,IFERROR(MATCH(149,'كشف الحساب'!$N$4:$N$353,0),0))),"")</f>
        <v/>
      </c>
      <c r="G153" s="64" t="str">
        <f>IFERROR(IF(IFERROR(MATCH(149,'كشف الحساب'!$N$4:$N$353,0),0)=0,"",INDEX('كشف الحساب'!$G$4:$G$353,IFERROR(MATCH(149,'كشف الحساب'!$N$4:$N$353,0),0))),"")</f>
        <v/>
      </c>
      <c r="H153" s="64" t="str">
        <f>IFERROR(IF(IFERROR(MATCH(149,'كشف الحساب'!$N$4:$N$353,0),0)=0,"",INDEX('كشف الحساب'!$H$4:$H$353,IFERROR(MATCH(149,'كشف الحساب'!$N$4:$N$353,0),0))),"")</f>
        <v/>
      </c>
      <c r="I153" s="64" t="str">
        <f>IFERROR(IF(IFERROR(MATCH(149,'كشف الحساب'!$N$4:$N$353,0),0)=0,"",INDEX('كشف الحساب'!$I$4:$I$353,IFERROR(MATCH(149,'كشف الحساب'!$N$4:$N$353,0),0))),"")</f>
        <v/>
      </c>
      <c r="J153" s="68" t="str">
        <f>IFERROR(IF(IFERROR(MATCH(149,'كشف الحساب'!$N$4:$N$353,0),0)=0,"",INDEX('كشف الحساب'!$J$4:$J$353,IFERROR(MATCH(149,'كشف الحساب'!$N$4:$N$353,0),0))),"")</f>
        <v/>
      </c>
      <c r="K153" s="64" t="str">
        <f>IFERROR(IF(IFERROR(MATCH(149,'كشف الحساب'!$N$4:$N$353,0),0)=0,"",INDEX('كشف الحساب'!$K$4:$K$353,IFERROR(MATCH(149,'كشف الحساب'!$N$4:$N$353,0),0))),"")</f>
        <v/>
      </c>
    </row>
    <row r="154" spans="1:11" ht="15" customHeight="1" x14ac:dyDescent="0.25">
      <c r="A154" s="69" t="str">
        <f>IFERROR(IF(IFERROR(MATCH(150,'كشف الحساب'!$N$4:$N$353,0),0)=0,"",INDEX('كشف الحساب'!$A$4:$A$353,IFERROR(MATCH(150,'كشف الحساب'!$N$4:$N$353,0),0))),"")</f>
        <v/>
      </c>
      <c r="B154" s="70" t="str">
        <f>IFERROR(IF(IFERROR(MATCH(150,'كشف الحساب'!$N$4:$N$353,0),0)=0,"",INDEX('كشف الحساب'!$B$4:$B$353,IFERROR(MATCH(150,'كشف الحساب'!$N$4:$N$353,0),0))),"")</f>
        <v/>
      </c>
      <c r="C154" s="71" t="str">
        <f>IFERROR(IF(IFERROR(MATCH(150,'كشف الحساب'!$N$4:$N$353,0),0)=0,"",INDEX('كشف الحساب'!$C$4:$C$353,IFERROR(MATCH(150,'كشف الحساب'!$N$4:$N$353,0),0))),"")</f>
        <v/>
      </c>
      <c r="D154" s="72" t="str">
        <f>IFERROR(IF(IFERROR(MATCH(150,'كشف الحساب'!$N$4:$N$353,0),0)=0,"",INDEX('كشف الحساب'!$D$4:$D$353,IFERROR(MATCH(150,'كشف الحساب'!$N$4:$N$353,0),0))),"")</f>
        <v/>
      </c>
      <c r="E154" s="73" t="str">
        <f>IFERROR(IF(IFERROR(MATCH(150,'كشف الحساب'!$N$4:$N$353,0),0)=0,"",INDEX('كشف الحساب'!$E$4:$E$353,IFERROR(MATCH(150,'كشف الحساب'!$N$4:$N$353,0),0))),"")</f>
        <v/>
      </c>
      <c r="F154" s="70" t="str">
        <f>IFERROR(IF(IFERROR(MATCH(150,'كشف الحساب'!$N$4:$N$353,0),0)=0,"",INDEX('كشف الحساب'!$F$4:$F$353,IFERROR(MATCH(150,'كشف الحساب'!$N$4:$N$353,0),0))),"")</f>
        <v/>
      </c>
      <c r="G154" s="70" t="str">
        <f>IFERROR(IF(IFERROR(MATCH(150,'كشف الحساب'!$N$4:$N$353,0),0)=0,"",INDEX('كشف الحساب'!$G$4:$G$353,IFERROR(MATCH(150,'كشف الحساب'!$N$4:$N$353,0),0))),"")</f>
        <v/>
      </c>
      <c r="H154" s="70" t="str">
        <f>IFERROR(IF(IFERROR(MATCH(150,'كشف الحساب'!$N$4:$N$353,0),0)=0,"",INDEX('كشف الحساب'!$H$4:$H$353,IFERROR(MATCH(150,'كشف الحساب'!$N$4:$N$353,0),0))),"")</f>
        <v/>
      </c>
      <c r="I154" s="70" t="str">
        <f>IFERROR(IF(IFERROR(MATCH(150,'كشف الحساب'!$N$4:$N$353,0),0)=0,"",INDEX('كشف الحساب'!$I$4:$I$353,IFERROR(MATCH(150,'كشف الحساب'!$N$4:$N$353,0),0))),"")</f>
        <v/>
      </c>
      <c r="J154" s="74" t="str">
        <f>IFERROR(IF(IFERROR(MATCH(150,'كشف الحساب'!$N$4:$N$353,0),0)=0,"",INDEX('كشف الحساب'!$J$4:$J$353,IFERROR(MATCH(150,'كشف الحساب'!$N$4:$N$353,0),0))),"")</f>
        <v/>
      </c>
      <c r="K154" s="70" t="str">
        <f>IFERROR(IF(IFERROR(MATCH(150,'كشف الحساب'!$N$4:$N$353,0),0)=0,"",INDEX('كشف الحساب'!$K$4:$K$353,IFERROR(MATCH(150,'كشف الحساب'!$N$4:$N$353,0),0))),"")</f>
        <v/>
      </c>
    </row>
    <row r="155" spans="1:11" ht="15" customHeight="1" x14ac:dyDescent="0.25">
      <c r="A155" s="63" t="str">
        <f>IFERROR(IF(IFERROR(MATCH(151,'كشف الحساب'!$N$4:$N$353,0),0)=0,"",INDEX('كشف الحساب'!$A$4:$A$353,IFERROR(MATCH(151,'كشف الحساب'!$N$4:$N$353,0),0))),"")</f>
        <v/>
      </c>
      <c r="B155" s="64" t="str">
        <f>IFERROR(IF(IFERROR(MATCH(151,'كشف الحساب'!$N$4:$N$353,0),0)=0,"",INDEX('كشف الحساب'!$B$4:$B$353,IFERROR(MATCH(151,'كشف الحساب'!$N$4:$N$353,0),0))),"")</f>
        <v/>
      </c>
      <c r="C155" s="65" t="str">
        <f>IFERROR(IF(IFERROR(MATCH(151,'كشف الحساب'!$N$4:$N$353,0),0)=0,"",INDEX('كشف الحساب'!$C$4:$C$353,IFERROR(MATCH(151,'كشف الحساب'!$N$4:$N$353,0),0))),"")</f>
        <v/>
      </c>
      <c r="D155" s="66" t="str">
        <f>IFERROR(IF(IFERROR(MATCH(151,'كشف الحساب'!$N$4:$N$353,0),0)=0,"",INDEX('كشف الحساب'!$D$4:$D$353,IFERROR(MATCH(151,'كشف الحساب'!$N$4:$N$353,0),0))),"")</f>
        <v/>
      </c>
      <c r="E155" s="67" t="str">
        <f>IFERROR(IF(IFERROR(MATCH(151,'كشف الحساب'!$N$4:$N$353,0),0)=0,"",INDEX('كشف الحساب'!$E$4:$E$353,IFERROR(MATCH(151,'كشف الحساب'!$N$4:$N$353,0),0))),"")</f>
        <v/>
      </c>
      <c r="F155" s="64" t="str">
        <f>IFERROR(IF(IFERROR(MATCH(151,'كشف الحساب'!$N$4:$N$353,0),0)=0,"",INDEX('كشف الحساب'!$F$4:$F$353,IFERROR(MATCH(151,'كشف الحساب'!$N$4:$N$353,0),0))),"")</f>
        <v/>
      </c>
      <c r="G155" s="64" t="str">
        <f>IFERROR(IF(IFERROR(MATCH(151,'كشف الحساب'!$N$4:$N$353,0),0)=0,"",INDEX('كشف الحساب'!$G$4:$G$353,IFERROR(MATCH(151,'كشف الحساب'!$N$4:$N$353,0),0))),"")</f>
        <v/>
      </c>
      <c r="H155" s="64" t="str">
        <f>IFERROR(IF(IFERROR(MATCH(151,'كشف الحساب'!$N$4:$N$353,0),0)=0,"",INDEX('كشف الحساب'!$H$4:$H$353,IFERROR(MATCH(151,'كشف الحساب'!$N$4:$N$353,0),0))),"")</f>
        <v/>
      </c>
      <c r="I155" s="64" t="str">
        <f>IFERROR(IF(IFERROR(MATCH(151,'كشف الحساب'!$N$4:$N$353,0),0)=0,"",INDEX('كشف الحساب'!$I$4:$I$353,IFERROR(MATCH(151,'كشف الحساب'!$N$4:$N$353,0),0))),"")</f>
        <v/>
      </c>
      <c r="J155" s="68" t="str">
        <f>IFERROR(IF(IFERROR(MATCH(151,'كشف الحساب'!$N$4:$N$353,0),0)=0,"",INDEX('كشف الحساب'!$J$4:$J$353,IFERROR(MATCH(151,'كشف الحساب'!$N$4:$N$353,0),0))),"")</f>
        <v/>
      </c>
      <c r="K155" s="64" t="str">
        <f>IFERROR(IF(IFERROR(MATCH(151,'كشف الحساب'!$N$4:$N$353,0),0)=0,"",INDEX('كشف الحساب'!$K$4:$K$353,IFERROR(MATCH(151,'كشف الحساب'!$N$4:$N$353,0),0))),"")</f>
        <v/>
      </c>
    </row>
    <row r="156" spans="1:11" ht="15" customHeight="1" x14ac:dyDescent="0.25">
      <c r="A156" s="69" t="str">
        <f>IFERROR(IF(IFERROR(MATCH(152,'كشف الحساب'!$N$4:$N$353,0),0)=0,"",INDEX('كشف الحساب'!$A$4:$A$353,IFERROR(MATCH(152,'كشف الحساب'!$N$4:$N$353,0),0))),"")</f>
        <v/>
      </c>
      <c r="B156" s="70" t="str">
        <f>IFERROR(IF(IFERROR(MATCH(152,'كشف الحساب'!$N$4:$N$353,0),0)=0,"",INDEX('كشف الحساب'!$B$4:$B$353,IFERROR(MATCH(152,'كشف الحساب'!$N$4:$N$353,0),0))),"")</f>
        <v/>
      </c>
      <c r="C156" s="71" t="str">
        <f>IFERROR(IF(IFERROR(MATCH(152,'كشف الحساب'!$N$4:$N$353,0),0)=0,"",INDEX('كشف الحساب'!$C$4:$C$353,IFERROR(MATCH(152,'كشف الحساب'!$N$4:$N$353,0),0))),"")</f>
        <v/>
      </c>
      <c r="D156" s="72" t="str">
        <f>IFERROR(IF(IFERROR(MATCH(152,'كشف الحساب'!$N$4:$N$353,0),0)=0,"",INDEX('كشف الحساب'!$D$4:$D$353,IFERROR(MATCH(152,'كشف الحساب'!$N$4:$N$353,0),0))),"")</f>
        <v/>
      </c>
      <c r="E156" s="73" t="str">
        <f>IFERROR(IF(IFERROR(MATCH(152,'كشف الحساب'!$N$4:$N$353,0),0)=0,"",INDEX('كشف الحساب'!$E$4:$E$353,IFERROR(MATCH(152,'كشف الحساب'!$N$4:$N$353,0),0))),"")</f>
        <v/>
      </c>
      <c r="F156" s="70" t="str">
        <f>IFERROR(IF(IFERROR(MATCH(152,'كشف الحساب'!$N$4:$N$353,0),0)=0,"",INDEX('كشف الحساب'!$F$4:$F$353,IFERROR(MATCH(152,'كشف الحساب'!$N$4:$N$353,0),0))),"")</f>
        <v/>
      </c>
      <c r="G156" s="70" t="str">
        <f>IFERROR(IF(IFERROR(MATCH(152,'كشف الحساب'!$N$4:$N$353,0),0)=0,"",INDEX('كشف الحساب'!$G$4:$G$353,IFERROR(MATCH(152,'كشف الحساب'!$N$4:$N$353,0),0))),"")</f>
        <v/>
      </c>
      <c r="H156" s="70" t="str">
        <f>IFERROR(IF(IFERROR(MATCH(152,'كشف الحساب'!$N$4:$N$353,0),0)=0,"",INDEX('كشف الحساب'!$H$4:$H$353,IFERROR(MATCH(152,'كشف الحساب'!$N$4:$N$353,0),0))),"")</f>
        <v/>
      </c>
      <c r="I156" s="70" t="str">
        <f>IFERROR(IF(IFERROR(MATCH(152,'كشف الحساب'!$N$4:$N$353,0),0)=0,"",INDEX('كشف الحساب'!$I$4:$I$353,IFERROR(MATCH(152,'كشف الحساب'!$N$4:$N$353,0),0))),"")</f>
        <v/>
      </c>
      <c r="J156" s="74" t="str">
        <f>IFERROR(IF(IFERROR(MATCH(152,'كشف الحساب'!$N$4:$N$353,0),0)=0,"",INDEX('كشف الحساب'!$J$4:$J$353,IFERROR(MATCH(152,'كشف الحساب'!$N$4:$N$353,0),0))),"")</f>
        <v/>
      </c>
      <c r="K156" s="70" t="str">
        <f>IFERROR(IF(IFERROR(MATCH(152,'كشف الحساب'!$N$4:$N$353,0),0)=0,"",INDEX('كشف الحساب'!$K$4:$K$353,IFERROR(MATCH(152,'كشف الحساب'!$N$4:$N$353,0),0))),"")</f>
        <v/>
      </c>
    </row>
    <row r="157" spans="1:11" ht="15" customHeight="1" x14ac:dyDescent="0.25">
      <c r="A157" s="63" t="str">
        <f>IFERROR(IF(IFERROR(MATCH(153,'كشف الحساب'!$N$4:$N$353,0),0)=0,"",INDEX('كشف الحساب'!$A$4:$A$353,IFERROR(MATCH(153,'كشف الحساب'!$N$4:$N$353,0),0))),"")</f>
        <v/>
      </c>
      <c r="B157" s="64" t="str">
        <f>IFERROR(IF(IFERROR(MATCH(153,'كشف الحساب'!$N$4:$N$353,0),0)=0,"",INDEX('كشف الحساب'!$B$4:$B$353,IFERROR(MATCH(153,'كشف الحساب'!$N$4:$N$353,0),0))),"")</f>
        <v/>
      </c>
      <c r="C157" s="65" t="str">
        <f>IFERROR(IF(IFERROR(MATCH(153,'كشف الحساب'!$N$4:$N$353,0),0)=0,"",INDEX('كشف الحساب'!$C$4:$C$353,IFERROR(MATCH(153,'كشف الحساب'!$N$4:$N$353,0),0))),"")</f>
        <v/>
      </c>
      <c r="D157" s="66" t="str">
        <f>IFERROR(IF(IFERROR(MATCH(153,'كشف الحساب'!$N$4:$N$353,0),0)=0,"",INDEX('كشف الحساب'!$D$4:$D$353,IFERROR(MATCH(153,'كشف الحساب'!$N$4:$N$353,0),0))),"")</f>
        <v/>
      </c>
      <c r="E157" s="67" t="str">
        <f>IFERROR(IF(IFERROR(MATCH(153,'كشف الحساب'!$N$4:$N$353,0),0)=0,"",INDEX('كشف الحساب'!$E$4:$E$353,IFERROR(MATCH(153,'كشف الحساب'!$N$4:$N$353,0),0))),"")</f>
        <v/>
      </c>
      <c r="F157" s="64" t="str">
        <f>IFERROR(IF(IFERROR(MATCH(153,'كشف الحساب'!$N$4:$N$353,0),0)=0,"",INDEX('كشف الحساب'!$F$4:$F$353,IFERROR(MATCH(153,'كشف الحساب'!$N$4:$N$353,0),0))),"")</f>
        <v/>
      </c>
      <c r="G157" s="64" t="str">
        <f>IFERROR(IF(IFERROR(MATCH(153,'كشف الحساب'!$N$4:$N$353,0),0)=0,"",INDEX('كشف الحساب'!$G$4:$G$353,IFERROR(MATCH(153,'كشف الحساب'!$N$4:$N$353,0),0))),"")</f>
        <v/>
      </c>
      <c r="H157" s="64" t="str">
        <f>IFERROR(IF(IFERROR(MATCH(153,'كشف الحساب'!$N$4:$N$353,0),0)=0,"",INDEX('كشف الحساب'!$H$4:$H$353,IFERROR(MATCH(153,'كشف الحساب'!$N$4:$N$353,0),0))),"")</f>
        <v/>
      </c>
      <c r="I157" s="64" t="str">
        <f>IFERROR(IF(IFERROR(MATCH(153,'كشف الحساب'!$N$4:$N$353,0),0)=0,"",INDEX('كشف الحساب'!$I$4:$I$353,IFERROR(MATCH(153,'كشف الحساب'!$N$4:$N$353,0),0))),"")</f>
        <v/>
      </c>
      <c r="J157" s="68" t="str">
        <f>IFERROR(IF(IFERROR(MATCH(153,'كشف الحساب'!$N$4:$N$353,0),0)=0,"",INDEX('كشف الحساب'!$J$4:$J$353,IFERROR(MATCH(153,'كشف الحساب'!$N$4:$N$353,0),0))),"")</f>
        <v/>
      </c>
      <c r="K157" s="64" t="str">
        <f>IFERROR(IF(IFERROR(MATCH(153,'كشف الحساب'!$N$4:$N$353,0),0)=0,"",INDEX('كشف الحساب'!$K$4:$K$353,IFERROR(MATCH(153,'كشف الحساب'!$N$4:$N$353,0),0))),"")</f>
        <v/>
      </c>
    </row>
    <row r="158" spans="1:11" ht="15" customHeight="1" x14ac:dyDescent="0.25">
      <c r="A158" s="69" t="str">
        <f>IFERROR(IF(IFERROR(MATCH(154,'كشف الحساب'!$N$4:$N$353,0),0)=0,"",INDEX('كشف الحساب'!$A$4:$A$353,IFERROR(MATCH(154,'كشف الحساب'!$N$4:$N$353,0),0))),"")</f>
        <v/>
      </c>
      <c r="B158" s="70" t="str">
        <f>IFERROR(IF(IFERROR(MATCH(154,'كشف الحساب'!$N$4:$N$353,0),0)=0,"",INDEX('كشف الحساب'!$B$4:$B$353,IFERROR(MATCH(154,'كشف الحساب'!$N$4:$N$353,0),0))),"")</f>
        <v/>
      </c>
      <c r="C158" s="71" t="str">
        <f>IFERROR(IF(IFERROR(MATCH(154,'كشف الحساب'!$N$4:$N$353,0),0)=0,"",INDEX('كشف الحساب'!$C$4:$C$353,IFERROR(MATCH(154,'كشف الحساب'!$N$4:$N$353,0),0))),"")</f>
        <v/>
      </c>
      <c r="D158" s="72" t="str">
        <f>IFERROR(IF(IFERROR(MATCH(154,'كشف الحساب'!$N$4:$N$353,0),0)=0,"",INDEX('كشف الحساب'!$D$4:$D$353,IFERROR(MATCH(154,'كشف الحساب'!$N$4:$N$353,0),0))),"")</f>
        <v/>
      </c>
      <c r="E158" s="73" t="str">
        <f>IFERROR(IF(IFERROR(MATCH(154,'كشف الحساب'!$N$4:$N$353,0),0)=0,"",INDEX('كشف الحساب'!$E$4:$E$353,IFERROR(MATCH(154,'كشف الحساب'!$N$4:$N$353,0),0))),"")</f>
        <v/>
      </c>
      <c r="F158" s="70" t="str">
        <f>IFERROR(IF(IFERROR(MATCH(154,'كشف الحساب'!$N$4:$N$353,0),0)=0,"",INDEX('كشف الحساب'!$F$4:$F$353,IFERROR(MATCH(154,'كشف الحساب'!$N$4:$N$353,0),0))),"")</f>
        <v/>
      </c>
      <c r="G158" s="70" t="str">
        <f>IFERROR(IF(IFERROR(MATCH(154,'كشف الحساب'!$N$4:$N$353,0),0)=0,"",INDEX('كشف الحساب'!$G$4:$G$353,IFERROR(MATCH(154,'كشف الحساب'!$N$4:$N$353,0),0))),"")</f>
        <v/>
      </c>
      <c r="H158" s="70" t="str">
        <f>IFERROR(IF(IFERROR(MATCH(154,'كشف الحساب'!$N$4:$N$353,0),0)=0,"",INDEX('كشف الحساب'!$H$4:$H$353,IFERROR(MATCH(154,'كشف الحساب'!$N$4:$N$353,0),0))),"")</f>
        <v/>
      </c>
      <c r="I158" s="70" t="str">
        <f>IFERROR(IF(IFERROR(MATCH(154,'كشف الحساب'!$N$4:$N$353,0),0)=0,"",INDEX('كشف الحساب'!$I$4:$I$353,IFERROR(MATCH(154,'كشف الحساب'!$N$4:$N$353,0),0))),"")</f>
        <v/>
      </c>
      <c r="J158" s="74" t="str">
        <f>IFERROR(IF(IFERROR(MATCH(154,'كشف الحساب'!$N$4:$N$353,0),0)=0,"",INDEX('كشف الحساب'!$J$4:$J$353,IFERROR(MATCH(154,'كشف الحساب'!$N$4:$N$353,0),0))),"")</f>
        <v/>
      </c>
      <c r="K158" s="70" t="str">
        <f>IFERROR(IF(IFERROR(MATCH(154,'كشف الحساب'!$N$4:$N$353,0),0)=0,"",INDEX('كشف الحساب'!$K$4:$K$353,IFERROR(MATCH(154,'كشف الحساب'!$N$4:$N$353,0),0))),"")</f>
        <v/>
      </c>
    </row>
    <row r="159" spans="1:11" ht="15" customHeight="1" x14ac:dyDescent="0.25">
      <c r="A159" s="63" t="str">
        <f>IFERROR(IF(IFERROR(MATCH(155,'كشف الحساب'!$N$4:$N$353,0),0)=0,"",INDEX('كشف الحساب'!$A$4:$A$353,IFERROR(MATCH(155,'كشف الحساب'!$N$4:$N$353,0),0))),"")</f>
        <v/>
      </c>
      <c r="B159" s="64" t="str">
        <f>IFERROR(IF(IFERROR(MATCH(155,'كشف الحساب'!$N$4:$N$353,0),0)=0,"",INDEX('كشف الحساب'!$B$4:$B$353,IFERROR(MATCH(155,'كشف الحساب'!$N$4:$N$353,0),0))),"")</f>
        <v/>
      </c>
      <c r="C159" s="65" t="str">
        <f>IFERROR(IF(IFERROR(MATCH(155,'كشف الحساب'!$N$4:$N$353,0),0)=0,"",INDEX('كشف الحساب'!$C$4:$C$353,IFERROR(MATCH(155,'كشف الحساب'!$N$4:$N$353,0),0))),"")</f>
        <v/>
      </c>
      <c r="D159" s="66" t="str">
        <f>IFERROR(IF(IFERROR(MATCH(155,'كشف الحساب'!$N$4:$N$353,0),0)=0,"",INDEX('كشف الحساب'!$D$4:$D$353,IFERROR(MATCH(155,'كشف الحساب'!$N$4:$N$353,0),0))),"")</f>
        <v/>
      </c>
      <c r="E159" s="67" t="str">
        <f>IFERROR(IF(IFERROR(MATCH(155,'كشف الحساب'!$N$4:$N$353,0),0)=0,"",INDEX('كشف الحساب'!$E$4:$E$353,IFERROR(MATCH(155,'كشف الحساب'!$N$4:$N$353,0),0))),"")</f>
        <v/>
      </c>
      <c r="F159" s="64" t="str">
        <f>IFERROR(IF(IFERROR(MATCH(155,'كشف الحساب'!$N$4:$N$353,0),0)=0,"",INDEX('كشف الحساب'!$F$4:$F$353,IFERROR(MATCH(155,'كشف الحساب'!$N$4:$N$353,0),0))),"")</f>
        <v/>
      </c>
      <c r="G159" s="64" t="str">
        <f>IFERROR(IF(IFERROR(MATCH(155,'كشف الحساب'!$N$4:$N$353,0),0)=0,"",INDEX('كشف الحساب'!$G$4:$G$353,IFERROR(MATCH(155,'كشف الحساب'!$N$4:$N$353,0),0))),"")</f>
        <v/>
      </c>
      <c r="H159" s="64" t="str">
        <f>IFERROR(IF(IFERROR(MATCH(155,'كشف الحساب'!$N$4:$N$353,0),0)=0,"",INDEX('كشف الحساب'!$H$4:$H$353,IFERROR(MATCH(155,'كشف الحساب'!$N$4:$N$353,0),0))),"")</f>
        <v/>
      </c>
      <c r="I159" s="64" t="str">
        <f>IFERROR(IF(IFERROR(MATCH(155,'كشف الحساب'!$N$4:$N$353,0),0)=0,"",INDEX('كشف الحساب'!$I$4:$I$353,IFERROR(MATCH(155,'كشف الحساب'!$N$4:$N$353,0),0))),"")</f>
        <v/>
      </c>
      <c r="J159" s="68" t="str">
        <f>IFERROR(IF(IFERROR(MATCH(155,'كشف الحساب'!$N$4:$N$353,0),0)=0,"",INDEX('كشف الحساب'!$J$4:$J$353,IFERROR(MATCH(155,'كشف الحساب'!$N$4:$N$353,0),0))),"")</f>
        <v/>
      </c>
      <c r="K159" s="64" t="str">
        <f>IFERROR(IF(IFERROR(MATCH(155,'كشف الحساب'!$N$4:$N$353,0),0)=0,"",INDEX('كشف الحساب'!$K$4:$K$353,IFERROR(MATCH(155,'كشف الحساب'!$N$4:$N$353,0),0))),"")</f>
        <v/>
      </c>
    </row>
    <row r="160" spans="1:11" ht="15" customHeight="1" x14ac:dyDescent="0.25">
      <c r="A160" s="69" t="str">
        <f>IFERROR(IF(IFERROR(MATCH(156,'كشف الحساب'!$N$4:$N$353,0),0)=0,"",INDEX('كشف الحساب'!$A$4:$A$353,IFERROR(MATCH(156,'كشف الحساب'!$N$4:$N$353,0),0))),"")</f>
        <v/>
      </c>
      <c r="B160" s="70" t="str">
        <f>IFERROR(IF(IFERROR(MATCH(156,'كشف الحساب'!$N$4:$N$353,0),0)=0,"",INDEX('كشف الحساب'!$B$4:$B$353,IFERROR(MATCH(156,'كشف الحساب'!$N$4:$N$353,0),0))),"")</f>
        <v/>
      </c>
      <c r="C160" s="71" t="str">
        <f>IFERROR(IF(IFERROR(MATCH(156,'كشف الحساب'!$N$4:$N$353,0),0)=0,"",INDEX('كشف الحساب'!$C$4:$C$353,IFERROR(MATCH(156,'كشف الحساب'!$N$4:$N$353,0),0))),"")</f>
        <v/>
      </c>
      <c r="D160" s="72" t="str">
        <f>IFERROR(IF(IFERROR(MATCH(156,'كشف الحساب'!$N$4:$N$353,0),0)=0,"",INDEX('كشف الحساب'!$D$4:$D$353,IFERROR(MATCH(156,'كشف الحساب'!$N$4:$N$353,0),0))),"")</f>
        <v/>
      </c>
      <c r="E160" s="73" t="str">
        <f>IFERROR(IF(IFERROR(MATCH(156,'كشف الحساب'!$N$4:$N$353,0),0)=0,"",INDEX('كشف الحساب'!$E$4:$E$353,IFERROR(MATCH(156,'كشف الحساب'!$N$4:$N$353,0),0))),"")</f>
        <v/>
      </c>
      <c r="F160" s="70" t="str">
        <f>IFERROR(IF(IFERROR(MATCH(156,'كشف الحساب'!$N$4:$N$353,0),0)=0,"",INDEX('كشف الحساب'!$F$4:$F$353,IFERROR(MATCH(156,'كشف الحساب'!$N$4:$N$353,0),0))),"")</f>
        <v/>
      </c>
      <c r="G160" s="70" t="str">
        <f>IFERROR(IF(IFERROR(MATCH(156,'كشف الحساب'!$N$4:$N$353,0),0)=0,"",INDEX('كشف الحساب'!$G$4:$G$353,IFERROR(MATCH(156,'كشف الحساب'!$N$4:$N$353,0),0))),"")</f>
        <v/>
      </c>
      <c r="H160" s="70" t="str">
        <f>IFERROR(IF(IFERROR(MATCH(156,'كشف الحساب'!$N$4:$N$353,0),0)=0,"",INDEX('كشف الحساب'!$H$4:$H$353,IFERROR(MATCH(156,'كشف الحساب'!$N$4:$N$353,0),0))),"")</f>
        <v/>
      </c>
      <c r="I160" s="70" t="str">
        <f>IFERROR(IF(IFERROR(MATCH(156,'كشف الحساب'!$N$4:$N$353,0),0)=0,"",INDEX('كشف الحساب'!$I$4:$I$353,IFERROR(MATCH(156,'كشف الحساب'!$N$4:$N$353,0),0))),"")</f>
        <v/>
      </c>
      <c r="J160" s="74" t="str">
        <f>IFERROR(IF(IFERROR(MATCH(156,'كشف الحساب'!$N$4:$N$353,0),0)=0,"",INDEX('كشف الحساب'!$J$4:$J$353,IFERROR(MATCH(156,'كشف الحساب'!$N$4:$N$353,0),0))),"")</f>
        <v/>
      </c>
      <c r="K160" s="70" t="str">
        <f>IFERROR(IF(IFERROR(MATCH(156,'كشف الحساب'!$N$4:$N$353,0),0)=0,"",INDEX('كشف الحساب'!$K$4:$K$353,IFERROR(MATCH(156,'كشف الحساب'!$N$4:$N$353,0),0))),"")</f>
        <v/>
      </c>
    </row>
    <row r="161" spans="1:11" ht="15" customHeight="1" x14ac:dyDescent="0.25">
      <c r="A161" s="63" t="str">
        <f>IFERROR(IF(IFERROR(MATCH(157,'كشف الحساب'!$N$4:$N$353,0),0)=0,"",INDEX('كشف الحساب'!$A$4:$A$353,IFERROR(MATCH(157,'كشف الحساب'!$N$4:$N$353,0),0))),"")</f>
        <v/>
      </c>
      <c r="B161" s="64" t="str">
        <f>IFERROR(IF(IFERROR(MATCH(157,'كشف الحساب'!$N$4:$N$353,0),0)=0,"",INDEX('كشف الحساب'!$B$4:$B$353,IFERROR(MATCH(157,'كشف الحساب'!$N$4:$N$353,0),0))),"")</f>
        <v/>
      </c>
      <c r="C161" s="65" t="str">
        <f>IFERROR(IF(IFERROR(MATCH(157,'كشف الحساب'!$N$4:$N$353,0),0)=0,"",INDEX('كشف الحساب'!$C$4:$C$353,IFERROR(MATCH(157,'كشف الحساب'!$N$4:$N$353,0),0))),"")</f>
        <v/>
      </c>
      <c r="D161" s="66" t="str">
        <f>IFERROR(IF(IFERROR(MATCH(157,'كشف الحساب'!$N$4:$N$353,0),0)=0,"",INDEX('كشف الحساب'!$D$4:$D$353,IFERROR(MATCH(157,'كشف الحساب'!$N$4:$N$353,0),0))),"")</f>
        <v/>
      </c>
      <c r="E161" s="67" t="str">
        <f>IFERROR(IF(IFERROR(MATCH(157,'كشف الحساب'!$N$4:$N$353,0),0)=0,"",INDEX('كشف الحساب'!$E$4:$E$353,IFERROR(MATCH(157,'كشف الحساب'!$N$4:$N$353,0),0))),"")</f>
        <v/>
      </c>
      <c r="F161" s="64" t="str">
        <f>IFERROR(IF(IFERROR(MATCH(157,'كشف الحساب'!$N$4:$N$353,0),0)=0,"",INDEX('كشف الحساب'!$F$4:$F$353,IFERROR(MATCH(157,'كشف الحساب'!$N$4:$N$353,0),0))),"")</f>
        <v/>
      </c>
      <c r="G161" s="64" t="str">
        <f>IFERROR(IF(IFERROR(MATCH(157,'كشف الحساب'!$N$4:$N$353,0),0)=0,"",INDEX('كشف الحساب'!$G$4:$G$353,IFERROR(MATCH(157,'كشف الحساب'!$N$4:$N$353,0),0))),"")</f>
        <v/>
      </c>
      <c r="H161" s="64" t="str">
        <f>IFERROR(IF(IFERROR(MATCH(157,'كشف الحساب'!$N$4:$N$353,0),0)=0,"",INDEX('كشف الحساب'!$H$4:$H$353,IFERROR(MATCH(157,'كشف الحساب'!$N$4:$N$353,0),0))),"")</f>
        <v/>
      </c>
      <c r="I161" s="64" t="str">
        <f>IFERROR(IF(IFERROR(MATCH(157,'كشف الحساب'!$N$4:$N$353,0),0)=0,"",INDEX('كشف الحساب'!$I$4:$I$353,IFERROR(MATCH(157,'كشف الحساب'!$N$4:$N$353,0),0))),"")</f>
        <v/>
      </c>
      <c r="J161" s="68" t="str">
        <f>IFERROR(IF(IFERROR(MATCH(157,'كشف الحساب'!$N$4:$N$353,0),0)=0,"",INDEX('كشف الحساب'!$J$4:$J$353,IFERROR(MATCH(157,'كشف الحساب'!$N$4:$N$353,0),0))),"")</f>
        <v/>
      </c>
      <c r="K161" s="64" t="str">
        <f>IFERROR(IF(IFERROR(MATCH(157,'كشف الحساب'!$N$4:$N$353,0),0)=0,"",INDEX('كشف الحساب'!$K$4:$K$353,IFERROR(MATCH(157,'كشف الحساب'!$N$4:$N$353,0),0))),"")</f>
        <v/>
      </c>
    </row>
    <row r="162" spans="1:11" ht="15" customHeight="1" x14ac:dyDescent="0.25">
      <c r="A162" s="69" t="str">
        <f>IFERROR(IF(IFERROR(MATCH(158,'كشف الحساب'!$N$4:$N$353,0),0)=0,"",INDEX('كشف الحساب'!$A$4:$A$353,IFERROR(MATCH(158,'كشف الحساب'!$N$4:$N$353,0),0))),"")</f>
        <v/>
      </c>
      <c r="B162" s="70" t="str">
        <f>IFERROR(IF(IFERROR(MATCH(158,'كشف الحساب'!$N$4:$N$353,0),0)=0,"",INDEX('كشف الحساب'!$B$4:$B$353,IFERROR(MATCH(158,'كشف الحساب'!$N$4:$N$353,0),0))),"")</f>
        <v/>
      </c>
      <c r="C162" s="71" t="str">
        <f>IFERROR(IF(IFERROR(MATCH(158,'كشف الحساب'!$N$4:$N$353,0),0)=0,"",INDEX('كشف الحساب'!$C$4:$C$353,IFERROR(MATCH(158,'كشف الحساب'!$N$4:$N$353,0),0))),"")</f>
        <v/>
      </c>
      <c r="D162" s="72" t="str">
        <f>IFERROR(IF(IFERROR(MATCH(158,'كشف الحساب'!$N$4:$N$353,0),0)=0,"",INDEX('كشف الحساب'!$D$4:$D$353,IFERROR(MATCH(158,'كشف الحساب'!$N$4:$N$353,0),0))),"")</f>
        <v/>
      </c>
      <c r="E162" s="73" t="str">
        <f>IFERROR(IF(IFERROR(MATCH(158,'كشف الحساب'!$N$4:$N$353,0),0)=0,"",INDEX('كشف الحساب'!$E$4:$E$353,IFERROR(MATCH(158,'كشف الحساب'!$N$4:$N$353,0),0))),"")</f>
        <v/>
      </c>
      <c r="F162" s="70" t="str">
        <f>IFERROR(IF(IFERROR(MATCH(158,'كشف الحساب'!$N$4:$N$353,0),0)=0,"",INDEX('كشف الحساب'!$F$4:$F$353,IFERROR(MATCH(158,'كشف الحساب'!$N$4:$N$353,0),0))),"")</f>
        <v/>
      </c>
      <c r="G162" s="70" t="str">
        <f>IFERROR(IF(IFERROR(MATCH(158,'كشف الحساب'!$N$4:$N$353,0),0)=0,"",INDEX('كشف الحساب'!$G$4:$G$353,IFERROR(MATCH(158,'كشف الحساب'!$N$4:$N$353,0),0))),"")</f>
        <v/>
      </c>
      <c r="H162" s="70" t="str">
        <f>IFERROR(IF(IFERROR(MATCH(158,'كشف الحساب'!$N$4:$N$353,0),0)=0,"",INDEX('كشف الحساب'!$H$4:$H$353,IFERROR(MATCH(158,'كشف الحساب'!$N$4:$N$353,0),0))),"")</f>
        <v/>
      </c>
      <c r="I162" s="70" t="str">
        <f>IFERROR(IF(IFERROR(MATCH(158,'كشف الحساب'!$N$4:$N$353,0),0)=0,"",INDEX('كشف الحساب'!$I$4:$I$353,IFERROR(MATCH(158,'كشف الحساب'!$N$4:$N$353,0),0))),"")</f>
        <v/>
      </c>
      <c r="J162" s="74" t="str">
        <f>IFERROR(IF(IFERROR(MATCH(158,'كشف الحساب'!$N$4:$N$353,0),0)=0,"",INDEX('كشف الحساب'!$J$4:$J$353,IFERROR(MATCH(158,'كشف الحساب'!$N$4:$N$353,0),0))),"")</f>
        <v/>
      </c>
      <c r="K162" s="70" t="str">
        <f>IFERROR(IF(IFERROR(MATCH(158,'كشف الحساب'!$N$4:$N$353,0),0)=0,"",INDEX('كشف الحساب'!$K$4:$K$353,IFERROR(MATCH(158,'كشف الحساب'!$N$4:$N$353,0),0))),"")</f>
        <v/>
      </c>
    </row>
    <row r="163" spans="1:11" ht="15" customHeight="1" x14ac:dyDescent="0.25">
      <c r="A163" s="63" t="str">
        <f>IFERROR(IF(IFERROR(MATCH(159,'كشف الحساب'!$N$4:$N$353,0),0)=0,"",INDEX('كشف الحساب'!$A$4:$A$353,IFERROR(MATCH(159,'كشف الحساب'!$N$4:$N$353,0),0))),"")</f>
        <v/>
      </c>
      <c r="B163" s="64" t="str">
        <f>IFERROR(IF(IFERROR(MATCH(159,'كشف الحساب'!$N$4:$N$353,0),0)=0,"",INDEX('كشف الحساب'!$B$4:$B$353,IFERROR(MATCH(159,'كشف الحساب'!$N$4:$N$353,0),0))),"")</f>
        <v/>
      </c>
      <c r="C163" s="65" t="str">
        <f>IFERROR(IF(IFERROR(MATCH(159,'كشف الحساب'!$N$4:$N$353,0),0)=0,"",INDEX('كشف الحساب'!$C$4:$C$353,IFERROR(MATCH(159,'كشف الحساب'!$N$4:$N$353,0),0))),"")</f>
        <v/>
      </c>
      <c r="D163" s="66" t="str">
        <f>IFERROR(IF(IFERROR(MATCH(159,'كشف الحساب'!$N$4:$N$353,0),0)=0,"",INDEX('كشف الحساب'!$D$4:$D$353,IFERROR(MATCH(159,'كشف الحساب'!$N$4:$N$353,0),0))),"")</f>
        <v/>
      </c>
      <c r="E163" s="67" t="str">
        <f>IFERROR(IF(IFERROR(MATCH(159,'كشف الحساب'!$N$4:$N$353,0),0)=0,"",INDEX('كشف الحساب'!$E$4:$E$353,IFERROR(MATCH(159,'كشف الحساب'!$N$4:$N$353,0),0))),"")</f>
        <v/>
      </c>
      <c r="F163" s="64" t="str">
        <f>IFERROR(IF(IFERROR(MATCH(159,'كشف الحساب'!$N$4:$N$353,0),0)=0,"",INDEX('كشف الحساب'!$F$4:$F$353,IFERROR(MATCH(159,'كشف الحساب'!$N$4:$N$353,0),0))),"")</f>
        <v/>
      </c>
      <c r="G163" s="64" t="str">
        <f>IFERROR(IF(IFERROR(MATCH(159,'كشف الحساب'!$N$4:$N$353,0),0)=0,"",INDEX('كشف الحساب'!$G$4:$G$353,IFERROR(MATCH(159,'كشف الحساب'!$N$4:$N$353,0),0))),"")</f>
        <v/>
      </c>
      <c r="H163" s="64" t="str">
        <f>IFERROR(IF(IFERROR(MATCH(159,'كشف الحساب'!$N$4:$N$353,0),0)=0,"",INDEX('كشف الحساب'!$H$4:$H$353,IFERROR(MATCH(159,'كشف الحساب'!$N$4:$N$353,0),0))),"")</f>
        <v/>
      </c>
      <c r="I163" s="64" t="str">
        <f>IFERROR(IF(IFERROR(MATCH(159,'كشف الحساب'!$N$4:$N$353,0),0)=0,"",INDEX('كشف الحساب'!$I$4:$I$353,IFERROR(MATCH(159,'كشف الحساب'!$N$4:$N$353,0),0))),"")</f>
        <v/>
      </c>
      <c r="J163" s="68" t="str">
        <f>IFERROR(IF(IFERROR(MATCH(159,'كشف الحساب'!$N$4:$N$353,0),0)=0,"",INDEX('كشف الحساب'!$J$4:$J$353,IFERROR(MATCH(159,'كشف الحساب'!$N$4:$N$353,0),0))),"")</f>
        <v/>
      </c>
      <c r="K163" s="64" t="str">
        <f>IFERROR(IF(IFERROR(MATCH(159,'كشف الحساب'!$N$4:$N$353,0),0)=0,"",INDEX('كشف الحساب'!$K$4:$K$353,IFERROR(MATCH(159,'كشف الحساب'!$N$4:$N$353,0),0))),"")</f>
        <v/>
      </c>
    </row>
    <row r="164" spans="1:11" ht="15" customHeight="1" x14ac:dyDescent="0.25">
      <c r="A164" s="69" t="str">
        <f>IFERROR(IF(IFERROR(MATCH(160,'كشف الحساب'!$N$4:$N$353,0),0)=0,"",INDEX('كشف الحساب'!$A$4:$A$353,IFERROR(MATCH(160,'كشف الحساب'!$N$4:$N$353,0),0))),"")</f>
        <v/>
      </c>
      <c r="B164" s="70" t="str">
        <f>IFERROR(IF(IFERROR(MATCH(160,'كشف الحساب'!$N$4:$N$353,0),0)=0,"",INDEX('كشف الحساب'!$B$4:$B$353,IFERROR(MATCH(160,'كشف الحساب'!$N$4:$N$353,0),0))),"")</f>
        <v/>
      </c>
      <c r="C164" s="71" t="str">
        <f>IFERROR(IF(IFERROR(MATCH(160,'كشف الحساب'!$N$4:$N$353,0),0)=0,"",INDEX('كشف الحساب'!$C$4:$C$353,IFERROR(MATCH(160,'كشف الحساب'!$N$4:$N$353,0),0))),"")</f>
        <v/>
      </c>
      <c r="D164" s="72" t="str">
        <f>IFERROR(IF(IFERROR(MATCH(160,'كشف الحساب'!$N$4:$N$353,0),0)=0,"",INDEX('كشف الحساب'!$D$4:$D$353,IFERROR(MATCH(160,'كشف الحساب'!$N$4:$N$353,0),0))),"")</f>
        <v/>
      </c>
      <c r="E164" s="73" t="str">
        <f>IFERROR(IF(IFERROR(MATCH(160,'كشف الحساب'!$N$4:$N$353,0),0)=0,"",INDEX('كشف الحساب'!$E$4:$E$353,IFERROR(MATCH(160,'كشف الحساب'!$N$4:$N$353,0),0))),"")</f>
        <v/>
      </c>
      <c r="F164" s="70" t="str">
        <f>IFERROR(IF(IFERROR(MATCH(160,'كشف الحساب'!$N$4:$N$353,0),0)=0,"",INDEX('كشف الحساب'!$F$4:$F$353,IFERROR(MATCH(160,'كشف الحساب'!$N$4:$N$353,0),0))),"")</f>
        <v/>
      </c>
      <c r="G164" s="70" t="str">
        <f>IFERROR(IF(IFERROR(MATCH(160,'كشف الحساب'!$N$4:$N$353,0),0)=0,"",INDEX('كشف الحساب'!$G$4:$G$353,IFERROR(MATCH(160,'كشف الحساب'!$N$4:$N$353,0),0))),"")</f>
        <v/>
      </c>
      <c r="H164" s="70" t="str">
        <f>IFERROR(IF(IFERROR(MATCH(160,'كشف الحساب'!$N$4:$N$353,0),0)=0,"",INDEX('كشف الحساب'!$H$4:$H$353,IFERROR(MATCH(160,'كشف الحساب'!$N$4:$N$353,0),0))),"")</f>
        <v/>
      </c>
      <c r="I164" s="70" t="str">
        <f>IFERROR(IF(IFERROR(MATCH(160,'كشف الحساب'!$N$4:$N$353,0),0)=0,"",INDEX('كشف الحساب'!$I$4:$I$353,IFERROR(MATCH(160,'كشف الحساب'!$N$4:$N$353,0),0))),"")</f>
        <v/>
      </c>
      <c r="J164" s="74" t="str">
        <f>IFERROR(IF(IFERROR(MATCH(160,'كشف الحساب'!$N$4:$N$353,0),0)=0,"",INDEX('كشف الحساب'!$J$4:$J$353,IFERROR(MATCH(160,'كشف الحساب'!$N$4:$N$353,0),0))),"")</f>
        <v/>
      </c>
      <c r="K164" s="70" t="str">
        <f>IFERROR(IF(IFERROR(MATCH(160,'كشف الحساب'!$N$4:$N$353,0),0)=0,"",INDEX('كشف الحساب'!$K$4:$K$353,IFERROR(MATCH(160,'كشف الحساب'!$N$4:$N$353,0),0))),"")</f>
        <v/>
      </c>
    </row>
    <row r="165" spans="1:11" ht="15" customHeight="1" x14ac:dyDescent="0.25">
      <c r="A165" s="63" t="str">
        <f>IFERROR(IF(IFERROR(MATCH(161,'كشف الحساب'!$N$4:$N$353,0),0)=0,"",INDEX('كشف الحساب'!$A$4:$A$353,IFERROR(MATCH(161,'كشف الحساب'!$N$4:$N$353,0),0))),"")</f>
        <v/>
      </c>
      <c r="B165" s="64" t="str">
        <f>IFERROR(IF(IFERROR(MATCH(161,'كشف الحساب'!$N$4:$N$353,0),0)=0,"",INDEX('كشف الحساب'!$B$4:$B$353,IFERROR(MATCH(161,'كشف الحساب'!$N$4:$N$353,0),0))),"")</f>
        <v/>
      </c>
      <c r="C165" s="65" t="str">
        <f>IFERROR(IF(IFERROR(MATCH(161,'كشف الحساب'!$N$4:$N$353,0),0)=0,"",INDEX('كشف الحساب'!$C$4:$C$353,IFERROR(MATCH(161,'كشف الحساب'!$N$4:$N$353,0),0))),"")</f>
        <v/>
      </c>
      <c r="D165" s="66" t="str">
        <f>IFERROR(IF(IFERROR(MATCH(161,'كشف الحساب'!$N$4:$N$353,0),0)=0,"",INDEX('كشف الحساب'!$D$4:$D$353,IFERROR(MATCH(161,'كشف الحساب'!$N$4:$N$353,0),0))),"")</f>
        <v/>
      </c>
      <c r="E165" s="67" t="str">
        <f>IFERROR(IF(IFERROR(MATCH(161,'كشف الحساب'!$N$4:$N$353,0),0)=0,"",INDEX('كشف الحساب'!$E$4:$E$353,IFERROR(MATCH(161,'كشف الحساب'!$N$4:$N$353,0),0))),"")</f>
        <v/>
      </c>
      <c r="F165" s="64" t="str">
        <f>IFERROR(IF(IFERROR(MATCH(161,'كشف الحساب'!$N$4:$N$353,0),0)=0,"",INDEX('كشف الحساب'!$F$4:$F$353,IFERROR(MATCH(161,'كشف الحساب'!$N$4:$N$353,0),0))),"")</f>
        <v/>
      </c>
      <c r="G165" s="64" t="str">
        <f>IFERROR(IF(IFERROR(MATCH(161,'كشف الحساب'!$N$4:$N$353,0),0)=0,"",INDEX('كشف الحساب'!$G$4:$G$353,IFERROR(MATCH(161,'كشف الحساب'!$N$4:$N$353,0),0))),"")</f>
        <v/>
      </c>
      <c r="H165" s="64" t="str">
        <f>IFERROR(IF(IFERROR(MATCH(161,'كشف الحساب'!$N$4:$N$353,0),0)=0,"",INDEX('كشف الحساب'!$H$4:$H$353,IFERROR(MATCH(161,'كشف الحساب'!$N$4:$N$353,0),0))),"")</f>
        <v/>
      </c>
      <c r="I165" s="64" t="str">
        <f>IFERROR(IF(IFERROR(MATCH(161,'كشف الحساب'!$N$4:$N$353,0),0)=0,"",INDEX('كشف الحساب'!$I$4:$I$353,IFERROR(MATCH(161,'كشف الحساب'!$N$4:$N$353,0),0))),"")</f>
        <v/>
      </c>
      <c r="J165" s="68" t="str">
        <f>IFERROR(IF(IFERROR(MATCH(161,'كشف الحساب'!$N$4:$N$353,0),0)=0,"",INDEX('كشف الحساب'!$J$4:$J$353,IFERROR(MATCH(161,'كشف الحساب'!$N$4:$N$353,0),0))),"")</f>
        <v/>
      </c>
      <c r="K165" s="64" t="str">
        <f>IFERROR(IF(IFERROR(MATCH(161,'كشف الحساب'!$N$4:$N$353,0),0)=0,"",INDEX('كشف الحساب'!$K$4:$K$353,IFERROR(MATCH(161,'كشف الحساب'!$N$4:$N$353,0),0))),"")</f>
        <v/>
      </c>
    </row>
    <row r="166" spans="1:11" ht="15" customHeight="1" x14ac:dyDescent="0.25">
      <c r="A166" s="69" t="str">
        <f>IFERROR(IF(IFERROR(MATCH(162,'كشف الحساب'!$N$4:$N$353,0),0)=0,"",INDEX('كشف الحساب'!$A$4:$A$353,IFERROR(MATCH(162,'كشف الحساب'!$N$4:$N$353,0),0))),"")</f>
        <v/>
      </c>
      <c r="B166" s="70" t="str">
        <f>IFERROR(IF(IFERROR(MATCH(162,'كشف الحساب'!$N$4:$N$353,0),0)=0,"",INDEX('كشف الحساب'!$B$4:$B$353,IFERROR(MATCH(162,'كشف الحساب'!$N$4:$N$353,0),0))),"")</f>
        <v/>
      </c>
      <c r="C166" s="71" t="str">
        <f>IFERROR(IF(IFERROR(MATCH(162,'كشف الحساب'!$N$4:$N$353,0),0)=0,"",INDEX('كشف الحساب'!$C$4:$C$353,IFERROR(MATCH(162,'كشف الحساب'!$N$4:$N$353,0),0))),"")</f>
        <v/>
      </c>
      <c r="D166" s="72" t="str">
        <f>IFERROR(IF(IFERROR(MATCH(162,'كشف الحساب'!$N$4:$N$353,0),0)=0,"",INDEX('كشف الحساب'!$D$4:$D$353,IFERROR(MATCH(162,'كشف الحساب'!$N$4:$N$353,0),0))),"")</f>
        <v/>
      </c>
      <c r="E166" s="73" t="str">
        <f>IFERROR(IF(IFERROR(MATCH(162,'كشف الحساب'!$N$4:$N$353,0),0)=0,"",INDEX('كشف الحساب'!$E$4:$E$353,IFERROR(MATCH(162,'كشف الحساب'!$N$4:$N$353,0),0))),"")</f>
        <v/>
      </c>
      <c r="F166" s="70" t="str">
        <f>IFERROR(IF(IFERROR(MATCH(162,'كشف الحساب'!$N$4:$N$353,0),0)=0,"",INDEX('كشف الحساب'!$F$4:$F$353,IFERROR(MATCH(162,'كشف الحساب'!$N$4:$N$353,0),0))),"")</f>
        <v/>
      </c>
      <c r="G166" s="70" t="str">
        <f>IFERROR(IF(IFERROR(MATCH(162,'كشف الحساب'!$N$4:$N$353,0),0)=0,"",INDEX('كشف الحساب'!$G$4:$G$353,IFERROR(MATCH(162,'كشف الحساب'!$N$4:$N$353,0),0))),"")</f>
        <v/>
      </c>
      <c r="H166" s="70" t="str">
        <f>IFERROR(IF(IFERROR(MATCH(162,'كشف الحساب'!$N$4:$N$353,0),0)=0,"",INDEX('كشف الحساب'!$H$4:$H$353,IFERROR(MATCH(162,'كشف الحساب'!$N$4:$N$353,0),0))),"")</f>
        <v/>
      </c>
      <c r="I166" s="70" t="str">
        <f>IFERROR(IF(IFERROR(MATCH(162,'كشف الحساب'!$N$4:$N$353,0),0)=0,"",INDEX('كشف الحساب'!$I$4:$I$353,IFERROR(MATCH(162,'كشف الحساب'!$N$4:$N$353,0),0))),"")</f>
        <v/>
      </c>
      <c r="J166" s="74" t="str">
        <f>IFERROR(IF(IFERROR(MATCH(162,'كشف الحساب'!$N$4:$N$353,0),0)=0,"",INDEX('كشف الحساب'!$J$4:$J$353,IFERROR(MATCH(162,'كشف الحساب'!$N$4:$N$353,0),0))),"")</f>
        <v/>
      </c>
      <c r="K166" s="70" t="str">
        <f>IFERROR(IF(IFERROR(MATCH(162,'كشف الحساب'!$N$4:$N$353,0),0)=0,"",INDEX('كشف الحساب'!$K$4:$K$353,IFERROR(MATCH(162,'كشف الحساب'!$N$4:$N$353,0),0))),"")</f>
        <v/>
      </c>
    </row>
    <row r="167" spans="1:11" ht="15" customHeight="1" x14ac:dyDescent="0.25">
      <c r="A167" s="63" t="str">
        <f>IFERROR(IF(IFERROR(MATCH(163,'كشف الحساب'!$N$4:$N$353,0),0)=0,"",INDEX('كشف الحساب'!$A$4:$A$353,IFERROR(MATCH(163,'كشف الحساب'!$N$4:$N$353,0),0))),"")</f>
        <v/>
      </c>
      <c r="B167" s="64" t="str">
        <f>IFERROR(IF(IFERROR(MATCH(163,'كشف الحساب'!$N$4:$N$353,0),0)=0,"",INDEX('كشف الحساب'!$B$4:$B$353,IFERROR(MATCH(163,'كشف الحساب'!$N$4:$N$353,0),0))),"")</f>
        <v/>
      </c>
      <c r="C167" s="65" t="str">
        <f>IFERROR(IF(IFERROR(MATCH(163,'كشف الحساب'!$N$4:$N$353,0),0)=0,"",INDEX('كشف الحساب'!$C$4:$C$353,IFERROR(MATCH(163,'كشف الحساب'!$N$4:$N$353,0),0))),"")</f>
        <v/>
      </c>
      <c r="D167" s="66" t="str">
        <f>IFERROR(IF(IFERROR(MATCH(163,'كشف الحساب'!$N$4:$N$353,0),0)=0,"",INDEX('كشف الحساب'!$D$4:$D$353,IFERROR(MATCH(163,'كشف الحساب'!$N$4:$N$353,0),0))),"")</f>
        <v/>
      </c>
      <c r="E167" s="67" t="str">
        <f>IFERROR(IF(IFERROR(MATCH(163,'كشف الحساب'!$N$4:$N$353,0),0)=0,"",INDEX('كشف الحساب'!$E$4:$E$353,IFERROR(MATCH(163,'كشف الحساب'!$N$4:$N$353,0),0))),"")</f>
        <v/>
      </c>
      <c r="F167" s="64" t="str">
        <f>IFERROR(IF(IFERROR(MATCH(163,'كشف الحساب'!$N$4:$N$353,0),0)=0,"",INDEX('كشف الحساب'!$F$4:$F$353,IFERROR(MATCH(163,'كشف الحساب'!$N$4:$N$353,0),0))),"")</f>
        <v/>
      </c>
      <c r="G167" s="64" t="str">
        <f>IFERROR(IF(IFERROR(MATCH(163,'كشف الحساب'!$N$4:$N$353,0),0)=0,"",INDEX('كشف الحساب'!$G$4:$G$353,IFERROR(MATCH(163,'كشف الحساب'!$N$4:$N$353,0),0))),"")</f>
        <v/>
      </c>
      <c r="H167" s="64" t="str">
        <f>IFERROR(IF(IFERROR(MATCH(163,'كشف الحساب'!$N$4:$N$353,0),0)=0,"",INDEX('كشف الحساب'!$H$4:$H$353,IFERROR(MATCH(163,'كشف الحساب'!$N$4:$N$353,0),0))),"")</f>
        <v/>
      </c>
      <c r="I167" s="64" t="str">
        <f>IFERROR(IF(IFERROR(MATCH(163,'كشف الحساب'!$N$4:$N$353,0),0)=0,"",INDEX('كشف الحساب'!$I$4:$I$353,IFERROR(MATCH(163,'كشف الحساب'!$N$4:$N$353,0),0))),"")</f>
        <v/>
      </c>
      <c r="J167" s="68" t="str">
        <f>IFERROR(IF(IFERROR(MATCH(163,'كشف الحساب'!$N$4:$N$353,0),0)=0,"",INDEX('كشف الحساب'!$J$4:$J$353,IFERROR(MATCH(163,'كشف الحساب'!$N$4:$N$353,0),0))),"")</f>
        <v/>
      </c>
      <c r="K167" s="64" t="str">
        <f>IFERROR(IF(IFERROR(MATCH(163,'كشف الحساب'!$N$4:$N$353,0),0)=0,"",INDEX('كشف الحساب'!$K$4:$K$353,IFERROR(MATCH(163,'كشف الحساب'!$N$4:$N$353,0),0))),"")</f>
        <v/>
      </c>
    </row>
    <row r="168" spans="1:11" ht="15" customHeight="1" x14ac:dyDescent="0.25">
      <c r="A168" s="69" t="str">
        <f>IFERROR(IF(IFERROR(MATCH(164,'كشف الحساب'!$N$4:$N$353,0),0)=0,"",INDEX('كشف الحساب'!$A$4:$A$353,IFERROR(MATCH(164,'كشف الحساب'!$N$4:$N$353,0),0))),"")</f>
        <v/>
      </c>
      <c r="B168" s="70" t="str">
        <f>IFERROR(IF(IFERROR(MATCH(164,'كشف الحساب'!$N$4:$N$353,0),0)=0,"",INDEX('كشف الحساب'!$B$4:$B$353,IFERROR(MATCH(164,'كشف الحساب'!$N$4:$N$353,0),0))),"")</f>
        <v/>
      </c>
      <c r="C168" s="71" t="str">
        <f>IFERROR(IF(IFERROR(MATCH(164,'كشف الحساب'!$N$4:$N$353,0),0)=0,"",INDEX('كشف الحساب'!$C$4:$C$353,IFERROR(MATCH(164,'كشف الحساب'!$N$4:$N$353,0),0))),"")</f>
        <v/>
      </c>
      <c r="D168" s="72" t="str">
        <f>IFERROR(IF(IFERROR(MATCH(164,'كشف الحساب'!$N$4:$N$353,0),0)=0,"",INDEX('كشف الحساب'!$D$4:$D$353,IFERROR(MATCH(164,'كشف الحساب'!$N$4:$N$353,0),0))),"")</f>
        <v/>
      </c>
      <c r="E168" s="73" t="str">
        <f>IFERROR(IF(IFERROR(MATCH(164,'كشف الحساب'!$N$4:$N$353,0),0)=0,"",INDEX('كشف الحساب'!$E$4:$E$353,IFERROR(MATCH(164,'كشف الحساب'!$N$4:$N$353,0),0))),"")</f>
        <v/>
      </c>
      <c r="F168" s="70" t="str">
        <f>IFERROR(IF(IFERROR(MATCH(164,'كشف الحساب'!$N$4:$N$353,0),0)=0,"",INDEX('كشف الحساب'!$F$4:$F$353,IFERROR(MATCH(164,'كشف الحساب'!$N$4:$N$353,0),0))),"")</f>
        <v/>
      </c>
      <c r="G168" s="70" t="str">
        <f>IFERROR(IF(IFERROR(MATCH(164,'كشف الحساب'!$N$4:$N$353,0),0)=0,"",INDEX('كشف الحساب'!$G$4:$G$353,IFERROR(MATCH(164,'كشف الحساب'!$N$4:$N$353,0),0))),"")</f>
        <v/>
      </c>
      <c r="H168" s="70" t="str">
        <f>IFERROR(IF(IFERROR(MATCH(164,'كشف الحساب'!$N$4:$N$353,0),0)=0,"",INDEX('كشف الحساب'!$H$4:$H$353,IFERROR(MATCH(164,'كشف الحساب'!$N$4:$N$353,0),0))),"")</f>
        <v/>
      </c>
      <c r="I168" s="70" t="str">
        <f>IFERROR(IF(IFERROR(MATCH(164,'كشف الحساب'!$N$4:$N$353,0),0)=0,"",INDEX('كشف الحساب'!$I$4:$I$353,IFERROR(MATCH(164,'كشف الحساب'!$N$4:$N$353,0),0))),"")</f>
        <v/>
      </c>
      <c r="J168" s="74" t="str">
        <f>IFERROR(IF(IFERROR(MATCH(164,'كشف الحساب'!$N$4:$N$353,0),0)=0,"",INDEX('كشف الحساب'!$J$4:$J$353,IFERROR(MATCH(164,'كشف الحساب'!$N$4:$N$353,0),0))),"")</f>
        <v/>
      </c>
      <c r="K168" s="70" t="str">
        <f>IFERROR(IF(IFERROR(MATCH(164,'كشف الحساب'!$N$4:$N$353,0),0)=0,"",INDEX('كشف الحساب'!$K$4:$K$353,IFERROR(MATCH(164,'كشف الحساب'!$N$4:$N$353,0),0))),"")</f>
        <v/>
      </c>
    </row>
    <row r="169" spans="1:11" ht="15" customHeight="1" x14ac:dyDescent="0.25">
      <c r="A169" s="63" t="str">
        <f>IFERROR(IF(IFERROR(MATCH(165,'كشف الحساب'!$N$4:$N$353,0),0)=0,"",INDEX('كشف الحساب'!$A$4:$A$353,IFERROR(MATCH(165,'كشف الحساب'!$N$4:$N$353,0),0))),"")</f>
        <v/>
      </c>
      <c r="B169" s="64" t="str">
        <f>IFERROR(IF(IFERROR(MATCH(165,'كشف الحساب'!$N$4:$N$353,0),0)=0,"",INDEX('كشف الحساب'!$B$4:$B$353,IFERROR(MATCH(165,'كشف الحساب'!$N$4:$N$353,0),0))),"")</f>
        <v/>
      </c>
      <c r="C169" s="65" t="str">
        <f>IFERROR(IF(IFERROR(MATCH(165,'كشف الحساب'!$N$4:$N$353,0),0)=0,"",INDEX('كشف الحساب'!$C$4:$C$353,IFERROR(MATCH(165,'كشف الحساب'!$N$4:$N$353,0),0))),"")</f>
        <v/>
      </c>
      <c r="D169" s="66" t="str">
        <f>IFERROR(IF(IFERROR(MATCH(165,'كشف الحساب'!$N$4:$N$353,0),0)=0,"",INDEX('كشف الحساب'!$D$4:$D$353,IFERROR(MATCH(165,'كشف الحساب'!$N$4:$N$353,0),0))),"")</f>
        <v/>
      </c>
      <c r="E169" s="67" t="str">
        <f>IFERROR(IF(IFERROR(MATCH(165,'كشف الحساب'!$N$4:$N$353,0),0)=0,"",INDEX('كشف الحساب'!$E$4:$E$353,IFERROR(MATCH(165,'كشف الحساب'!$N$4:$N$353,0),0))),"")</f>
        <v/>
      </c>
      <c r="F169" s="64" t="str">
        <f>IFERROR(IF(IFERROR(MATCH(165,'كشف الحساب'!$N$4:$N$353,0),0)=0,"",INDEX('كشف الحساب'!$F$4:$F$353,IFERROR(MATCH(165,'كشف الحساب'!$N$4:$N$353,0),0))),"")</f>
        <v/>
      </c>
      <c r="G169" s="64" t="str">
        <f>IFERROR(IF(IFERROR(MATCH(165,'كشف الحساب'!$N$4:$N$353,0),0)=0,"",INDEX('كشف الحساب'!$G$4:$G$353,IFERROR(MATCH(165,'كشف الحساب'!$N$4:$N$353,0),0))),"")</f>
        <v/>
      </c>
      <c r="H169" s="64" t="str">
        <f>IFERROR(IF(IFERROR(MATCH(165,'كشف الحساب'!$N$4:$N$353,0),0)=0,"",INDEX('كشف الحساب'!$H$4:$H$353,IFERROR(MATCH(165,'كشف الحساب'!$N$4:$N$353,0),0))),"")</f>
        <v/>
      </c>
      <c r="I169" s="64" t="str">
        <f>IFERROR(IF(IFERROR(MATCH(165,'كشف الحساب'!$N$4:$N$353,0),0)=0,"",INDEX('كشف الحساب'!$I$4:$I$353,IFERROR(MATCH(165,'كشف الحساب'!$N$4:$N$353,0),0))),"")</f>
        <v/>
      </c>
      <c r="J169" s="68" t="str">
        <f>IFERROR(IF(IFERROR(MATCH(165,'كشف الحساب'!$N$4:$N$353,0),0)=0,"",INDEX('كشف الحساب'!$J$4:$J$353,IFERROR(MATCH(165,'كشف الحساب'!$N$4:$N$353,0),0))),"")</f>
        <v/>
      </c>
      <c r="K169" s="64" t="str">
        <f>IFERROR(IF(IFERROR(MATCH(165,'كشف الحساب'!$N$4:$N$353,0),0)=0,"",INDEX('كشف الحساب'!$K$4:$K$353,IFERROR(MATCH(165,'كشف الحساب'!$N$4:$N$353,0),0))),"")</f>
        <v/>
      </c>
    </row>
    <row r="170" spans="1:11" ht="15" customHeight="1" x14ac:dyDescent="0.25">
      <c r="A170" s="69" t="str">
        <f>IFERROR(IF(IFERROR(MATCH(166,'كشف الحساب'!$N$4:$N$353,0),0)=0,"",INDEX('كشف الحساب'!$A$4:$A$353,IFERROR(MATCH(166,'كشف الحساب'!$N$4:$N$353,0),0))),"")</f>
        <v/>
      </c>
      <c r="B170" s="70" t="str">
        <f>IFERROR(IF(IFERROR(MATCH(166,'كشف الحساب'!$N$4:$N$353,0),0)=0,"",INDEX('كشف الحساب'!$B$4:$B$353,IFERROR(MATCH(166,'كشف الحساب'!$N$4:$N$353,0),0))),"")</f>
        <v/>
      </c>
      <c r="C170" s="71" t="str">
        <f>IFERROR(IF(IFERROR(MATCH(166,'كشف الحساب'!$N$4:$N$353,0),0)=0,"",INDEX('كشف الحساب'!$C$4:$C$353,IFERROR(MATCH(166,'كشف الحساب'!$N$4:$N$353,0),0))),"")</f>
        <v/>
      </c>
      <c r="D170" s="72" t="str">
        <f>IFERROR(IF(IFERROR(MATCH(166,'كشف الحساب'!$N$4:$N$353,0),0)=0,"",INDEX('كشف الحساب'!$D$4:$D$353,IFERROR(MATCH(166,'كشف الحساب'!$N$4:$N$353,0),0))),"")</f>
        <v/>
      </c>
      <c r="E170" s="73" t="str">
        <f>IFERROR(IF(IFERROR(MATCH(166,'كشف الحساب'!$N$4:$N$353,0),0)=0,"",INDEX('كشف الحساب'!$E$4:$E$353,IFERROR(MATCH(166,'كشف الحساب'!$N$4:$N$353,0),0))),"")</f>
        <v/>
      </c>
      <c r="F170" s="70" t="str">
        <f>IFERROR(IF(IFERROR(MATCH(166,'كشف الحساب'!$N$4:$N$353,0),0)=0,"",INDEX('كشف الحساب'!$F$4:$F$353,IFERROR(MATCH(166,'كشف الحساب'!$N$4:$N$353,0),0))),"")</f>
        <v/>
      </c>
      <c r="G170" s="70" t="str">
        <f>IFERROR(IF(IFERROR(MATCH(166,'كشف الحساب'!$N$4:$N$353,0),0)=0,"",INDEX('كشف الحساب'!$G$4:$G$353,IFERROR(MATCH(166,'كشف الحساب'!$N$4:$N$353,0),0))),"")</f>
        <v/>
      </c>
      <c r="H170" s="70" t="str">
        <f>IFERROR(IF(IFERROR(MATCH(166,'كشف الحساب'!$N$4:$N$353,0),0)=0,"",INDEX('كشف الحساب'!$H$4:$H$353,IFERROR(MATCH(166,'كشف الحساب'!$N$4:$N$353,0),0))),"")</f>
        <v/>
      </c>
      <c r="I170" s="70" t="str">
        <f>IFERROR(IF(IFERROR(MATCH(166,'كشف الحساب'!$N$4:$N$353,0),0)=0,"",INDEX('كشف الحساب'!$I$4:$I$353,IFERROR(MATCH(166,'كشف الحساب'!$N$4:$N$353,0),0))),"")</f>
        <v/>
      </c>
      <c r="J170" s="74" t="str">
        <f>IFERROR(IF(IFERROR(MATCH(166,'كشف الحساب'!$N$4:$N$353,0),0)=0,"",INDEX('كشف الحساب'!$J$4:$J$353,IFERROR(MATCH(166,'كشف الحساب'!$N$4:$N$353,0),0))),"")</f>
        <v/>
      </c>
      <c r="K170" s="70" t="str">
        <f>IFERROR(IF(IFERROR(MATCH(166,'كشف الحساب'!$N$4:$N$353,0),0)=0,"",INDEX('كشف الحساب'!$K$4:$K$353,IFERROR(MATCH(166,'كشف الحساب'!$N$4:$N$353,0),0))),"")</f>
        <v/>
      </c>
    </row>
    <row r="171" spans="1:11" ht="15" customHeight="1" x14ac:dyDescent="0.25">
      <c r="A171" s="63" t="str">
        <f>IFERROR(IF(IFERROR(MATCH(167,'كشف الحساب'!$N$4:$N$353,0),0)=0,"",INDEX('كشف الحساب'!$A$4:$A$353,IFERROR(MATCH(167,'كشف الحساب'!$N$4:$N$353,0),0))),"")</f>
        <v/>
      </c>
      <c r="B171" s="64" t="str">
        <f>IFERROR(IF(IFERROR(MATCH(167,'كشف الحساب'!$N$4:$N$353,0),0)=0,"",INDEX('كشف الحساب'!$B$4:$B$353,IFERROR(MATCH(167,'كشف الحساب'!$N$4:$N$353,0),0))),"")</f>
        <v/>
      </c>
      <c r="C171" s="65" t="str">
        <f>IFERROR(IF(IFERROR(MATCH(167,'كشف الحساب'!$N$4:$N$353,0),0)=0,"",INDEX('كشف الحساب'!$C$4:$C$353,IFERROR(MATCH(167,'كشف الحساب'!$N$4:$N$353,0),0))),"")</f>
        <v/>
      </c>
      <c r="D171" s="66" t="str">
        <f>IFERROR(IF(IFERROR(MATCH(167,'كشف الحساب'!$N$4:$N$353,0),0)=0,"",INDEX('كشف الحساب'!$D$4:$D$353,IFERROR(MATCH(167,'كشف الحساب'!$N$4:$N$353,0),0))),"")</f>
        <v/>
      </c>
      <c r="E171" s="67" t="str">
        <f>IFERROR(IF(IFERROR(MATCH(167,'كشف الحساب'!$N$4:$N$353,0),0)=0,"",INDEX('كشف الحساب'!$E$4:$E$353,IFERROR(MATCH(167,'كشف الحساب'!$N$4:$N$353,0),0))),"")</f>
        <v/>
      </c>
      <c r="F171" s="64" t="str">
        <f>IFERROR(IF(IFERROR(MATCH(167,'كشف الحساب'!$N$4:$N$353,0),0)=0,"",INDEX('كشف الحساب'!$F$4:$F$353,IFERROR(MATCH(167,'كشف الحساب'!$N$4:$N$353,0),0))),"")</f>
        <v/>
      </c>
      <c r="G171" s="64" t="str">
        <f>IFERROR(IF(IFERROR(MATCH(167,'كشف الحساب'!$N$4:$N$353,0),0)=0,"",INDEX('كشف الحساب'!$G$4:$G$353,IFERROR(MATCH(167,'كشف الحساب'!$N$4:$N$353,0),0))),"")</f>
        <v/>
      </c>
      <c r="H171" s="64" t="str">
        <f>IFERROR(IF(IFERROR(MATCH(167,'كشف الحساب'!$N$4:$N$353,0),0)=0,"",INDEX('كشف الحساب'!$H$4:$H$353,IFERROR(MATCH(167,'كشف الحساب'!$N$4:$N$353,0),0))),"")</f>
        <v/>
      </c>
      <c r="I171" s="64" t="str">
        <f>IFERROR(IF(IFERROR(MATCH(167,'كشف الحساب'!$N$4:$N$353,0),0)=0,"",INDEX('كشف الحساب'!$I$4:$I$353,IFERROR(MATCH(167,'كشف الحساب'!$N$4:$N$353,0),0))),"")</f>
        <v/>
      </c>
      <c r="J171" s="68" t="str">
        <f>IFERROR(IF(IFERROR(MATCH(167,'كشف الحساب'!$N$4:$N$353,0),0)=0,"",INDEX('كشف الحساب'!$J$4:$J$353,IFERROR(MATCH(167,'كشف الحساب'!$N$4:$N$353,0),0))),"")</f>
        <v/>
      </c>
      <c r="K171" s="64" t="str">
        <f>IFERROR(IF(IFERROR(MATCH(167,'كشف الحساب'!$N$4:$N$353,0),0)=0,"",INDEX('كشف الحساب'!$K$4:$K$353,IFERROR(MATCH(167,'كشف الحساب'!$N$4:$N$353,0),0))),"")</f>
        <v/>
      </c>
    </row>
    <row r="172" spans="1:11" ht="15" customHeight="1" x14ac:dyDescent="0.25">
      <c r="A172" s="69" t="str">
        <f>IFERROR(IF(IFERROR(MATCH(168,'كشف الحساب'!$N$4:$N$353,0),0)=0,"",INDEX('كشف الحساب'!$A$4:$A$353,IFERROR(MATCH(168,'كشف الحساب'!$N$4:$N$353,0),0))),"")</f>
        <v/>
      </c>
      <c r="B172" s="70" t="str">
        <f>IFERROR(IF(IFERROR(MATCH(168,'كشف الحساب'!$N$4:$N$353,0),0)=0,"",INDEX('كشف الحساب'!$B$4:$B$353,IFERROR(MATCH(168,'كشف الحساب'!$N$4:$N$353,0),0))),"")</f>
        <v/>
      </c>
      <c r="C172" s="71" t="str">
        <f>IFERROR(IF(IFERROR(MATCH(168,'كشف الحساب'!$N$4:$N$353,0),0)=0,"",INDEX('كشف الحساب'!$C$4:$C$353,IFERROR(MATCH(168,'كشف الحساب'!$N$4:$N$353,0),0))),"")</f>
        <v/>
      </c>
      <c r="D172" s="72" t="str">
        <f>IFERROR(IF(IFERROR(MATCH(168,'كشف الحساب'!$N$4:$N$353,0),0)=0,"",INDEX('كشف الحساب'!$D$4:$D$353,IFERROR(MATCH(168,'كشف الحساب'!$N$4:$N$353,0),0))),"")</f>
        <v/>
      </c>
      <c r="E172" s="73" t="str">
        <f>IFERROR(IF(IFERROR(MATCH(168,'كشف الحساب'!$N$4:$N$353,0),0)=0,"",INDEX('كشف الحساب'!$E$4:$E$353,IFERROR(MATCH(168,'كشف الحساب'!$N$4:$N$353,0),0))),"")</f>
        <v/>
      </c>
      <c r="F172" s="70" t="str">
        <f>IFERROR(IF(IFERROR(MATCH(168,'كشف الحساب'!$N$4:$N$353,0),0)=0,"",INDEX('كشف الحساب'!$F$4:$F$353,IFERROR(MATCH(168,'كشف الحساب'!$N$4:$N$353,0),0))),"")</f>
        <v/>
      </c>
      <c r="G172" s="70" t="str">
        <f>IFERROR(IF(IFERROR(MATCH(168,'كشف الحساب'!$N$4:$N$353,0),0)=0,"",INDEX('كشف الحساب'!$G$4:$G$353,IFERROR(MATCH(168,'كشف الحساب'!$N$4:$N$353,0),0))),"")</f>
        <v/>
      </c>
      <c r="H172" s="70" t="str">
        <f>IFERROR(IF(IFERROR(MATCH(168,'كشف الحساب'!$N$4:$N$353,0),0)=0,"",INDEX('كشف الحساب'!$H$4:$H$353,IFERROR(MATCH(168,'كشف الحساب'!$N$4:$N$353,0),0))),"")</f>
        <v/>
      </c>
      <c r="I172" s="70" t="str">
        <f>IFERROR(IF(IFERROR(MATCH(168,'كشف الحساب'!$N$4:$N$353,0),0)=0,"",INDEX('كشف الحساب'!$I$4:$I$353,IFERROR(MATCH(168,'كشف الحساب'!$N$4:$N$353,0),0))),"")</f>
        <v/>
      </c>
      <c r="J172" s="74" t="str">
        <f>IFERROR(IF(IFERROR(MATCH(168,'كشف الحساب'!$N$4:$N$353,0),0)=0,"",INDEX('كشف الحساب'!$J$4:$J$353,IFERROR(MATCH(168,'كشف الحساب'!$N$4:$N$353,0),0))),"")</f>
        <v/>
      </c>
      <c r="K172" s="70" t="str">
        <f>IFERROR(IF(IFERROR(MATCH(168,'كشف الحساب'!$N$4:$N$353,0),0)=0,"",INDEX('كشف الحساب'!$K$4:$K$353,IFERROR(MATCH(168,'كشف الحساب'!$N$4:$N$353,0),0))),"")</f>
        <v/>
      </c>
    </row>
    <row r="173" spans="1:11" ht="15" customHeight="1" x14ac:dyDescent="0.25">
      <c r="A173" s="63" t="str">
        <f>IFERROR(IF(IFERROR(MATCH(169,'كشف الحساب'!$N$4:$N$353,0),0)=0,"",INDEX('كشف الحساب'!$A$4:$A$353,IFERROR(MATCH(169,'كشف الحساب'!$N$4:$N$353,0),0))),"")</f>
        <v/>
      </c>
      <c r="B173" s="64" t="str">
        <f>IFERROR(IF(IFERROR(MATCH(169,'كشف الحساب'!$N$4:$N$353,0),0)=0,"",INDEX('كشف الحساب'!$B$4:$B$353,IFERROR(MATCH(169,'كشف الحساب'!$N$4:$N$353,0),0))),"")</f>
        <v/>
      </c>
      <c r="C173" s="65" t="str">
        <f>IFERROR(IF(IFERROR(MATCH(169,'كشف الحساب'!$N$4:$N$353,0),0)=0,"",INDEX('كشف الحساب'!$C$4:$C$353,IFERROR(MATCH(169,'كشف الحساب'!$N$4:$N$353,0),0))),"")</f>
        <v/>
      </c>
      <c r="D173" s="66" t="str">
        <f>IFERROR(IF(IFERROR(MATCH(169,'كشف الحساب'!$N$4:$N$353,0),0)=0,"",INDEX('كشف الحساب'!$D$4:$D$353,IFERROR(MATCH(169,'كشف الحساب'!$N$4:$N$353,0),0))),"")</f>
        <v/>
      </c>
      <c r="E173" s="67" t="str">
        <f>IFERROR(IF(IFERROR(MATCH(169,'كشف الحساب'!$N$4:$N$353,0),0)=0,"",INDEX('كشف الحساب'!$E$4:$E$353,IFERROR(MATCH(169,'كشف الحساب'!$N$4:$N$353,0),0))),"")</f>
        <v/>
      </c>
      <c r="F173" s="64" t="str">
        <f>IFERROR(IF(IFERROR(MATCH(169,'كشف الحساب'!$N$4:$N$353,0),0)=0,"",INDEX('كشف الحساب'!$F$4:$F$353,IFERROR(MATCH(169,'كشف الحساب'!$N$4:$N$353,0),0))),"")</f>
        <v/>
      </c>
      <c r="G173" s="64" t="str">
        <f>IFERROR(IF(IFERROR(MATCH(169,'كشف الحساب'!$N$4:$N$353,0),0)=0,"",INDEX('كشف الحساب'!$G$4:$G$353,IFERROR(MATCH(169,'كشف الحساب'!$N$4:$N$353,0),0))),"")</f>
        <v/>
      </c>
      <c r="H173" s="64" t="str">
        <f>IFERROR(IF(IFERROR(MATCH(169,'كشف الحساب'!$N$4:$N$353,0),0)=0,"",INDEX('كشف الحساب'!$H$4:$H$353,IFERROR(MATCH(169,'كشف الحساب'!$N$4:$N$353,0),0))),"")</f>
        <v/>
      </c>
      <c r="I173" s="64" t="str">
        <f>IFERROR(IF(IFERROR(MATCH(169,'كشف الحساب'!$N$4:$N$353,0),0)=0,"",INDEX('كشف الحساب'!$I$4:$I$353,IFERROR(MATCH(169,'كشف الحساب'!$N$4:$N$353,0),0))),"")</f>
        <v/>
      </c>
      <c r="J173" s="68" t="str">
        <f>IFERROR(IF(IFERROR(MATCH(169,'كشف الحساب'!$N$4:$N$353,0),0)=0,"",INDEX('كشف الحساب'!$J$4:$J$353,IFERROR(MATCH(169,'كشف الحساب'!$N$4:$N$353,0),0))),"")</f>
        <v/>
      </c>
      <c r="K173" s="64" t="str">
        <f>IFERROR(IF(IFERROR(MATCH(169,'كشف الحساب'!$N$4:$N$353,0),0)=0,"",INDEX('كشف الحساب'!$K$4:$K$353,IFERROR(MATCH(169,'كشف الحساب'!$N$4:$N$353,0),0))),"")</f>
        <v/>
      </c>
    </row>
    <row r="174" spans="1:11" ht="15" customHeight="1" x14ac:dyDescent="0.25">
      <c r="A174" s="69" t="str">
        <f>IFERROR(IF(IFERROR(MATCH(170,'كشف الحساب'!$N$4:$N$353,0),0)=0,"",INDEX('كشف الحساب'!$A$4:$A$353,IFERROR(MATCH(170,'كشف الحساب'!$N$4:$N$353,0),0))),"")</f>
        <v/>
      </c>
      <c r="B174" s="70" t="str">
        <f>IFERROR(IF(IFERROR(MATCH(170,'كشف الحساب'!$N$4:$N$353,0),0)=0,"",INDEX('كشف الحساب'!$B$4:$B$353,IFERROR(MATCH(170,'كشف الحساب'!$N$4:$N$353,0),0))),"")</f>
        <v/>
      </c>
      <c r="C174" s="71" t="str">
        <f>IFERROR(IF(IFERROR(MATCH(170,'كشف الحساب'!$N$4:$N$353,0),0)=0,"",INDEX('كشف الحساب'!$C$4:$C$353,IFERROR(MATCH(170,'كشف الحساب'!$N$4:$N$353,0),0))),"")</f>
        <v/>
      </c>
      <c r="D174" s="72" t="str">
        <f>IFERROR(IF(IFERROR(MATCH(170,'كشف الحساب'!$N$4:$N$353,0),0)=0,"",INDEX('كشف الحساب'!$D$4:$D$353,IFERROR(MATCH(170,'كشف الحساب'!$N$4:$N$353,0),0))),"")</f>
        <v/>
      </c>
      <c r="E174" s="73" t="str">
        <f>IFERROR(IF(IFERROR(MATCH(170,'كشف الحساب'!$N$4:$N$353,0),0)=0,"",INDEX('كشف الحساب'!$E$4:$E$353,IFERROR(MATCH(170,'كشف الحساب'!$N$4:$N$353,0),0))),"")</f>
        <v/>
      </c>
      <c r="F174" s="70" t="str">
        <f>IFERROR(IF(IFERROR(MATCH(170,'كشف الحساب'!$N$4:$N$353,0),0)=0,"",INDEX('كشف الحساب'!$F$4:$F$353,IFERROR(MATCH(170,'كشف الحساب'!$N$4:$N$353,0),0))),"")</f>
        <v/>
      </c>
      <c r="G174" s="70" t="str">
        <f>IFERROR(IF(IFERROR(MATCH(170,'كشف الحساب'!$N$4:$N$353,0),0)=0,"",INDEX('كشف الحساب'!$G$4:$G$353,IFERROR(MATCH(170,'كشف الحساب'!$N$4:$N$353,0),0))),"")</f>
        <v/>
      </c>
      <c r="H174" s="70" t="str">
        <f>IFERROR(IF(IFERROR(MATCH(170,'كشف الحساب'!$N$4:$N$353,0),0)=0,"",INDEX('كشف الحساب'!$H$4:$H$353,IFERROR(MATCH(170,'كشف الحساب'!$N$4:$N$353,0),0))),"")</f>
        <v/>
      </c>
      <c r="I174" s="70" t="str">
        <f>IFERROR(IF(IFERROR(MATCH(170,'كشف الحساب'!$N$4:$N$353,0),0)=0,"",INDEX('كشف الحساب'!$I$4:$I$353,IFERROR(MATCH(170,'كشف الحساب'!$N$4:$N$353,0),0))),"")</f>
        <v/>
      </c>
      <c r="J174" s="74" t="str">
        <f>IFERROR(IF(IFERROR(MATCH(170,'كشف الحساب'!$N$4:$N$353,0),0)=0,"",INDEX('كشف الحساب'!$J$4:$J$353,IFERROR(MATCH(170,'كشف الحساب'!$N$4:$N$353,0),0))),"")</f>
        <v/>
      </c>
      <c r="K174" s="70" t="str">
        <f>IFERROR(IF(IFERROR(MATCH(170,'كشف الحساب'!$N$4:$N$353,0),0)=0,"",INDEX('كشف الحساب'!$K$4:$K$353,IFERROR(MATCH(170,'كشف الحساب'!$N$4:$N$353,0),0))),"")</f>
        <v/>
      </c>
    </row>
    <row r="175" spans="1:11" ht="15" customHeight="1" x14ac:dyDescent="0.25">
      <c r="A175" s="63" t="str">
        <f>IFERROR(IF(IFERROR(MATCH(171,'كشف الحساب'!$N$4:$N$353,0),0)=0,"",INDEX('كشف الحساب'!$A$4:$A$353,IFERROR(MATCH(171,'كشف الحساب'!$N$4:$N$353,0),0))),"")</f>
        <v/>
      </c>
      <c r="B175" s="64" t="str">
        <f>IFERROR(IF(IFERROR(MATCH(171,'كشف الحساب'!$N$4:$N$353,0),0)=0,"",INDEX('كشف الحساب'!$B$4:$B$353,IFERROR(MATCH(171,'كشف الحساب'!$N$4:$N$353,0),0))),"")</f>
        <v/>
      </c>
      <c r="C175" s="65" t="str">
        <f>IFERROR(IF(IFERROR(MATCH(171,'كشف الحساب'!$N$4:$N$353,0),0)=0,"",INDEX('كشف الحساب'!$C$4:$C$353,IFERROR(MATCH(171,'كشف الحساب'!$N$4:$N$353,0),0))),"")</f>
        <v/>
      </c>
      <c r="D175" s="66" t="str">
        <f>IFERROR(IF(IFERROR(MATCH(171,'كشف الحساب'!$N$4:$N$353,0),0)=0,"",INDEX('كشف الحساب'!$D$4:$D$353,IFERROR(MATCH(171,'كشف الحساب'!$N$4:$N$353,0),0))),"")</f>
        <v/>
      </c>
      <c r="E175" s="67" t="str">
        <f>IFERROR(IF(IFERROR(MATCH(171,'كشف الحساب'!$N$4:$N$353,0),0)=0,"",INDEX('كشف الحساب'!$E$4:$E$353,IFERROR(MATCH(171,'كشف الحساب'!$N$4:$N$353,0),0))),"")</f>
        <v/>
      </c>
      <c r="F175" s="64" t="str">
        <f>IFERROR(IF(IFERROR(MATCH(171,'كشف الحساب'!$N$4:$N$353,0),0)=0,"",INDEX('كشف الحساب'!$F$4:$F$353,IFERROR(MATCH(171,'كشف الحساب'!$N$4:$N$353,0),0))),"")</f>
        <v/>
      </c>
      <c r="G175" s="64" t="str">
        <f>IFERROR(IF(IFERROR(MATCH(171,'كشف الحساب'!$N$4:$N$353,0),0)=0,"",INDEX('كشف الحساب'!$G$4:$G$353,IFERROR(MATCH(171,'كشف الحساب'!$N$4:$N$353,0),0))),"")</f>
        <v/>
      </c>
      <c r="H175" s="64" t="str">
        <f>IFERROR(IF(IFERROR(MATCH(171,'كشف الحساب'!$N$4:$N$353,0),0)=0,"",INDEX('كشف الحساب'!$H$4:$H$353,IFERROR(MATCH(171,'كشف الحساب'!$N$4:$N$353,0),0))),"")</f>
        <v/>
      </c>
      <c r="I175" s="64" t="str">
        <f>IFERROR(IF(IFERROR(MATCH(171,'كشف الحساب'!$N$4:$N$353,0),0)=0,"",INDEX('كشف الحساب'!$I$4:$I$353,IFERROR(MATCH(171,'كشف الحساب'!$N$4:$N$353,0),0))),"")</f>
        <v/>
      </c>
      <c r="J175" s="68" t="str">
        <f>IFERROR(IF(IFERROR(MATCH(171,'كشف الحساب'!$N$4:$N$353,0),0)=0,"",INDEX('كشف الحساب'!$J$4:$J$353,IFERROR(MATCH(171,'كشف الحساب'!$N$4:$N$353,0),0))),"")</f>
        <v/>
      </c>
      <c r="K175" s="64" t="str">
        <f>IFERROR(IF(IFERROR(MATCH(171,'كشف الحساب'!$N$4:$N$353,0),0)=0,"",INDEX('كشف الحساب'!$K$4:$K$353,IFERROR(MATCH(171,'كشف الحساب'!$N$4:$N$353,0),0))),"")</f>
        <v/>
      </c>
    </row>
    <row r="176" spans="1:11" ht="15" customHeight="1" x14ac:dyDescent="0.25">
      <c r="A176" s="69" t="str">
        <f>IFERROR(IF(IFERROR(MATCH(172,'كشف الحساب'!$N$4:$N$353,0),0)=0,"",INDEX('كشف الحساب'!$A$4:$A$353,IFERROR(MATCH(172,'كشف الحساب'!$N$4:$N$353,0),0))),"")</f>
        <v/>
      </c>
      <c r="B176" s="70" t="str">
        <f>IFERROR(IF(IFERROR(MATCH(172,'كشف الحساب'!$N$4:$N$353,0),0)=0,"",INDEX('كشف الحساب'!$B$4:$B$353,IFERROR(MATCH(172,'كشف الحساب'!$N$4:$N$353,0),0))),"")</f>
        <v/>
      </c>
      <c r="C176" s="71" t="str">
        <f>IFERROR(IF(IFERROR(MATCH(172,'كشف الحساب'!$N$4:$N$353,0),0)=0,"",INDEX('كشف الحساب'!$C$4:$C$353,IFERROR(MATCH(172,'كشف الحساب'!$N$4:$N$353,0),0))),"")</f>
        <v/>
      </c>
      <c r="D176" s="72" t="str">
        <f>IFERROR(IF(IFERROR(MATCH(172,'كشف الحساب'!$N$4:$N$353,0),0)=0,"",INDEX('كشف الحساب'!$D$4:$D$353,IFERROR(MATCH(172,'كشف الحساب'!$N$4:$N$353,0),0))),"")</f>
        <v/>
      </c>
      <c r="E176" s="73" t="str">
        <f>IFERROR(IF(IFERROR(MATCH(172,'كشف الحساب'!$N$4:$N$353,0),0)=0,"",INDEX('كشف الحساب'!$E$4:$E$353,IFERROR(MATCH(172,'كشف الحساب'!$N$4:$N$353,0),0))),"")</f>
        <v/>
      </c>
      <c r="F176" s="70" t="str">
        <f>IFERROR(IF(IFERROR(MATCH(172,'كشف الحساب'!$N$4:$N$353,0),0)=0,"",INDEX('كشف الحساب'!$F$4:$F$353,IFERROR(MATCH(172,'كشف الحساب'!$N$4:$N$353,0),0))),"")</f>
        <v/>
      </c>
      <c r="G176" s="70" t="str">
        <f>IFERROR(IF(IFERROR(MATCH(172,'كشف الحساب'!$N$4:$N$353,0),0)=0,"",INDEX('كشف الحساب'!$G$4:$G$353,IFERROR(MATCH(172,'كشف الحساب'!$N$4:$N$353,0),0))),"")</f>
        <v/>
      </c>
      <c r="H176" s="70" t="str">
        <f>IFERROR(IF(IFERROR(MATCH(172,'كشف الحساب'!$N$4:$N$353,0),0)=0,"",INDEX('كشف الحساب'!$H$4:$H$353,IFERROR(MATCH(172,'كشف الحساب'!$N$4:$N$353,0),0))),"")</f>
        <v/>
      </c>
      <c r="I176" s="70" t="str">
        <f>IFERROR(IF(IFERROR(MATCH(172,'كشف الحساب'!$N$4:$N$353,0),0)=0,"",INDEX('كشف الحساب'!$I$4:$I$353,IFERROR(MATCH(172,'كشف الحساب'!$N$4:$N$353,0),0))),"")</f>
        <v/>
      </c>
      <c r="J176" s="74" t="str">
        <f>IFERROR(IF(IFERROR(MATCH(172,'كشف الحساب'!$N$4:$N$353,0),0)=0,"",INDEX('كشف الحساب'!$J$4:$J$353,IFERROR(MATCH(172,'كشف الحساب'!$N$4:$N$353,0),0))),"")</f>
        <v/>
      </c>
      <c r="K176" s="70" t="str">
        <f>IFERROR(IF(IFERROR(MATCH(172,'كشف الحساب'!$N$4:$N$353,0),0)=0,"",INDEX('كشف الحساب'!$K$4:$K$353,IFERROR(MATCH(172,'كشف الحساب'!$N$4:$N$353,0),0))),"")</f>
        <v/>
      </c>
    </row>
    <row r="177" spans="1:11" ht="15" customHeight="1" x14ac:dyDescent="0.25">
      <c r="A177" s="63" t="str">
        <f>IFERROR(IF(IFERROR(MATCH(173,'كشف الحساب'!$N$4:$N$353,0),0)=0,"",INDEX('كشف الحساب'!$A$4:$A$353,IFERROR(MATCH(173,'كشف الحساب'!$N$4:$N$353,0),0))),"")</f>
        <v/>
      </c>
      <c r="B177" s="64" t="str">
        <f>IFERROR(IF(IFERROR(MATCH(173,'كشف الحساب'!$N$4:$N$353,0),0)=0,"",INDEX('كشف الحساب'!$B$4:$B$353,IFERROR(MATCH(173,'كشف الحساب'!$N$4:$N$353,0),0))),"")</f>
        <v/>
      </c>
      <c r="C177" s="65" t="str">
        <f>IFERROR(IF(IFERROR(MATCH(173,'كشف الحساب'!$N$4:$N$353,0),0)=0,"",INDEX('كشف الحساب'!$C$4:$C$353,IFERROR(MATCH(173,'كشف الحساب'!$N$4:$N$353,0),0))),"")</f>
        <v/>
      </c>
      <c r="D177" s="66" t="str">
        <f>IFERROR(IF(IFERROR(MATCH(173,'كشف الحساب'!$N$4:$N$353,0),0)=0,"",INDEX('كشف الحساب'!$D$4:$D$353,IFERROR(MATCH(173,'كشف الحساب'!$N$4:$N$353,0),0))),"")</f>
        <v/>
      </c>
      <c r="E177" s="67" t="str">
        <f>IFERROR(IF(IFERROR(MATCH(173,'كشف الحساب'!$N$4:$N$353,0),0)=0,"",INDEX('كشف الحساب'!$E$4:$E$353,IFERROR(MATCH(173,'كشف الحساب'!$N$4:$N$353,0),0))),"")</f>
        <v/>
      </c>
      <c r="F177" s="64" t="str">
        <f>IFERROR(IF(IFERROR(MATCH(173,'كشف الحساب'!$N$4:$N$353,0),0)=0,"",INDEX('كشف الحساب'!$F$4:$F$353,IFERROR(MATCH(173,'كشف الحساب'!$N$4:$N$353,0),0))),"")</f>
        <v/>
      </c>
      <c r="G177" s="64" t="str">
        <f>IFERROR(IF(IFERROR(MATCH(173,'كشف الحساب'!$N$4:$N$353,0),0)=0,"",INDEX('كشف الحساب'!$G$4:$G$353,IFERROR(MATCH(173,'كشف الحساب'!$N$4:$N$353,0),0))),"")</f>
        <v/>
      </c>
      <c r="H177" s="64" t="str">
        <f>IFERROR(IF(IFERROR(MATCH(173,'كشف الحساب'!$N$4:$N$353,0),0)=0,"",INDEX('كشف الحساب'!$H$4:$H$353,IFERROR(MATCH(173,'كشف الحساب'!$N$4:$N$353,0),0))),"")</f>
        <v/>
      </c>
      <c r="I177" s="64" t="str">
        <f>IFERROR(IF(IFERROR(MATCH(173,'كشف الحساب'!$N$4:$N$353,0),0)=0,"",INDEX('كشف الحساب'!$I$4:$I$353,IFERROR(MATCH(173,'كشف الحساب'!$N$4:$N$353,0),0))),"")</f>
        <v/>
      </c>
      <c r="J177" s="68" t="str">
        <f>IFERROR(IF(IFERROR(MATCH(173,'كشف الحساب'!$N$4:$N$353,0),0)=0,"",INDEX('كشف الحساب'!$J$4:$J$353,IFERROR(MATCH(173,'كشف الحساب'!$N$4:$N$353,0),0))),"")</f>
        <v/>
      </c>
      <c r="K177" s="64" t="str">
        <f>IFERROR(IF(IFERROR(MATCH(173,'كشف الحساب'!$N$4:$N$353,0),0)=0,"",INDEX('كشف الحساب'!$K$4:$K$353,IFERROR(MATCH(173,'كشف الحساب'!$N$4:$N$353,0),0))),"")</f>
        <v/>
      </c>
    </row>
    <row r="178" spans="1:11" ht="15" customHeight="1" x14ac:dyDescent="0.25">
      <c r="A178" s="69" t="str">
        <f>IFERROR(IF(IFERROR(MATCH(174,'كشف الحساب'!$N$4:$N$353,0),0)=0,"",INDEX('كشف الحساب'!$A$4:$A$353,IFERROR(MATCH(174,'كشف الحساب'!$N$4:$N$353,0),0))),"")</f>
        <v/>
      </c>
      <c r="B178" s="70" t="str">
        <f>IFERROR(IF(IFERROR(MATCH(174,'كشف الحساب'!$N$4:$N$353,0),0)=0,"",INDEX('كشف الحساب'!$B$4:$B$353,IFERROR(MATCH(174,'كشف الحساب'!$N$4:$N$353,0),0))),"")</f>
        <v/>
      </c>
      <c r="C178" s="71" t="str">
        <f>IFERROR(IF(IFERROR(MATCH(174,'كشف الحساب'!$N$4:$N$353,0),0)=0,"",INDEX('كشف الحساب'!$C$4:$C$353,IFERROR(MATCH(174,'كشف الحساب'!$N$4:$N$353,0),0))),"")</f>
        <v/>
      </c>
      <c r="D178" s="72" t="str">
        <f>IFERROR(IF(IFERROR(MATCH(174,'كشف الحساب'!$N$4:$N$353,0),0)=0,"",INDEX('كشف الحساب'!$D$4:$D$353,IFERROR(MATCH(174,'كشف الحساب'!$N$4:$N$353,0),0))),"")</f>
        <v/>
      </c>
      <c r="E178" s="73" t="str">
        <f>IFERROR(IF(IFERROR(MATCH(174,'كشف الحساب'!$N$4:$N$353,0),0)=0,"",INDEX('كشف الحساب'!$E$4:$E$353,IFERROR(MATCH(174,'كشف الحساب'!$N$4:$N$353,0),0))),"")</f>
        <v/>
      </c>
      <c r="F178" s="70" t="str">
        <f>IFERROR(IF(IFERROR(MATCH(174,'كشف الحساب'!$N$4:$N$353,0),0)=0,"",INDEX('كشف الحساب'!$F$4:$F$353,IFERROR(MATCH(174,'كشف الحساب'!$N$4:$N$353,0),0))),"")</f>
        <v/>
      </c>
      <c r="G178" s="70" t="str">
        <f>IFERROR(IF(IFERROR(MATCH(174,'كشف الحساب'!$N$4:$N$353,0),0)=0,"",INDEX('كشف الحساب'!$G$4:$G$353,IFERROR(MATCH(174,'كشف الحساب'!$N$4:$N$353,0),0))),"")</f>
        <v/>
      </c>
      <c r="H178" s="70" t="str">
        <f>IFERROR(IF(IFERROR(MATCH(174,'كشف الحساب'!$N$4:$N$353,0),0)=0,"",INDEX('كشف الحساب'!$H$4:$H$353,IFERROR(MATCH(174,'كشف الحساب'!$N$4:$N$353,0),0))),"")</f>
        <v/>
      </c>
      <c r="I178" s="70" t="str">
        <f>IFERROR(IF(IFERROR(MATCH(174,'كشف الحساب'!$N$4:$N$353,0),0)=0,"",INDEX('كشف الحساب'!$I$4:$I$353,IFERROR(MATCH(174,'كشف الحساب'!$N$4:$N$353,0),0))),"")</f>
        <v/>
      </c>
      <c r="J178" s="74" t="str">
        <f>IFERROR(IF(IFERROR(MATCH(174,'كشف الحساب'!$N$4:$N$353,0),0)=0,"",INDEX('كشف الحساب'!$J$4:$J$353,IFERROR(MATCH(174,'كشف الحساب'!$N$4:$N$353,0),0))),"")</f>
        <v/>
      </c>
      <c r="K178" s="70" t="str">
        <f>IFERROR(IF(IFERROR(MATCH(174,'كشف الحساب'!$N$4:$N$353,0),0)=0,"",INDEX('كشف الحساب'!$K$4:$K$353,IFERROR(MATCH(174,'كشف الحساب'!$N$4:$N$353,0),0))),"")</f>
        <v/>
      </c>
    </row>
    <row r="179" spans="1:11" ht="15" customHeight="1" x14ac:dyDescent="0.25">
      <c r="A179" s="63" t="str">
        <f>IFERROR(IF(IFERROR(MATCH(175,'كشف الحساب'!$N$4:$N$353,0),0)=0,"",INDEX('كشف الحساب'!$A$4:$A$353,IFERROR(MATCH(175,'كشف الحساب'!$N$4:$N$353,0),0))),"")</f>
        <v/>
      </c>
      <c r="B179" s="64" t="str">
        <f>IFERROR(IF(IFERROR(MATCH(175,'كشف الحساب'!$N$4:$N$353,0),0)=0,"",INDEX('كشف الحساب'!$B$4:$B$353,IFERROR(MATCH(175,'كشف الحساب'!$N$4:$N$353,0),0))),"")</f>
        <v/>
      </c>
      <c r="C179" s="65" t="str">
        <f>IFERROR(IF(IFERROR(MATCH(175,'كشف الحساب'!$N$4:$N$353,0),0)=0,"",INDEX('كشف الحساب'!$C$4:$C$353,IFERROR(MATCH(175,'كشف الحساب'!$N$4:$N$353,0),0))),"")</f>
        <v/>
      </c>
      <c r="D179" s="66" t="str">
        <f>IFERROR(IF(IFERROR(MATCH(175,'كشف الحساب'!$N$4:$N$353,0),0)=0,"",INDEX('كشف الحساب'!$D$4:$D$353,IFERROR(MATCH(175,'كشف الحساب'!$N$4:$N$353,0),0))),"")</f>
        <v/>
      </c>
      <c r="E179" s="67" t="str">
        <f>IFERROR(IF(IFERROR(MATCH(175,'كشف الحساب'!$N$4:$N$353,0),0)=0,"",INDEX('كشف الحساب'!$E$4:$E$353,IFERROR(MATCH(175,'كشف الحساب'!$N$4:$N$353,0),0))),"")</f>
        <v/>
      </c>
      <c r="F179" s="64" t="str">
        <f>IFERROR(IF(IFERROR(MATCH(175,'كشف الحساب'!$N$4:$N$353,0),0)=0,"",INDEX('كشف الحساب'!$F$4:$F$353,IFERROR(MATCH(175,'كشف الحساب'!$N$4:$N$353,0),0))),"")</f>
        <v/>
      </c>
      <c r="G179" s="64" t="str">
        <f>IFERROR(IF(IFERROR(MATCH(175,'كشف الحساب'!$N$4:$N$353,0),0)=0,"",INDEX('كشف الحساب'!$G$4:$G$353,IFERROR(MATCH(175,'كشف الحساب'!$N$4:$N$353,0),0))),"")</f>
        <v/>
      </c>
      <c r="H179" s="64" t="str">
        <f>IFERROR(IF(IFERROR(MATCH(175,'كشف الحساب'!$N$4:$N$353,0),0)=0,"",INDEX('كشف الحساب'!$H$4:$H$353,IFERROR(MATCH(175,'كشف الحساب'!$N$4:$N$353,0),0))),"")</f>
        <v/>
      </c>
      <c r="I179" s="64" t="str">
        <f>IFERROR(IF(IFERROR(MATCH(175,'كشف الحساب'!$N$4:$N$353,0),0)=0,"",INDEX('كشف الحساب'!$I$4:$I$353,IFERROR(MATCH(175,'كشف الحساب'!$N$4:$N$353,0),0))),"")</f>
        <v/>
      </c>
      <c r="J179" s="68" t="str">
        <f>IFERROR(IF(IFERROR(MATCH(175,'كشف الحساب'!$N$4:$N$353,0),0)=0,"",INDEX('كشف الحساب'!$J$4:$J$353,IFERROR(MATCH(175,'كشف الحساب'!$N$4:$N$353,0),0))),"")</f>
        <v/>
      </c>
      <c r="K179" s="64" t="str">
        <f>IFERROR(IF(IFERROR(MATCH(175,'كشف الحساب'!$N$4:$N$353,0),0)=0,"",INDEX('كشف الحساب'!$K$4:$K$353,IFERROR(MATCH(175,'كشف الحساب'!$N$4:$N$353,0),0))),"")</f>
        <v/>
      </c>
    </row>
    <row r="180" spans="1:11" ht="15" customHeight="1" x14ac:dyDescent="0.25">
      <c r="A180" s="69" t="str">
        <f>IFERROR(IF(IFERROR(MATCH(176,'كشف الحساب'!$N$4:$N$353,0),0)=0,"",INDEX('كشف الحساب'!$A$4:$A$353,IFERROR(MATCH(176,'كشف الحساب'!$N$4:$N$353,0),0))),"")</f>
        <v/>
      </c>
      <c r="B180" s="70" t="str">
        <f>IFERROR(IF(IFERROR(MATCH(176,'كشف الحساب'!$N$4:$N$353,0),0)=0,"",INDEX('كشف الحساب'!$B$4:$B$353,IFERROR(MATCH(176,'كشف الحساب'!$N$4:$N$353,0),0))),"")</f>
        <v/>
      </c>
      <c r="C180" s="71" t="str">
        <f>IFERROR(IF(IFERROR(MATCH(176,'كشف الحساب'!$N$4:$N$353,0),0)=0,"",INDEX('كشف الحساب'!$C$4:$C$353,IFERROR(MATCH(176,'كشف الحساب'!$N$4:$N$353,0),0))),"")</f>
        <v/>
      </c>
      <c r="D180" s="72" t="str">
        <f>IFERROR(IF(IFERROR(MATCH(176,'كشف الحساب'!$N$4:$N$353,0),0)=0,"",INDEX('كشف الحساب'!$D$4:$D$353,IFERROR(MATCH(176,'كشف الحساب'!$N$4:$N$353,0),0))),"")</f>
        <v/>
      </c>
      <c r="E180" s="73" t="str">
        <f>IFERROR(IF(IFERROR(MATCH(176,'كشف الحساب'!$N$4:$N$353,0),0)=0,"",INDEX('كشف الحساب'!$E$4:$E$353,IFERROR(MATCH(176,'كشف الحساب'!$N$4:$N$353,0),0))),"")</f>
        <v/>
      </c>
      <c r="F180" s="70" t="str">
        <f>IFERROR(IF(IFERROR(MATCH(176,'كشف الحساب'!$N$4:$N$353,0),0)=0,"",INDEX('كشف الحساب'!$F$4:$F$353,IFERROR(MATCH(176,'كشف الحساب'!$N$4:$N$353,0),0))),"")</f>
        <v/>
      </c>
      <c r="G180" s="70" t="str">
        <f>IFERROR(IF(IFERROR(MATCH(176,'كشف الحساب'!$N$4:$N$353,0),0)=0,"",INDEX('كشف الحساب'!$G$4:$G$353,IFERROR(MATCH(176,'كشف الحساب'!$N$4:$N$353,0),0))),"")</f>
        <v/>
      </c>
      <c r="H180" s="70" t="str">
        <f>IFERROR(IF(IFERROR(MATCH(176,'كشف الحساب'!$N$4:$N$353,0),0)=0,"",INDEX('كشف الحساب'!$H$4:$H$353,IFERROR(MATCH(176,'كشف الحساب'!$N$4:$N$353,0),0))),"")</f>
        <v/>
      </c>
      <c r="I180" s="70" t="str">
        <f>IFERROR(IF(IFERROR(MATCH(176,'كشف الحساب'!$N$4:$N$353,0),0)=0,"",INDEX('كشف الحساب'!$I$4:$I$353,IFERROR(MATCH(176,'كشف الحساب'!$N$4:$N$353,0),0))),"")</f>
        <v/>
      </c>
      <c r="J180" s="74" t="str">
        <f>IFERROR(IF(IFERROR(MATCH(176,'كشف الحساب'!$N$4:$N$353,0),0)=0,"",INDEX('كشف الحساب'!$J$4:$J$353,IFERROR(MATCH(176,'كشف الحساب'!$N$4:$N$353,0),0))),"")</f>
        <v/>
      </c>
      <c r="K180" s="70" t="str">
        <f>IFERROR(IF(IFERROR(MATCH(176,'كشف الحساب'!$N$4:$N$353,0),0)=0,"",INDEX('كشف الحساب'!$K$4:$K$353,IFERROR(MATCH(176,'كشف الحساب'!$N$4:$N$353,0),0))),"")</f>
        <v/>
      </c>
    </row>
    <row r="181" spans="1:11" ht="15" customHeight="1" x14ac:dyDescent="0.25">
      <c r="A181" s="63" t="str">
        <f>IFERROR(IF(IFERROR(MATCH(177,'كشف الحساب'!$N$4:$N$353,0),0)=0,"",INDEX('كشف الحساب'!$A$4:$A$353,IFERROR(MATCH(177,'كشف الحساب'!$N$4:$N$353,0),0))),"")</f>
        <v/>
      </c>
      <c r="B181" s="64" t="str">
        <f>IFERROR(IF(IFERROR(MATCH(177,'كشف الحساب'!$N$4:$N$353,0),0)=0,"",INDEX('كشف الحساب'!$B$4:$B$353,IFERROR(MATCH(177,'كشف الحساب'!$N$4:$N$353,0),0))),"")</f>
        <v/>
      </c>
      <c r="C181" s="65" t="str">
        <f>IFERROR(IF(IFERROR(MATCH(177,'كشف الحساب'!$N$4:$N$353,0),0)=0,"",INDEX('كشف الحساب'!$C$4:$C$353,IFERROR(MATCH(177,'كشف الحساب'!$N$4:$N$353,0),0))),"")</f>
        <v/>
      </c>
      <c r="D181" s="66" t="str">
        <f>IFERROR(IF(IFERROR(MATCH(177,'كشف الحساب'!$N$4:$N$353,0),0)=0,"",INDEX('كشف الحساب'!$D$4:$D$353,IFERROR(MATCH(177,'كشف الحساب'!$N$4:$N$353,0),0))),"")</f>
        <v/>
      </c>
      <c r="E181" s="67" t="str">
        <f>IFERROR(IF(IFERROR(MATCH(177,'كشف الحساب'!$N$4:$N$353,0),0)=0,"",INDEX('كشف الحساب'!$E$4:$E$353,IFERROR(MATCH(177,'كشف الحساب'!$N$4:$N$353,0),0))),"")</f>
        <v/>
      </c>
      <c r="F181" s="64" t="str">
        <f>IFERROR(IF(IFERROR(MATCH(177,'كشف الحساب'!$N$4:$N$353,0),0)=0,"",INDEX('كشف الحساب'!$F$4:$F$353,IFERROR(MATCH(177,'كشف الحساب'!$N$4:$N$353,0),0))),"")</f>
        <v/>
      </c>
      <c r="G181" s="64" t="str">
        <f>IFERROR(IF(IFERROR(MATCH(177,'كشف الحساب'!$N$4:$N$353,0),0)=0,"",INDEX('كشف الحساب'!$G$4:$G$353,IFERROR(MATCH(177,'كشف الحساب'!$N$4:$N$353,0),0))),"")</f>
        <v/>
      </c>
      <c r="H181" s="64" t="str">
        <f>IFERROR(IF(IFERROR(MATCH(177,'كشف الحساب'!$N$4:$N$353,0),0)=0,"",INDEX('كشف الحساب'!$H$4:$H$353,IFERROR(MATCH(177,'كشف الحساب'!$N$4:$N$353,0),0))),"")</f>
        <v/>
      </c>
      <c r="I181" s="64" t="str">
        <f>IFERROR(IF(IFERROR(MATCH(177,'كشف الحساب'!$N$4:$N$353,0),0)=0,"",INDEX('كشف الحساب'!$I$4:$I$353,IFERROR(MATCH(177,'كشف الحساب'!$N$4:$N$353,0),0))),"")</f>
        <v/>
      </c>
      <c r="J181" s="68" t="str">
        <f>IFERROR(IF(IFERROR(MATCH(177,'كشف الحساب'!$N$4:$N$353,0),0)=0,"",INDEX('كشف الحساب'!$J$4:$J$353,IFERROR(MATCH(177,'كشف الحساب'!$N$4:$N$353,0),0))),"")</f>
        <v/>
      </c>
      <c r="K181" s="64" t="str">
        <f>IFERROR(IF(IFERROR(MATCH(177,'كشف الحساب'!$N$4:$N$353,0),0)=0,"",INDEX('كشف الحساب'!$K$4:$K$353,IFERROR(MATCH(177,'كشف الحساب'!$N$4:$N$353,0),0))),"")</f>
        <v/>
      </c>
    </row>
    <row r="182" spans="1:11" ht="15" customHeight="1" x14ac:dyDescent="0.25">
      <c r="A182" s="69" t="str">
        <f>IFERROR(IF(IFERROR(MATCH(178,'كشف الحساب'!$N$4:$N$353,0),0)=0,"",INDEX('كشف الحساب'!$A$4:$A$353,IFERROR(MATCH(178,'كشف الحساب'!$N$4:$N$353,0),0))),"")</f>
        <v/>
      </c>
      <c r="B182" s="70" t="str">
        <f>IFERROR(IF(IFERROR(MATCH(178,'كشف الحساب'!$N$4:$N$353,0),0)=0,"",INDEX('كشف الحساب'!$B$4:$B$353,IFERROR(MATCH(178,'كشف الحساب'!$N$4:$N$353,0),0))),"")</f>
        <v/>
      </c>
      <c r="C182" s="71" t="str">
        <f>IFERROR(IF(IFERROR(MATCH(178,'كشف الحساب'!$N$4:$N$353,0),0)=0,"",INDEX('كشف الحساب'!$C$4:$C$353,IFERROR(MATCH(178,'كشف الحساب'!$N$4:$N$353,0),0))),"")</f>
        <v/>
      </c>
      <c r="D182" s="72" t="str">
        <f>IFERROR(IF(IFERROR(MATCH(178,'كشف الحساب'!$N$4:$N$353,0),0)=0,"",INDEX('كشف الحساب'!$D$4:$D$353,IFERROR(MATCH(178,'كشف الحساب'!$N$4:$N$353,0),0))),"")</f>
        <v/>
      </c>
      <c r="E182" s="73" t="str">
        <f>IFERROR(IF(IFERROR(MATCH(178,'كشف الحساب'!$N$4:$N$353,0),0)=0,"",INDEX('كشف الحساب'!$E$4:$E$353,IFERROR(MATCH(178,'كشف الحساب'!$N$4:$N$353,0),0))),"")</f>
        <v/>
      </c>
      <c r="F182" s="70" t="str">
        <f>IFERROR(IF(IFERROR(MATCH(178,'كشف الحساب'!$N$4:$N$353,0),0)=0,"",INDEX('كشف الحساب'!$F$4:$F$353,IFERROR(MATCH(178,'كشف الحساب'!$N$4:$N$353,0),0))),"")</f>
        <v/>
      </c>
      <c r="G182" s="70" t="str">
        <f>IFERROR(IF(IFERROR(MATCH(178,'كشف الحساب'!$N$4:$N$353,0),0)=0,"",INDEX('كشف الحساب'!$G$4:$G$353,IFERROR(MATCH(178,'كشف الحساب'!$N$4:$N$353,0),0))),"")</f>
        <v/>
      </c>
      <c r="H182" s="70" t="str">
        <f>IFERROR(IF(IFERROR(MATCH(178,'كشف الحساب'!$N$4:$N$353,0),0)=0,"",INDEX('كشف الحساب'!$H$4:$H$353,IFERROR(MATCH(178,'كشف الحساب'!$N$4:$N$353,0),0))),"")</f>
        <v/>
      </c>
      <c r="I182" s="70" t="str">
        <f>IFERROR(IF(IFERROR(MATCH(178,'كشف الحساب'!$N$4:$N$353,0),0)=0,"",INDEX('كشف الحساب'!$I$4:$I$353,IFERROR(MATCH(178,'كشف الحساب'!$N$4:$N$353,0),0))),"")</f>
        <v/>
      </c>
      <c r="J182" s="74" t="str">
        <f>IFERROR(IF(IFERROR(MATCH(178,'كشف الحساب'!$N$4:$N$353,0),0)=0,"",INDEX('كشف الحساب'!$J$4:$J$353,IFERROR(MATCH(178,'كشف الحساب'!$N$4:$N$353,0),0))),"")</f>
        <v/>
      </c>
      <c r="K182" s="70" t="str">
        <f>IFERROR(IF(IFERROR(MATCH(178,'كشف الحساب'!$N$4:$N$353,0),0)=0,"",INDEX('كشف الحساب'!$K$4:$K$353,IFERROR(MATCH(178,'كشف الحساب'!$N$4:$N$353,0),0))),"")</f>
        <v/>
      </c>
    </row>
    <row r="183" spans="1:11" ht="15" customHeight="1" x14ac:dyDescent="0.25">
      <c r="A183" s="63" t="str">
        <f>IFERROR(IF(IFERROR(MATCH(179,'كشف الحساب'!$N$4:$N$353,0),0)=0,"",INDEX('كشف الحساب'!$A$4:$A$353,IFERROR(MATCH(179,'كشف الحساب'!$N$4:$N$353,0),0))),"")</f>
        <v/>
      </c>
      <c r="B183" s="64" t="str">
        <f>IFERROR(IF(IFERROR(MATCH(179,'كشف الحساب'!$N$4:$N$353,0),0)=0,"",INDEX('كشف الحساب'!$B$4:$B$353,IFERROR(MATCH(179,'كشف الحساب'!$N$4:$N$353,0),0))),"")</f>
        <v/>
      </c>
      <c r="C183" s="65" t="str">
        <f>IFERROR(IF(IFERROR(MATCH(179,'كشف الحساب'!$N$4:$N$353,0),0)=0,"",INDEX('كشف الحساب'!$C$4:$C$353,IFERROR(MATCH(179,'كشف الحساب'!$N$4:$N$353,0),0))),"")</f>
        <v/>
      </c>
      <c r="D183" s="66" t="str">
        <f>IFERROR(IF(IFERROR(MATCH(179,'كشف الحساب'!$N$4:$N$353,0),0)=0,"",INDEX('كشف الحساب'!$D$4:$D$353,IFERROR(MATCH(179,'كشف الحساب'!$N$4:$N$353,0),0))),"")</f>
        <v/>
      </c>
      <c r="E183" s="67" t="str">
        <f>IFERROR(IF(IFERROR(MATCH(179,'كشف الحساب'!$N$4:$N$353,0),0)=0,"",INDEX('كشف الحساب'!$E$4:$E$353,IFERROR(MATCH(179,'كشف الحساب'!$N$4:$N$353,0),0))),"")</f>
        <v/>
      </c>
      <c r="F183" s="64" t="str">
        <f>IFERROR(IF(IFERROR(MATCH(179,'كشف الحساب'!$N$4:$N$353,0),0)=0,"",INDEX('كشف الحساب'!$F$4:$F$353,IFERROR(MATCH(179,'كشف الحساب'!$N$4:$N$353,0),0))),"")</f>
        <v/>
      </c>
      <c r="G183" s="64" t="str">
        <f>IFERROR(IF(IFERROR(MATCH(179,'كشف الحساب'!$N$4:$N$353,0),0)=0,"",INDEX('كشف الحساب'!$G$4:$G$353,IFERROR(MATCH(179,'كشف الحساب'!$N$4:$N$353,0),0))),"")</f>
        <v/>
      </c>
      <c r="H183" s="64" t="str">
        <f>IFERROR(IF(IFERROR(MATCH(179,'كشف الحساب'!$N$4:$N$353,0),0)=0,"",INDEX('كشف الحساب'!$H$4:$H$353,IFERROR(MATCH(179,'كشف الحساب'!$N$4:$N$353,0),0))),"")</f>
        <v/>
      </c>
      <c r="I183" s="64" t="str">
        <f>IFERROR(IF(IFERROR(MATCH(179,'كشف الحساب'!$N$4:$N$353,0),0)=0,"",INDEX('كشف الحساب'!$I$4:$I$353,IFERROR(MATCH(179,'كشف الحساب'!$N$4:$N$353,0),0))),"")</f>
        <v/>
      </c>
      <c r="J183" s="68" t="str">
        <f>IFERROR(IF(IFERROR(MATCH(179,'كشف الحساب'!$N$4:$N$353,0),0)=0,"",INDEX('كشف الحساب'!$J$4:$J$353,IFERROR(MATCH(179,'كشف الحساب'!$N$4:$N$353,0),0))),"")</f>
        <v/>
      </c>
      <c r="K183" s="64" t="str">
        <f>IFERROR(IF(IFERROR(MATCH(179,'كشف الحساب'!$N$4:$N$353,0),0)=0,"",INDEX('كشف الحساب'!$K$4:$K$353,IFERROR(MATCH(179,'كشف الحساب'!$N$4:$N$353,0),0))),"")</f>
        <v/>
      </c>
    </row>
    <row r="184" spans="1:11" ht="15" customHeight="1" x14ac:dyDescent="0.25">
      <c r="A184" s="69" t="str">
        <f>IFERROR(IF(IFERROR(MATCH(180,'كشف الحساب'!$N$4:$N$353,0),0)=0,"",INDEX('كشف الحساب'!$A$4:$A$353,IFERROR(MATCH(180,'كشف الحساب'!$N$4:$N$353,0),0))),"")</f>
        <v/>
      </c>
      <c r="B184" s="70" t="str">
        <f>IFERROR(IF(IFERROR(MATCH(180,'كشف الحساب'!$N$4:$N$353,0),0)=0,"",INDEX('كشف الحساب'!$B$4:$B$353,IFERROR(MATCH(180,'كشف الحساب'!$N$4:$N$353,0),0))),"")</f>
        <v/>
      </c>
      <c r="C184" s="71" t="str">
        <f>IFERROR(IF(IFERROR(MATCH(180,'كشف الحساب'!$N$4:$N$353,0),0)=0,"",INDEX('كشف الحساب'!$C$4:$C$353,IFERROR(MATCH(180,'كشف الحساب'!$N$4:$N$353,0),0))),"")</f>
        <v/>
      </c>
      <c r="D184" s="72" t="str">
        <f>IFERROR(IF(IFERROR(MATCH(180,'كشف الحساب'!$N$4:$N$353,0),0)=0,"",INDEX('كشف الحساب'!$D$4:$D$353,IFERROR(MATCH(180,'كشف الحساب'!$N$4:$N$353,0),0))),"")</f>
        <v/>
      </c>
      <c r="E184" s="73" t="str">
        <f>IFERROR(IF(IFERROR(MATCH(180,'كشف الحساب'!$N$4:$N$353,0),0)=0,"",INDEX('كشف الحساب'!$E$4:$E$353,IFERROR(MATCH(180,'كشف الحساب'!$N$4:$N$353,0),0))),"")</f>
        <v/>
      </c>
      <c r="F184" s="70" t="str">
        <f>IFERROR(IF(IFERROR(MATCH(180,'كشف الحساب'!$N$4:$N$353,0),0)=0,"",INDEX('كشف الحساب'!$F$4:$F$353,IFERROR(MATCH(180,'كشف الحساب'!$N$4:$N$353,0),0))),"")</f>
        <v/>
      </c>
      <c r="G184" s="70" t="str">
        <f>IFERROR(IF(IFERROR(MATCH(180,'كشف الحساب'!$N$4:$N$353,0),0)=0,"",INDEX('كشف الحساب'!$G$4:$G$353,IFERROR(MATCH(180,'كشف الحساب'!$N$4:$N$353,0),0))),"")</f>
        <v/>
      </c>
      <c r="H184" s="70" t="str">
        <f>IFERROR(IF(IFERROR(MATCH(180,'كشف الحساب'!$N$4:$N$353,0),0)=0,"",INDEX('كشف الحساب'!$H$4:$H$353,IFERROR(MATCH(180,'كشف الحساب'!$N$4:$N$353,0),0))),"")</f>
        <v/>
      </c>
      <c r="I184" s="70" t="str">
        <f>IFERROR(IF(IFERROR(MATCH(180,'كشف الحساب'!$N$4:$N$353,0),0)=0,"",INDEX('كشف الحساب'!$I$4:$I$353,IFERROR(MATCH(180,'كشف الحساب'!$N$4:$N$353,0),0))),"")</f>
        <v/>
      </c>
      <c r="J184" s="74" t="str">
        <f>IFERROR(IF(IFERROR(MATCH(180,'كشف الحساب'!$N$4:$N$353,0),0)=0,"",INDEX('كشف الحساب'!$J$4:$J$353,IFERROR(MATCH(180,'كشف الحساب'!$N$4:$N$353,0),0))),"")</f>
        <v/>
      </c>
      <c r="K184" s="70" t="str">
        <f>IFERROR(IF(IFERROR(MATCH(180,'كشف الحساب'!$N$4:$N$353,0),0)=0,"",INDEX('كشف الحساب'!$K$4:$K$353,IFERROR(MATCH(180,'كشف الحساب'!$N$4:$N$353,0),0))),"")</f>
        <v/>
      </c>
    </row>
    <row r="185" spans="1:11" ht="15" customHeight="1" x14ac:dyDescent="0.25">
      <c r="A185" s="63" t="str">
        <f>IFERROR(IF(IFERROR(MATCH(181,'كشف الحساب'!$N$4:$N$353,0),0)=0,"",INDEX('كشف الحساب'!$A$4:$A$353,IFERROR(MATCH(181,'كشف الحساب'!$N$4:$N$353,0),0))),"")</f>
        <v/>
      </c>
      <c r="B185" s="64" t="str">
        <f>IFERROR(IF(IFERROR(MATCH(181,'كشف الحساب'!$N$4:$N$353,0),0)=0,"",INDEX('كشف الحساب'!$B$4:$B$353,IFERROR(MATCH(181,'كشف الحساب'!$N$4:$N$353,0),0))),"")</f>
        <v/>
      </c>
      <c r="C185" s="65" t="str">
        <f>IFERROR(IF(IFERROR(MATCH(181,'كشف الحساب'!$N$4:$N$353,0),0)=0,"",INDEX('كشف الحساب'!$C$4:$C$353,IFERROR(MATCH(181,'كشف الحساب'!$N$4:$N$353,0),0))),"")</f>
        <v/>
      </c>
      <c r="D185" s="66" t="str">
        <f>IFERROR(IF(IFERROR(MATCH(181,'كشف الحساب'!$N$4:$N$353,0),0)=0,"",INDEX('كشف الحساب'!$D$4:$D$353,IFERROR(MATCH(181,'كشف الحساب'!$N$4:$N$353,0),0))),"")</f>
        <v/>
      </c>
      <c r="E185" s="67" t="str">
        <f>IFERROR(IF(IFERROR(MATCH(181,'كشف الحساب'!$N$4:$N$353,0),0)=0,"",INDEX('كشف الحساب'!$E$4:$E$353,IFERROR(MATCH(181,'كشف الحساب'!$N$4:$N$353,0),0))),"")</f>
        <v/>
      </c>
      <c r="F185" s="64" t="str">
        <f>IFERROR(IF(IFERROR(MATCH(181,'كشف الحساب'!$N$4:$N$353,0),0)=0,"",INDEX('كشف الحساب'!$F$4:$F$353,IFERROR(MATCH(181,'كشف الحساب'!$N$4:$N$353,0),0))),"")</f>
        <v/>
      </c>
      <c r="G185" s="64" t="str">
        <f>IFERROR(IF(IFERROR(MATCH(181,'كشف الحساب'!$N$4:$N$353,0),0)=0,"",INDEX('كشف الحساب'!$G$4:$G$353,IFERROR(MATCH(181,'كشف الحساب'!$N$4:$N$353,0),0))),"")</f>
        <v/>
      </c>
      <c r="H185" s="64" t="str">
        <f>IFERROR(IF(IFERROR(MATCH(181,'كشف الحساب'!$N$4:$N$353,0),0)=0,"",INDEX('كشف الحساب'!$H$4:$H$353,IFERROR(MATCH(181,'كشف الحساب'!$N$4:$N$353,0),0))),"")</f>
        <v/>
      </c>
      <c r="I185" s="64" t="str">
        <f>IFERROR(IF(IFERROR(MATCH(181,'كشف الحساب'!$N$4:$N$353,0),0)=0,"",INDEX('كشف الحساب'!$I$4:$I$353,IFERROR(MATCH(181,'كشف الحساب'!$N$4:$N$353,0),0))),"")</f>
        <v/>
      </c>
      <c r="J185" s="68" t="str">
        <f>IFERROR(IF(IFERROR(MATCH(181,'كشف الحساب'!$N$4:$N$353,0),0)=0,"",INDEX('كشف الحساب'!$J$4:$J$353,IFERROR(MATCH(181,'كشف الحساب'!$N$4:$N$353,0),0))),"")</f>
        <v/>
      </c>
      <c r="K185" s="64" t="str">
        <f>IFERROR(IF(IFERROR(MATCH(181,'كشف الحساب'!$N$4:$N$353,0),0)=0,"",INDEX('كشف الحساب'!$K$4:$K$353,IFERROR(MATCH(181,'كشف الحساب'!$N$4:$N$353,0),0))),"")</f>
        <v/>
      </c>
    </row>
    <row r="186" spans="1:11" ht="15" customHeight="1" x14ac:dyDescent="0.25">
      <c r="A186" s="69" t="str">
        <f>IFERROR(IF(IFERROR(MATCH(182,'كشف الحساب'!$N$4:$N$353,0),0)=0,"",INDEX('كشف الحساب'!$A$4:$A$353,IFERROR(MATCH(182,'كشف الحساب'!$N$4:$N$353,0),0))),"")</f>
        <v/>
      </c>
      <c r="B186" s="70" t="str">
        <f>IFERROR(IF(IFERROR(MATCH(182,'كشف الحساب'!$N$4:$N$353,0),0)=0,"",INDEX('كشف الحساب'!$B$4:$B$353,IFERROR(MATCH(182,'كشف الحساب'!$N$4:$N$353,0),0))),"")</f>
        <v/>
      </c>
      <c r="C186" s="71" t="str">
        <f>IFERROR(IF(IFERROR(MATCH(182,'كشف الحساب'!$N$4:$N$353,0),0)=0,"",INDEX('كشف الحساب'!$C$4:$C$353,IFERROR(MATCH(182,'كشف الحساب'!$N$4:$N$353,0),0))),"")</f>
        <v/>
      </c>
      <c r="D186" s="72" t="str">
        <f>IFERROR(IF(IFERROR(MATCH(182,'كشف الحساب'!$N$4:$N$353,0),0)=0,"",INDEX('كشف الحساب'!$D$4:$D$353,IFERROR(MATCH(182,'كشف الحساب'!$N$4:$N$353,0),0))),"")</f>
        <v/>
      </c>
      <c r="E186" s="73" t="str">
        <f>IFERROR(IF(IFERROR(MATCH(182,'كشف الحساب'!$N$4:$N$353,0),0)=0,"",INDEX('كشف الحساب'!$E$4:$E$353,IFERROR(MATCH(182,'كشف الحساب'!$N$4:$N$353,0),0))),"")</f>
        <v/>
      </c>
      <c r="F186" s="70" t="str">
        <f>IFERROR(IF(IFERROR(MATCH(182,'كشف الحساب'!$N$4:$N$353,0),0)=0,"",INDEX('كشف الحساب'!$F$4:$F$353,IFERROR(MATCH(182,'كشف الحساب'!$N$4:$N$353,0),0))),"")</f>
        <v/>
      </c>
      <c r="G186" s="70" t="str">
        <f>IFERROR(IF(IFERROR(MATCH(182,'كشف الحساب'!$N$4:$N$353,0),0)=0,"",INDEX('كشف الحساب'!$G$4:$G$353,IFERROR(MATCH(182,'كشف الحساب'!$N$4:$N$353,0),0))),"")</f>
        <v/>
      </c>
      <c r="H186" s="70" t="str">
        <f>IFERROR(IF(IFERROR(MATCH(182,'كشف الحساب'!$N$4:$N$353,0),0)=0,"",INDEX('كشف الحساب'!$H$4:$H$353,IFERROR(MATCH(182,'كشف الحساب'!$N$4:$N$353,0),0))),"")</f>
        <v/>
      </c>
      <c r="I186" s="70" t="str">
        <f>IFERROR(IF(IFERROR(MATCH(182,'كشف الحساب'!$N$4:$N$353,0),0)=0,"",INDEX('كشف الحساب'!$I$4:$I$353,IFERROR(MATCH(182,'كشف الحساب'!$N$4:$N$353,0),0))),"")</f>
        <v/>
      </c>
      <c r="J186" s="74" t="str">
        <f>IFERROR(IF(IFERROR(MATCH(182,'كشف الحساب'!$N$4:$N$353,0),0)=0,"",INDEX('كشف الحساب'!$J$4:$J$353,IFERROR(MATCH(182,'كشف الحساب'!$N$4:$N$353,0),0))),"")</f>
        <v/>
      </c>
      <c r="K186" s="70" t="str">
        <f>IFERROR(IF(IFERROR(MATCH(182,'كشف الحساب'!$N$4:$N$353,0),0)=0,"",INDEX('كشف الحساب'!$K$4:$K$353,IFERROR(MATCH(182,'كشف الحساب'!$N$4:$N$353,0),0))),"")</f>
        <v/>
      </c>
    </row>
    <row r="187" spans="1:11" ht="15" customHeight="1" x14ac:dyDescent="0.25">
      <c r="A187" s="63" t="str">
        <f>IFERROR(IF(IFERROR(MATCH(183,'كشف الحساب'!$N$4:$N$353,0),0)=0,"",INDEX('كشف الحساب'!$A$4:$A$353,IFERROR(MATCH(183,'كشف الحساب'!$N$4:$N$353,0),0))),"")</f>
        <v/>
      </c>
      <c r="B187" s="64" t="str">
        <f>IFERROR(IF(IFERROR(MATCH(183,'كشف الحساب'!$N$4:$N$353,0),0)=0,"",INDEX('كشف الحساب'!$B$4:$B$353,IFERROR(MATCH(183,'كشف الحساب'!$N$4:$N$353,0),0))),"")</f>
        <v/>
      </c>
      <c r="C187" s="65" t="str">
        <f>IFERROR(IF(IFERROR(MATCH(183,'كشف الحساب'!$N$4:$N$353,0),0)=0,"",INDEX('كشف الحساب'!$C$4:$C$353,IFERROR(MATCH(183,'كشف الحساب'!$N$4:$N$353,0),0))),"")</f>
        <v/>
      </c>
      <c r="D187" s="66" t="str">
        <f>IFERROR(IF(IFERROR(MATCH(183,'كشف الحساب'!$N$4:$N$353,0),0)=0,"",INDEX('كشف الحساب'!$D$4:$D$353,IFERROR(MATCH(183,'كشف الحساب'!$N$4:$N$353,0),0))),"")</f>
        <v/>
      </c>
      <c r="E187" s="67" t="str">
        <f>IFERROR(IF(IFERROR(MATCH(183,'كشف الحساب'!$N$4:$N$353,0),0)=0,"",INDEX('كشف الحساب'!$E$4:$E$353,IFERROR(MATCH(183,'كشف الحساب'!$N$4:$N$353,0),0))),"")</f>
        <v/>
      </c>
      <c r="F187" s="64" t="str">
        <f>IFERROR(IF(IFERROR(MATCH(183,'كشف الحساب'!$N$4:$N$353,0),0)=0,"",INDEX('كشف الحساب'!$F$4:$F$353,IFERROR(MATCH(183,'كشف الحساب'!$N$4:$N$353,0),0))),"")</f>
        <v/>
      </c>
      <c r="G187" s="64" t="str">
        <f>IFERROR(IF(IFERROR(MATCH(183,'كشف الحساب'!$N$4:$N$353,0),0)=0,"",INDEX('كشف الحساب'!$G$4:$G$353,IFERROR(MATCH(183,'كشف الحساب'!$N$4:$N$353,0),0))),"")</f>
        <v/>
      </c>
      <c r="H187" s="64" t="str">
        <f>IFERROR(IF(IFERROR(MATCH(183,'كشف الحساب'!$N$4:$N$353,0),0)=0,"",INDEX('كشف الحساب'!$H$4:$H$353,IFERROR(MATCH(183,'كشف الحساب'!$N$4:$N$353,0),0))),"")</f>
        <v/>
      </c>
      <c r="I187" s="64" t="str">
        <f>IFERROR(IF(IFERROR(MATCH(183,'كشف الحساب'!$N$4:$N$353,0),0)=0,"",INDEX('كشف الحساب'!$I$4:$I$353,IFERROR(MATCH(183,'كشف الحساب'!$N$4:$N$353,0),0))),"")</f>
        <v/>
      </c>
      <c r="J187" s="68" t="str">
        <f>IFERROR(IF(IFERROR(MATCH(183,'كشف الحساب'!$N$4:$N$353,0),0)=0,"",INDEX('كشف الحساب'!$J$4:$J$353,IFERROR(MATCH(183,'كشف الحساب'!$N$4:$N$353,0),0))),"")</f>
        <v/>
      </c>
      <c r="K187" s="64" t="str">
        <f>IFERROR(IF(IFERROR(MATCH(183,'كشف الحساب'!$N$4:$N$353,0),0)=0,"",INDEX('كشف الحساب'!$K$4:$K$353,IFERROR(MATCH(183,'كشف الحساب'!$N$4:$N$353,0),0))),"")</f>
        <v/>
      </c>
    </row>
    <row r="188" spans="1:11" ht="15" customHeight="1" x14ac:dyDescent="0.25">
      <c r="A188" s="69" t="str">
        <f>IFERROR(IF(IFERROR(MATCH(184,'كشف الحساب'!$N$4:$N$353,0),0)=0,"",INDEX('كشف الحساب'!$A$4:$A$353,IFERROR(MATCH(184,'كشف الحساب'!$N$4:$N$353,0),0))),"")</f>
        <v/>
      </c>
      <c r="B188" s="70" t="str">
        <f>IFERROR(IF(IFERROR(MATCH(184,'كشف الحساب'!$N$4:$N$353,0),0)=0,"",INDEX('كشف الحساب'!$B$4:$B$353,IFERROR(MATCH(184,'كشف الحساب'!$N$4:$N$353,0),0))),"")</f>
        <v/>
      </c>
      <c r="C188" s="71" t="str">
        <f>IFERROR(IF(IFERROR(MATCH(184,'كشف الحساب'!$N$4:$N$353,0),0)=0,"",INDEX('كشف الحساب'!$C$4:$C$353,IFERROR(MATCH(184,'كشف الحساب'!$N$4:$N$353,0),0))),"")</f>
        <v/>
      </c>
      <c r="D188" s="72" t="str">
        <f>IFERROR(IF(IFERROR(MATCH(184,'كشف الحساب'!$N$4:$N$353,0),0)=0,"",INDEX('كشف الحساب'!$D$4:$D$353,IFERROR(MATCH(184,'كشف الحساب'!$N$4:$N$353,0),0))),"")</f>
        <v/>
      </c>
      <c r="E188" s="73" t="str">
        <f>IFERROR(IF(IFERROR(MATCH(184,'كشف الحساب'!$N$4:$N$353,0),0)=0,"",INDEX('كشف الحساب'!$E$4:$E$353,IFERROR(MATCH(184,'كشف الحساب'!$N$4:$N$353,0),0))),"")</f>
        <v/>
      </c>
      <c r="F188" s="70" t="str">
        <f>IFERROR(IF(IFERROR(MATCH(184,'كشف الحساب'!$N$4:$N$353,0),0)=0,"",INDEX('كشف الحساب'!$F$4:$F$353,IFERROR(MATCH(184,'كشف الحساب'!$N$4:$N$353,0),0))),"")</f>
        <v/>
      </c>
      <c r="G188" s="70" t="str">
        <f>IFERROR(IF(IFERROR(MATCH(184,'كشف الحساب'!$N$4:$N$353,0),0)=0,"",INDEX('كشف الحساب'!$G$4:$G$353,IFERROR(MATCH(184,'كشف الحساب'!$N$4:$N$353,0),0))),"")</f>
        <v/>
      </c>
      <c r="H188" s="70" t="str">
        <f>IFERROR(IF(IFERROR(MATCH(184,'كشف الحساب'!$N$4:$N$353,0),0)=0,"",INDEX('كشف الحساب'!$H$4:$H$353,IFERROR(MATCH(184,'كشف الحساب'!$N$4:$N$353,0),0))),"")</f>
        <v/>
      </c>
      <c r="I188" s="70" t="str">
        <f>IFERROR(IF(IFERROR(MATCH(184,'كشف الحساب'!$N$4:$N$353,0),0)=0,"",INDEX('كشف الحساب'!$I$4:$I$353,IFERROR(MATCH(184,'كشف الحساب'!$N$4:$N$353,0),0))),"")</f>
        <v/>
      </c>
      <c r="J188" s="74" t="str">
        <f>IFERROR(IF(IFERROR(MATCH(184,'كشف الحساب'!$N$4:$N$353,0),0)=0,"",INDEX('كشف الحساب'!$J$4:$J$353,IFERROR(MATCH(184,'كشف الحساب'!$N$4:$N$353,0),0))),"")</f>
        <v/>
      </c>
      <c r="K188" s="70" t="str">
        <f>IFERROR(IF(IFERROR(MATCH(184,'كشف الحساب'!$N$4:$N$353,0),0)=0,"",INDEX('كشف الحساب'!$K$4:$K$353,IFERROR(MATCH(184,'كشف الحساب'!$N$4:$N$353,0),0))),"")</f>
        <v/>
      </c>
    </row>
    <row r="189" spans="1:11" ht="15" customHeight="1" x14ac:dyDescent="0.25">
      <c r="A189" s="63" t="str">
        <f>IFERROR(IF(IFERROR(MATCH(185,'كشف الحساب'!$N$4:$N$353,0),0)=0,"",INDEX('كشف الحساب'!$A$4:$A$353,IFERROR(MATCH(185,'كشف الحساب'!$N$4:$N$353,0),0))),"")</f>
        <v/>
      </c>
      <c r="B189" s="64" t="str">
        <f>IFERROR(IF(IFERROR(MATCH(185,'كشف الحساب'!$N$4:$N$353,0),0)=0,"",INDEX('كشف الحساب'!$B$4:$B$353,IFERROR(MATCH(185,'كشف الحساب'!$N$4:$N$353,0),0))),"")</f>
        <v/>
      </c>
      <c r="C189" s="65" t="str">
        <f>IFERROR(IF(IFERROR(MATCH(185,'كشف الحساب'!$N$4:$N$353,0),0)=0,"",INDEX('كشف الحساب'!$C$4:$C$353,IFERROR(MATCH(185,'كشف الحساب'!$N$4:$N$353,0),0))),"")</f>
        <v/>
      </c>
      <c r="D189" s="66" t="str">
        <f>IFERROR(IF(IFERROR(MATCH(185,'كشف الحساب'!$N$4:$N$353,0),0)=0,"",INDEX('كشف الحساب'!$D$4:$D$353,IFERROR(MATCH(185,'كشف الحساب'!$N$4:$N$353,0),0))),"")</f>
        <v/>
      </c>
      <c r="E189" s="67" t="str">
        <f>IFERROR(IF(IFERROR(MATCH(185,'كشف الحساب'!$N$4:$N$353,0),0)=0,"",INDEX('كشف الحساب'!$E$4:$E$353,IFERROR(MATCH(185,'كشف الحساب'!$N$4:$N$353,0),0))),"")</f>
        <v/>
      </c>
      <c r="F189" s="64" t="str">
        <f>IFERROR(IF(IFERROR(MATCH(185,'كشف الحساب'!$N$4:$N$353,0),0)=0,"",INDEX('كشف الحساب'!$F$4:$F$353,IFERROR(MATCH(185,'كشف الحساب'!$N$4:$N$353,0),0))),"")</f>
        <v/>
      </c>
      <c r="G189" s="64" t="str">
        <f>IFERROR(IF(IFERROR(MATCH(185,'كشف الحساب'!$N$4:$N$353,0),0)=0,"",INDEX('كشف الحساب'!$G$4:$G$353,IFERROR(MATCH(185,'كشف الحساب'!$N$4:$N$353,0),0))),"")</f>
        <v/>
      </c>
      <c r="H189" s="64" t="str">
        <f>IFERROR(IF(IFERROR(MATCH(185,'كشف الحساب'!$N$4:$N$353,0),0)=0,"",INDEX('كشف الحساب'!$H$4:$H$353,IFERROR(MATCH(185,'كشف الحساب'!$N$4:$N$353,0),0))),"")</f>
        <v/>
      </c>
      <c r="I189" s="64" t="str">
        <f>IFERROR(IF(IFERROR(MATCH(185,'كشف الحساب'!$N$4:$N$353,0),0)=0,"",INDEX('كشف الحساب'!$I$4:$I$353,IFERROR(MATCH(185,'كشف الحساب'!$N$4:$N$353,0),0))),"")</f>
        <v/>
      </c>
      <c r="J189" s="68" t="str">
        <f>IFERROR(IF(IFERROR(MATCH(185,'كشف الحساب'!$N$4:$N$353,0),0)=0,"",INDEX('كشف الحساب'!$J$4:$J$353,IFERROR(MATCH(185,'كشف الحساب'!$N$4:$N$353,0),0))),"")</f>
        <v/>
      </c>
      <c r="K189" s="64" t="str">
        <f>IFERROR(IF(IFERROR(MATCH(185,'كشف الحساب'!$N$4:$N$353,0),0)=0,"",INDEX('كشف الحساب'!$K$4:$K$353,IFERROR(MATCH(185,'كشف الحساب'!$N$4:$N$353,0),0))),"")</f>
        <v/>
      </c>
    </row>
    <row r="190" spans="1:11" ht="15" customHeight="1" x14ac:dyDescent="0.25">
      <c r="A190" s="69" t="str">
        <f>IFERROR(IF(IFERROR(MATCH(186,'كشف الحساب'!$N$4:$N$353,0),0)=0,"",INDEX('كشف الحساب'!$A$4:$A$353,IFERROR(MATCH(186,'كشف الحساب'!$N$4:$N$353,0),0))),"")</f>
        <v/>
      </c>
      <c r="B190" s="70" t="str">
        <f>IFERROR(IF(IFERROR(MATCH(186,'كشف الحساب'!$N$4:$N$353,0),0)=0,"",INDEX('كشف الحساب'!$B$4:$B$353,IFERROR(MATCH(186,'كشف الحساب'!$N$4:$N$353,0),0))),"")</f>
        <v/>
      </c>
      <c r="C190" s="71" t="str">
        <f>IFERROR(IF(IFERROR(MATCH(186,'كشف الحساب'!$N$4:$N$353,0),0)=0,"",INDEX('كشف الحساب'!$C$4:$C$353,IFERROR(MATCH(186,'كشف الحساب'!$N$4:$N$353,0),0))),"")</f>
        <v/>
      </c>
      <c r="D190" s="72" t="str">
        <f>IFERROR(IF(IFERROR(MATCH(186,'كشف الحساب'!$N$4:$N$353,0),0)=0,"",INDEX('كشف الحساب'!$D$4:$D$353,IFERROR(MATCH(186,'كشف الحساب'!$N$4:$N$353,0),0))),"")</f>
        <v/>
      </c>
      <c r="E190" s="73" t="str">
        <f>IFERROR(IF(IFERROR(MATCH(186,'كشف الحساب'!$N$4:$N$353,0),0)=0,"",INDEX('كشف الحساب'!$E$4:$E$353,IFERROR(MATCH(186,'كشف الحساب'!$N$4:$N$353,0),0))),"")</f>
        <v/>
      </c>
      <c r="F190" s="70" t="str">
        <f>IFERROR(IF(IFERROR(MATCH(186,'كشف الحساب'!$N$4:$N$353,0),0)=0,"",INDEX('كشف الحساب'!$F$4:$F$353,IFERROR(MATCH(186,'كشف الحساب'!$N$4:$N$353,0),0))),"")</f>
        <v/>
      </c>
      <c r="G190" s="70" t="str">
        <f>IFERROR(IF(IFERROR(MATCH(186,'كشف الحساب'!$N$4:$N$353,0),0)=0,"",INDEX('كشف الحساب'!$G$4:$G$353,IFERROR(MATCH(186,'كشف الحساب'!$N$4:$N$353,0),0))),"")</f>
        <v/>
      </c>
      <c r="H190" s="70" t="str">
        <f>IFERROR(IF(IFERROR(MATCH(186,'كشف الحساب'!$N$4:$N$353,0),0)=0,"",INDEX('كشف الحساب'!$H$4:$H$353,IFERROR(MATCH(186,'كشف الحساب'!$N$4:$N$353,0),0))),"")</f>
        <v/>
      </c>
      <c r="I190" s="70" t="str">
        <f>IFERROR(IF(IFERROR(MATCH(186,'كشف الحساب'!$N$4:$N$353,0),0)=0,"",INDEX('كشف الحساب'!$I$4:$I$353,IFERROR(MATCH(186,'كشف الحساب'!$N$4:$N$353,0),0))),"")</f>
        <v/>
      </c>
      <c r="J190" s="74" t="str">
        <f>IFERROR(IF(IFERROR(MATCH(186,'كشف الحساب'!$N$4:$N$353,0),0)=0,"",INDEX('كشف الحساب'!$J$4:$J$353,IFERROR(MATCH(186,'كشف الحساب'!$N$4:$N$353,0),0))),"")</f>
        <v/>
      </c>
      <c r="K190" s="70" t="str">
        <f>IFERROR(IF(IFERROR(MATCH(186,'كشف الحساب'!$N$4:$N$353,0),0)=0,"",INDEX('كشف الحساب'!$K$4:$K$353,IFERROR(MATCH(186,'كشف الحساب'!$N$4:$N$353,0),0))),"")</f>
        <v/>
      </c>
    </row>
    <row r="191" spans="1:11" ht="15" customHeight="1" x14ac:dyDescent="0.25">
      <c r="A191" s="63" t="str">
        <f>IFERROR(IF(IFERROR(MATCH(187,'كشف الحساب'!$N$4:$N$353,0),0)=0,"",INDEX('كشف الحساب'!$A$4:$A$353,IFERROR(MATCH(187,'كشف الحساب'!$N$4:$N$353,0),0))),"")</f>
        <v/>
      </c>
      <c r="B191" s="64" t="str">
        <f>IFERROR(IF(IFERROR(MATCH(187,'كشف الحساب'!$N$4:$N$353,0),0)=0,"",INDEX('كشف الحساب'!$B$4:$B$353,IFERROR(MATCH(187,'كشف الحساب'!$N$4:$N$353,0),0))),"")</f>
        <v/>
      </c>
      <c r="C191" s="65" t="str">
        <f>IFERROR(IF(IFERROR(MATCH(187,'كشف الحساب'!$N$4:$N$353,0),0)=0,"",INDEX('كشف الحساب'!$C$4:$C$353,IFERROR(MATCH(187,'كشف الحساب'!$N$4:$N$353,0),0))),"")</f>
        <v/>
      </c>
      <c r="D191" s="66" t="str">
        <f>IFERROR(IF(IFERROR(MATCH(187,'كشف الحساب'!$N$4:$N$353,0),0)=0,"",INDEX('كشف الحساب'!$D$4:$D$353,IFERROR(MATCH(187,'كشف الحساب'!$N$4:$N$353,0),0))),"")</f>
        <v/>
      </c>
      <c r="E191" s="67" t="str">
        <f>IFERROR(IF(IFERROR(MATCH(187,'كشف الحساب'!$N$4:$N$353,0),0)=0,"",INDEX('كشف الحساب'!$E$4:$E$353,IFERROR(MATCH(187,'كشف الحساب'!$N$4:$N$353,0),0))),"")</f>
        <v/>
      </c>
      <c r="F191" s="64" t="str">
        <f>IFERROR(IF(IFERROR(MATCH(187,'كشف الحساب'!$N$4:$N$353,0),0)=0,"",INDEX('كشف الحساب'!$F$4:$F$353,IFERROR(MATCH(187,'كشف الحساب'!$N$4:$N$353,0),0))),"")</f>
        <v/>
      </c>
      <c r="G191" s="64" t="str">
        <f>IFERROR(IF(IFERROR(MATCH(187,'كشف الحساب'!$N$4:$N$353,0),0)=0,"",INDEX('كشف الحساب'!$G$4:$G$353,IFERROR(MATCH(187,'كشف الحساب'!$N$4:$N$353,0),0))),"")</f>
        <v/>
      </c>
      <c r="H191" s="64" t="str">
        <f>IFERROR(IF(IFERROR(MATCH(187,'كشف الحساب'!$N$4:$N$353,0),0)=0,"",INDEX('كشف الحساب'!$H$4:$H$353,IFERROR(MATCH(187,'كشف الحساب'!$N$4:$N$353,0),0))),"")</f>
        <v/>
      </c>
      <c r="I191" s="64" t="str">
        <f>IFERROR(IF(IFERROR(MATCH(187,'كشف الحساب'!$N$4:$N$353,0),0)=0,"",INDEX('كشف الحساب'!$I$4:$I$353,IFERROR(MATCH(187,'كشف الحساب'!$N$4:$N$353,0),0))),"")</f>
        <v/>
      </c>
      <c r="J191" s="68" t="str">
        <f>IFERROR(IF(IFERROR(MATCH(187,'كشف الحساب'!$N$4:$N$353,0),0)=0,"",INDEX('كشف الحساب'!$J$4:$J$353,IFERROR(MATCH(187,'كشف الحساب'!$N$4:$N$353,0),0))),"")</f>
        <v/>
      </c>
      <c r="K191" s="64" t="str">
        <f>IFERROR(IF(IFERROR(MATCH(187,'كشف الحساب'!$N$4:$N$353,0),0)=0,"",INDEX('كشف الحساب'!$K$4:$K$353,IFERROR(MATCH(187,'كشف الحساب'!$N$4:$N$353,0),0))),"")</f>
        <v/>
      </c>
    </row>
    <row r="192" spans="1:11" ht="15" customHeight="1" x14ac:dyDescent="0.25">
      <c r="A192" s="69" t="str">
        <f>IFERROR(IF(IFERROR(MATCH(188,'كشف الحساب'!$N$4:$N$353,0),0)=0,"",INDEX('كشف الحساب'!$A$4:$A$353,IFERROR(MATCH(188,'كشف الحساب'!$N$4:$N$353,0),0))),"")</f>
        <v/>
      </c>
      <c r="B192" s="70" t="str">
        <f>IFERROR(IF(IFERROR(MATCH(188,'كشف الحساب'!$N$4:$N$353,0),0)=0,"",INDEX('كشف الحساب'!$B$4:$B$353,IFERROR(MATCH(188,'كشف الحساب'!$N$4:$N$353,0),0))),"")</f>
        <v/>
      </c>
      <c r="C192" s="71" t="str">
        <f>IFERROR(IF(IFERROR(MATCH(188,'كشف الحساب'!$N$4:$N$353,0),0)=0,"",INDEX('كشف الحساب'!$C$4:$C$353,IFERROR(MATCH(188,'كشف الحساب'!$N$4:$N$353,0),0))),"")</f>
        <v/>
      </c>
      <c r="D192" s="72" t="str">
        <f>IFERROR(IF(IFERROR(MATCH(188,'كشف الحساب'!$N$4:$N$353,0),0)=0,"",INDEX('كشف الحساب'!$D$4:$D$353,IFERROR(MATCH(188,'كشف الحساب'!$N$4:$N$353,0),0))),"")</f>
        <v/>
      </c>
      <c r="E192" s="73" t="str">
        <f>IFERROR(IF(IFERROR(MATCH(188,'كشف الحساب'!$N$4:$N$353,0),0)=0,"",INDEX('كشف الحساب'!$E$4:$E$353,IFERROR(MATCH(188,'كشف الحساب'!$N$4:$N$353,0),0))),"")</f>
        <v/>
      </c>
      <c r="F192" s="70" t="str">
        <f>IFERROR(IF(IFERROR(MATCH(188,'كشف الحساب'!$N$4:$N$353,0),0)=0,"",INDEX('كشف الحساب'!$F$4:$F$353,IFERROR(MATCH(188,'كشف الحساب'!$N$4:$N$353,0),0))),"")</f>
        <v/>
      </c>
      <c r="G192" s="70" t="str">
        <f>IFERROR(IF(IFERROR(MATCH(188,'كشف الحساب'!$N$4:$N$353,0),0)=0,"",INDEX('كشف الحساب'!$G$4:$G$353,IFERROR(MATCH(188,'كشف الحساب'!$N$4:$N$353,0),0))),"")</f>
        <v/>
      </c>
      <c r="H192" s="70" t="str">
        <f>IFERROR(IF(IFERROR(MATCH(188,'كشف الحساب'!$N$4:$N$353,0),0)=0,"",INDEX('كشف الحساب'!$H$4:$H$353,IFERROR(MATCH(188,'كشف الحساب'!$N$4:$N$353,0),0))),"")</f>
        <v/>
      </c>
      <c r="I192" s="70" t="str">
        <f>IFERROR(IF(IFERROR(MATCH(188,'كشف الحساب'!$N$4:$N$353,0),0)=0,"",INDEX('كشف الحساب'!$I$4:$I$353,IFERROR(MATCH(188,'كشف الحساب'!$N$4:$N$353,0),0))),"")</f>
        <v/>
      </c>
      <c r="J192" s="74" t="str">
        <f>IFERROR(IF(IFERROR(MATCH(188,'كشف الحساب'!$N$4:$N$353,0),0)=0,"",INDEX('كشف الحساب'!$J$4:$J$353,IFERROR(MATCH(188,'كشف الحساب'!$N$4:$N$353,0),0))),"")</f>
        <v/>
      </c>
      <c r="K192" s="70" t="str">
        <f>IFERROR(IF(IFERROR(MATCH(188,'كشف الحساب'!$N$4:$N$353,0),0)=0,"",INDEX('كشف الحساب'!$K$4:$K$353,IFERROR(MATCH(188,'كشف الحساب'!$N$4:$N$353,0),0))),"")</f>
        <v/>
      </c>
    </row>
    <row r="193" spans="1:11" ht="15" customHeight="1" x14ac:dyDescent="0.25">
      <c r="A193" s="63" t="str">
        <f>IFERROR(IF(IFERROR(MATCH(189,'كشف الحساب'!$N$4:$N$353,0),0)=0,"",INDEX('كشف الحساب'!$A$4:$A$353,IFERROR(MATCH(189,'كشف الحساب'!$N$4:$N$353,0),0))),"")</f>
        <v/>
      </c>
      <c r="B193" s="64" t="str">
        <f>IFERROR(IF(IFERROR(MATCH(189,'كشف الحساب'!$N$4:$N$353,0),0)=0,"",INDEX('كشف الحساب'!$B$4:$B$353,IFERROR(MATCH(189,'كشف الحساب'!$N$4:$N$353,0),0))),"")</f>
        <v/>
      </c>
      <c r="C193" s="65" t="str">
        <f>IFERROR(IF(IFERROR(MATCH(189,'كشف الحساب'!$N$4:$N$353,0),0)=0,"",INDEX('كشف الحساب'!$C$4:$C$353,IFERROR(MATCH(189,'كشف الحساب'!$N$4:$N$353,0),0))),"")</f>
        <v/>
      </c>
      <c r="D193" s="66" t="str">
        <f>IFERROR(IF(IFERROR(MATCH(189,'كشف الحساب'!$N$4:$N$353,0),0)=0,"",INDEX('كشف الحساب'!$D$4:$D$353,IFERROR(MATCH(189,'كشف الحساب'!$N$4:$N$353,0),0))),"")</f>
        <v/>
      </c>
      <c r="E193" s="67" t="str">
        <f>IFERROR(IF(IFERROR(MATCH(189,'كشف الحساب'!$N$4:$N$353,0),0)=0,"",INDEX('كشف الحساب'!$E$4:$E$353,IFERROR(MATCH(189,'كشف الحساب'!$N$4:$N$353,0),0))),"")</f>
        <v/>
      </c>
      <c r="F193" s="64" t="str">
        <f>IFERROR(IF(IFERROR(MATCH(189,'كشف الحساب'!$N$4:$N$353,0),0)=0,"",INDEX('كشف الحساب'!$F$4:$F$353,IFERROR(MATCH(189,'كشف الحساب'!$N$4:$N$353,0),0))),"")</f>
        <v/>
      </c>
      <c r="G193" s="64" t="str">
        <f>IFERROR(IF(IFERROR(MATCH(189,'كشف الحساب'!$N$4:$N$353,0),0)=0,"",INDEX('كشف الحساب'!$G$4:$G$353,IFERROR(MATCH(189,'كشف الحساب'!$N$4:$N$353,0),0))),"")</f>
        <v/>
      </c>
      <c r="H193" s="64" t="str">
        <f>IFERROR(IF(IFERROR(MATCH(189,'كشف الحساب'!$N$4:$N$353,0),0)=0,"",INDEX('كشف الحساب'!$H$4:$H$353,IFERROR(MATCH(189,'كشف الحساب'!$N$4:$N$353,0),0))),"")</f>
        <v/>
      </c>
      <c r="I193" s="64" t="str">
        <f>IFERROR(IF(IFERROR(MATCH(189,'كشف الحساب'!$N$4:$N$353,0),0)=0,"",INDEX('كشف الحساب'!$I$4:$I$353,IFERROR(MATCH(189,'كشف الحساب'!$N$4:$N$353,0),0))),"")</f>
        <v/>
      </c>
      <c r="J193" s="68" t="str">
        <f>IFERROR(IF(IFERROR(MATCH(189,'كشف الحساب'!$N$4:$N$353,0),0)=0,"",INDEX('كشف الحساب'!$J$4:$J$353,IFERROR(MATCH(189,'كشف الحساب'!$N$4:$N$353,0),0))),"")</f>
        <v/>
      </c>
      <c r="K193" s="64" t="str">
        <f>IFERROR(IF(IFERROR(MATCH(189,'كشف الحساب'!$N$4:$N$353,0),0)=0,"",INDEX('كشف الحساب'!$K$4:$K$353,IFERROR(MATCH(189,'كشف الحساب'!$N$4:$N$353,0),0))),"")</f>
        <v/>
      </c>
    </row>
    <row r="194" spans="1:11" ht="15" customHeight="1" x14ac:dyDescent="0.25">
      <c r="A194" s="69" t="str">
        <f>IFERROR(IF(IFERROR(MATCH(190,'كشف الحساب'!$N$4:$N$353,0),0)=0,"",INDEX('كشف الحساب'!$A$4:$A$353,IFERROR(MATCH(190,'كشف الحساب'!$N$4:$N$353,0),0))),"")</f>
        <v/>
      </c>
      <c r="B194" s="70" t="str">
        <f>IFERROR(IF(IFERROR(MATCH(190,'كشف الحساب'!$N$4:$N$353,0),0)=0,"",INDEX('كشف الحساب'!$B$4:$B$353,IFERROR(MATCH(190,'كشف الحساب'!$N$4:$N$353,0),0))),"")</f>
        <v/>
      </c>
      <c r="C194" s="71" t="str">
        <f>IFERROR(IF(IFERROR(MATCH(190,'كشف الحساب'!$N$4:$N$353,0),0)=0,"",INDEX('كشف الحساب'!$C$4:$C$353,IFERROR(MATCH(190,'كشف الحساب'!$N$4:$N$353,0),0))),"")</f>
        <v/>
      </c>
      <c r="D194" s="72" t="str">
        <f>IFERROR(IF(IFERROR(MATCH(190,'كشف الحساب'!$N$4:$N$353,0),0)=0,"",INDEX('كشف الحساب'!$D$4:$D$353,IFERROR(MATCH(190,'كشف الحساب'!$N$4:$N$353,0),0))),"")</f>
        <v/>
      </c>
      <c r="E194" s="73" t="str">
        <f>IFERROR(IF(IFERROR(MATCH(190,'كشف الحساب'!$N$4:$N$353,0),0)=0,"",INDEX('كشف الحساب'!$E$4:$E$353,IFERROR(MATCH(190,'كشف الحساب'!$N$4:$N$353,0),0))),"")</f>
        <v/>
      </c>
      <c r="F194" s="70" t="str">
        <f>IFERROR(IF(IFERROR(MATCH(190,'كشف الحساب'!$N$4:$N$353,0),0)=0,"",INDEX('كشف الحساب'!$F$4:$F$353,IFERROR(MATCH(190,'كشف الحساب'!$N$4:$N$353,0),0))),"")</f>
        <v/>
      </c>
      <c r="G194" s="70" t="str">
        <f>IFERROR(IF(IFERROR(MATCH(190,'كشف الحساب'!$N$4:$N$353,0),0)=0,"",INDEX('كشف الحساب'!$G$4:$G$353,IFERROR(MATCH(190,'كشف الحساب'!$N$4:$N$353,0),0))),"")</f>
        <v/>
      </c>
      <c r="H194" s="70" t="str">
        <f>IFERROR(IF(IFERROR(MATCH(190,'كشف الحساب'!$N$4:$N$353,0),0)=0,"",INDEX('كشف الحساب'!$H$4:$H$353,IFERROR(MATCH(190,'كشف الحساب'!$N$4:$N$353,0),0))),"")</f>
        <v/>
      </c>
      <c r="I194" s="70" t="str">
        <f>IFERROR(IF(IFERROR(MATCH(190,'كشف الحساب'!$N$4:$N$353,0),0)=0,"",INDEX('كشف الحساب'!$I$4:$I$353,IFERROR(MATCH(190,'كشف الحساب'!$N$4:$N$353,0),0))),"")</f>
        <v/>
      </c>
      <c r="J194" s="74" t="str">
        <f>IFERROR(IF(IFERROR(MATCH(190,'كشف الحساب'!$N$4:$N$353,0),0)=0,"",INDEX('كشف الحساب'!$J$4:$J$353,IFERROR(MATCH(190,'كشف الحساب'!$N$4:$N$353,0),0))),"")</f>
        <v/>
      </c>
      <c r="K194" s="70" t="str">
        <f>IFERROR(IF(IFERROR(MATCH(190,'كشف الحساب'!$N$4:$N$353,0),0)=0,"",INDEX('كشف الحساب'!$K$4:$K$353,IFERROR(MATCH(190,'كشف الحساب'!$N$4:$N$353,0),0))),"")</f>
        <v/>
      </c>
    </row>
    <row r="195" spans="1:11" ht="15" customHeight="1" x14ac:dyDescent="0.25">
      <c r="A195" s="63" t="str">
        <f>IFERROR(IF(IFERROR(MATCH(191,'كشف الحساب'!$N$4:$N$353,0),0)=0,"",INDEX('كشف الحساب'!$A$4:$A$353,IFERROR(MATCH(191,'كشف الحساب'!$N$4:$N$353,0),0))),"")</f>
        <v/>
      </c>
      <c r="B195" s="64" t="str">
        <f>IFERROR(IF(IFERROR(MATCH(191,'كشف الحساب'!$N$4:$N$353,0),0)=0,"",INDEX('كشف الحساب'!$B$4:$B$353,IFERROR(MATCH(191,'كشف الحساب'!$N$4:$N$353,0),0))),"")</f>
        <v/>
      </c>
      <c r="C195" s="65" t="str">
        <f>IFERROR(IF(IFERROR(MATCH(191,'كشف الحساب'!$N$4:$N$353,0),0)=0,"",INDEX('كشف الحساب'!$C$4:$C$353,IFERROR(MATCH(191,'كشف الحساب'!$N$4:$N$353,0),0))),"")</f>
        <v/>
      </c>
      <c r="D195" s="66" t="str">
        <f>IFERROR(IF(IFERROR(MATCH(191,'كشف الحساب'!$N$4:$N$353,0),0)=0,"",INDEX('كشف الحساب'!$D$4:$D$353,IFERROR(MATCH(191,'كشف الحساب'!$N$4:$N$353,0),0))),"")</f>
        <v/>
      </c>
      <c r="E195" s="67" t="str">
        <f>IFERROR(IF(IFERROR(MATCH(191,'كشف الحساب'!$N$4:$N$353,0),0)=0,"",INDEX('كشف الحساب'!$E$4:$E$353,IFERROR(MATCH(191,'كشف الحساب'!$N$4:$N$353,0),0))),"")</f>
        <v/>
      </c>
      <c r="F195" s="64" t="str">
        <f>IFERROR(IF(IFERROR(MATCH(191,'كشف الحساب'!$N$4:$N$353,0),0)=0,"",INDEX('كشف الحساب'!$F$4:$F$353,IFERROR(MATCH(191,'كشف الحساب'!$N$4:$N$353,0),0))),"")</f>
        <v/>
      </c>
      <c r="G195" s="64" t="str">
        <f>IFERROR(IF(IFERROR(MATCH(191,'كشف الحساب'!$N$4:$N$353,0),0)=0,"",INDEX('كشف الحساب'!$G$4:$G$353,IFERROR(MATCH(191,'كشف الحساب'!$N$4:$N$353,0),0))),"")</f>
        <v/>
      </c>
      <c r="H195" s="64" t="str">
        <f>IFERROR(IF(IFERROR(MATCH(191,'كشف الحساب'!$N$4:$N$353,0),0)=0,"",INDEX('كشف الحساب'!$H$4:$H$353,IFERROR(MATCH(191,'كشف الحساب'!$N$4:$N$353,0),0))),"")</f>
        <v/>
      </c>
      <c r="I195" s="64" t="str">
        <f>IFERROR(IF(IFERROR(MATCH(191,'كشف الحساب'!$N$4:$N$353,0),0)=0,"",INDEX('كشف الحساب'!$I$4:$I$353,IFERROR(MATCH(191,'كشف الحساب'!$N$4:$N$353,0),0))),"")</f>
        <v/>
      </c>
      <c r="J195" s="68" t="str">
        <f>IFERROR(IF(IFERROR(MATCH(191,'كشف الحساب'!$N$4:$N$353,0),0)=0,"",INDEX('كشف الحساب'!$J$4:$J$353,IFERROR(MATCH(191,'كشف الحساب'!$N$4:$N$353,0),0))),"")</f>
        <v/>
      </c>
      <c r="K195" s="64" t="str">
        <f>IFERROR(IF(IFERROR(MATCH(191,'كشف الحساب'!$N$4:$N$353,0),0)=0,"",INDEX('كشف الحساب'!$K$4:$K$353,IFERROR(MATCH(191,'كشف الحساب'!$N$4:$N$353,0),0))),"")</f>
        <v/>
      </c>
    </row>
    <row r="196" spans="1:11" ht="15" customHeight="1" x14ac:dyDescent="0.25">
      <c r="A196" s="69" t="str">
        <f>IFERROR(IF(IFERROR(MATCH(192,'كشف الحساب'!$N$4:$N$353,0),0)=0,"",INDEX('كشف الحساب'!$A$4:$A$353,IFERROR(MATCH(192,'كشف الحساب'!$N$4:$N$353,0),0))),"")</f>
        <v/>
      </c>
      <c r="B196" s="70" t="str">
        <f>IFERROR(IF(IFERROR(MATCH(192,'كشف الحساب'!$N$4:$N$353,0),0)=0,"",INDEX('كشف الحساب'!$B$4:$B$353,IFERROR(MATCH(192,'كشف الحساب'!$N$4:$N$353,0),0))),"")</f>
        <v/>
      </c>
      <c r="C196" s="71" t="str">
        <f>IFERROR(IF(IFERROR(MATCH(192,'كشف الحساب'!$N$4:$N$353,0),0)=0,"",INDEX('كشف الحساب'!$C$4:$C$353,IFERROR(MATCH(192,'كشف الحساب'!$N$4:$N$353,0),0))),"")</f>
        <v/>
      </c>
      <c r="D196" s="72" t="str">
        <f>IFERROR(IF(IFERROR(MATCH(192,'كشف الحساب'!$N$4:$N$353,0),0)=0,"",INDEX('كشف الحساب'!$D$4:$D$353,IFERROR(MATCH(192,'كشف الحساب'!$N$4:$N$353,0),0))),"")</f>
        <v/>
      </c>
      <c r="E196" s="73" t="str">
        <f>IFERROR(IF(IFERROR(MATCH(192,'كشف الحساب'!$N$4:$N$353,0),0)=0,"",INDEX('كشف الحساب'!$E$4:$E$353,IFERROR(MATCH(192,'كشف الحساب'!$N$4:$N$353,0),0))),"")</f>
        <v/>
      </c>
      <c r="F196" s="70" t="str">
        <f>IFERROR(IF(IFERROR(MATCH(192,'كشف الحساب'!$N$4:$N$353,0),0)=0,"",INDEX('كشف الحساب'!$F$4:$F$353,IFERROR(MATCH(192,'كشف الحساب'!$N$4:$N$353,0),0))),"")</f>
        <v/>
      </c>
      <c r="G196" s="70" t="str">
        <f>IFERROR(IF(IFERROR(MATCH(192,'كشف الحساب'!$N$4:$N$353,0),0)=0,"",INDEX('كشف الحساب'!$G$4:$G$353,IFERROR(MATCH(192,'كشف الحساب'!$N$4:$N$353,0),0))),"")</f>
        <v/>
      </c>
      <c r="H196" s="70" t="str">
        <f>IFERROR(IF(IFERROR(MATCH(192,'كشف الحساب'!$N$4:$N$353,0),0)=0,"",INDEX('كشف الحساب'!$H$4:$H$353,IFERROR(MATCH(192,'كشف الحساب'!$N$4:$N$353,0),0))),"")</f>
        <v/>
      </c>
      <c r="I196" s="70" t="str">
        <f>IFERROR(IF(IFERROR(MATCH(192,'كشف الحساب'!$N$4:$N$353,0),0)=0,"",INDEX('كشف الحساب'!$I$4:$I$353,IFERROR(MATCH(192,'كشف الحساب'!$N$4:$N$353,0),0))),"")</f>
        <v/>
      </c>
      <c r="J196" s="74" t="str">
        <f>IFERROR(IF(IFERROR(MATCH(192,'كشف الحساب'!$N$4:$N$353,0),0)=0,"",INDEX('كشف الحساب'!$J$4:$J$353,IFERROR(MATCH(192,'كشف الحساب'!$N$4:$N$353,0),0))),"")</f>
        <v/>
      </c>
      <c r="K196" s="70" t="str">
        <f>IFERROR(IF(IFERROR(MATCH(192,'كشف الحساب'!$N$4:$N$353,0),0)=0,"",INDEX('كشف الحساب'!$K$4:$K$353,IFERROR(MATCH(192,'كشف الحساب'!$N$4:$N$353,0),0))),"")</f>
        <v/>
      </c>
    </row>
    <row r="197" spans="1:11" ht="15" customHeight="1" x14ac:dyDescent="0.25">
      <c r="A197" s="63" t="str">
        <f>IFERROR(IF(IFERROR(MATCH(193,'كشف الحساب'!$N$4:$N$353,0),0)=0,"",INDEX('كشف الحساب'!$A$4:$A$353,IFERROR(MATCH(193,'كشف الحساب'!$N$4:$N$353,0),0))),"")</f>
        <v/>
      </c>
      <c r="B197" s="64" t="str">
        <f>IFERROR(IF(IFERROR(MATCH(193,'كشف الحساب'!$N$4:$N$353,0),0)=0,"",INDEX('كشف الحساب'!$B$4:$B$353,IFERROR(MATCH(193,'كشف الحساب'!$N$4:$N$353,0),0))),"")</f>
        <v/>
      </c>
      <c r="C197" s="65" t="str">
        <f>IFERROR(IF(IFERROR(MATCH(193,'كشف الحساب'!$N$4:$N$353,0),0)=0,"",INDEX('كشف الحساب'!$C$4:$C$353,IFERROR(MATCH(193,'كشف الحساب'!$N$4:$N$353,0),0))),"")</f>
        <v/>
      </c>
      <c r="D197" s="66" t="str">
        <f>IFERROR(IF(IFERROR(MATCH(193,'كشف الحساب'!$N$4:$N$353,0),0)=0,"",INDEX('كشف الحساب'!$D$4:$D$353,IFERROR(MATCH(193,'كشف الحساب'!$N$4:$N$353,0),0))),"")</f>
        <v/>
      </c>
      <c r="E197" s="67" t="str">
        <f>IFERROR(IF(IFERROR(MATCH(193,'كشف الحساب'!$N$4:$N$353,0),0)=0,"",INDEX('كشف الحساب'!$E$4:$E$353,IFERROR(MATCH(193,'كشف الحساب'!$N$4:$N$353,0),0))),"")</f>
        <v/>
      </c>
      <c r="F197" s="64" t="str">
        <f>IFERROR(IF(IFERROR(MATCH(193,'كشف الحساب'!$N$4:$N$353,0),0)=0,"",INDEX('كشف الحساب'!$F$4:$F$353,IFERROR(MATCH(193,'كشف الحساب'!$N$4:$N$353,0),0))),"")</f>
        <v/>
      </c>
      <c r="G197" s="64" t="str">
        <f>IFERROR(IF(IFERROR(MATCH(193,'كشف الحساب'!$N$4:$N$353,0),0)=0,"",INDEX('كشف الحساب'!$G$4:$G$353,IFERROR(MATCH(193,'كشف الحساب'!$N$4:$N$353,0),0))),"")</f>
        <v/>
      </c>
      <c r="H197" s="64" t="str">
        <f>IFERROR(IF(IFERROR(MATCH(193,'كشف الحساب'!$N$4:$N$353,0),0)=0,"",INDEX('كشف الحساب'!$H$4:$H$353,IFERROR(MATCH(193,'كشف الحساب'!$N$4:$N$353,0),0))),"")</f>
        <v/>
      </c>
      <c r="I197" s="64" t="str">
        <f>IFERROR(IF(IFERROR(MATCH(193,'كشف الحساب'!$N$4:$N$353,0),0)=0,"",INDEX('كشف الحساب'!$I$4:$I$353,IFERROR(MATCH(193,'كشف الحساب'!$N$4:$N$353,0),0))),"")</f>
        <v/>
      </c>
      <c r="J197" s="68" t="str">
        <f>IFERROR(IF(IFERROR(MATCH(193,'كشف الحساب'!$N$4:$N$353,0),0)=0,"",INDEX('كشف الحساب'!$J$4:$J$353,IFERROR(MATCH(193,'كشف الحساب'!$N$4:$N$353,0),0))),"")</f>
        <v/>
      </c>
      <c r="K197" s="64" t="str">
        <f>IFERROR(IF(IFERROR(MATCH(193,'كشف الحساب'!$N$4:$N$353,0),0)=0,"",INDEX('كشف الحساب'!$K$4:$K$353,IFERROR(MATCH(193,'كشف الحساب'!$N$4:$N$353,0),0))),"")</f>
        <v/>
      </c>
    </row>
    <row r="198" spans="1:11" ht="15" customHeight="1" x14ac:dyDescent="0.25">
      <c r="A198" s="69" t="str">
        <f>IFERROR(IF(IFERROR(MATCH(194,'كشف الحساب'!$N$4:$N$353,0),0)=0,"",INDEX('كشف الحساب'!$A$4:$A$353,IFERROR(MATCH(194,'كشف الحساب'!$N$4:$N$353,0),0))),"")</f>
        <v/>
      </c>
      <c r="B198" s="70" t="str">
        <f>IFERROR(IF(IFERROR(MATCH(194,'كشف الحساب'!$N$4:$N$353,0),0)=0,"",INDEX('كشف الحساب'!$B$4:$B$353,IFERROR(MATCH(194,'كشف الحساب'!$N$4:$N$353,0),0))),"")</f>
        <v/>
      </c>
      <c r="C198" s="71" t="str">
        <f>IFERROR(IF(IFERROR(MATCH(194,'كشف الحساب'!$N$4:$N$353,0),0)=0,"",INDEX('كشف الحساب'!$C$4:$C$353,IFERROR(MATCH(194,'كشف الحساب'!$N$4:$N$353,0),0))),"")</f>
        <v/>
      </c>
      <c r="D198" s="72" t="str">
        <f>IFERROR(IF(IFERROR(MATCH(194,'كشف الحساب'!$N$4:$N$353,0),0)=0,"",INDEX('كشف الحساب'!$D$4:$D$353,IFERROR(MATCH(194,'كشف الحساب'!$N$4:$N$353,0),0))),"")</f>
        <v/>
      </c>
      <c r="E198" s="73" t="str">
        <f>IFERROR(IF(IFERROR(MATCH(194,'كشف الحساب'!$N$4:$N$353,0),0)=0,"",INDEX('كشف الحساب'!$E$4:$E$353,IFERROR(MATCH(194,'كشف الحساب'!$N$4:$N$353,0),0))),"")</f>
        <v/>
      </c>
      <c r="F198" s="70" t="str">
        <f>IFERROR(IF(IFERROR(MATCH(194,'كشف الحساب'!$N$4:$N$353,0),0)=0,"",INDEX('كشف الحساب'!$F$4:$F$353,IFERROR(MATCH(194,'كشف الحساب'!$N$4:$N$353,0),0))),"")</f>
        <v/>
      </c>
      <c r="G198" s="70" t="str">
        <f>IFERROR(IF(IFERROR(MATCH(194,'كشف الحساب'!$N$4:$N$353,0),0)=0,"",INDEX('كشف الحساب'!$G$4:$G$353,IFERROR(MATCH(194,'كشف الحساب'!$N$4:$N$353,0),0))),"")</f>
        <v/>
      </c>
      <c r="H198" s="70" t="str">
        <f>IFERROR(IF(IFERROR(MATCH(194,'كشف الحساب'!$N$4:$N$353,0),0)=0,"",INDEX('كشف الحساب'!$H$4:$H$353,IFERROR(MATCH(194,'كشف الحساب'!$N$4:$N$353,0),0))),"")</f>
        <v/>
      </c>
      <c r="I198" s="70" t="str">
        <f>IFERROR(IF(IFERROR(MATCH(194,'كشف الحساب'!$N$4:$N$353,0),0)=0,"",INDEX('كشف الحساب'!$I$4:$I$353,IFERROR(MATCH(194,'كشف الحساب'!$N$4:$N$353,0),0))),"")</f>
        <v/>
      </c>
      <c r="J198" s="74" t="str">
        <f>IFERROR(IF(IFERROR(MATCH(194,'كشف الحساب'!$N$4:$N$353,0),0)=0,"",INDEX('كشف الحساب'!$J$4:$J$353,IFERROR(MATCH(194,'كشف الحساب'!$N$4:$N$353,0),0))),"")</f>
        <v/>
      </c>
      <c r="K198" s="70" t="str">
        <f>IFERROR(IF(IFERROR(MATCH(194,'كشف الحساب'!$N$4:$N$353,0),0)=0,"",INDEX('كشف الحساب'!$K$4:$K$353,IFERROR(MATCH(194,'كشف الحساب'!$N$4:$N$353,0),0))),"")</f>
        <v/>
      </c>
    </row>
    <row r="199" spans="1:11" ht="15" customHeight="1" x14ac:dyDescent="0.25">
      <c r="A199" s="63" t="str">
        <f>IFERROR(IF(IFERROR(MATCH(195,'كشف الحساب'!$N$4:$N$353,0),0)=0,"",INDEX('كشف الحساب'!$A$4:$A$353,IFERROR(MATCH(195,'كشف الحساب'!$N$4:$N$353,0),0))),"")</f>
        <v/>
      </c>
      <c r="B199" s="64" t="str">
        <f>IFERROR(IF(IFERROR(MATCH(195,'كشف الحساب'!$N$4:$N$353,0),0)=0,"",INDEX('كشف الحساب'!$B$4:$B$353,IFERROR(MATCH(195,'كشف الحساب'!$N$4:$N$353,0),0))),"")</f>
        <v/>
      </c>
      <c r="C199" s="65" t="str">
        <f>IFERROR(IF(IFERROR(MATCH(195,'كشف الحساب'!$N$4:$N$353,0),0)=0,"",INDEX('كشف الحساب'!$C$4:$C$353,IFERROR(MATCH(195,'كشف الحساب'!$N$4:$N$353,0),0))),"")</f>
        <v/>
      </c>
      <c r="D199" s="66" t="str">
        <f>IFERROR(IF(IFERROR(MATCH(195,'كشف الحساب'!$N$4:$N$353,0),0)=0,"",INDEX('كشف الحساب'!$D$4:$D$353,IFERROR(MATCH(195,'كشف الحساب'!$N$4:$N$353,0),0))),"")</f>
        <v/>
      </c>
      <c r="E199" s="67" t="str">
        <f>IFERROR(IF(IFERROR(MATCH(195,'كشف الحساب'!$N$4:$N$353,0),0)=0,"",INDEX('كشف الحساب'!$E$4:$E$353,IFERROR(MATCH(195,'كشف الحساب'!$N$4:$N$353,0),0))),"")</f>
        <v/>
      </c>
      <c r="F199" s="64" t="str">
        <f>IFERROR(IF(IFERROR(MATCH(195,'كشف الحساب'!$N$4:$N$353,0),0)=0,"",INDEX('كشف الحساب'!$F$4:$F$353,IFERROR(MATCH(195,'كشف الحساب'!$N$4:$N$353,0),0))),"")</f>
        <v/>
      </c>
      <c r="G199" s="64" t="str">
        <f>IFERROR(IF(IFERROR(MATCH(195,'كشف الحساب'!$N$4:$N$353,0),0)=0,"",INDEX('كشف الحساب'!$G$4:$G$353,IFERROR(MATCH(195,'كشف الحساب'!$N$4:$N$353,0),0))),"")</f>
        <v/>
      </c>
      <c r="H199" s="64" t="str">
        <f>IFERROR(IF(IFERROR(MATCH(195,'كشف الحساب'!$N$4:$N$353,0),0)=0,"",INDEX('كشف الحساب'!$H$4:$H$353,IFERROR(MATCH(195,'كشف الحساب'!$N$4:$N$353,0),0))),"")</f>
        <v/>
      </c>
      <c r="I199" s="64" t="str">
        <f>IFERROR(IF(IFERROR(MATCH(195,'كشف الحساب'!$N$4:$N$353,0),0)=0,"",INDEX('كشف الحساب'!$I$4:$I$353,IFERROR(MATCH(195,'كشف الحساب'!$N$4:$N$353,0),0))),"")</f>
        <v/>
      </c>
      <c r="J199" s="68" t="str">
        <f>IFERROR(IF(IFERROR(MATCH(195,'كشف الحساب'!$N$4:$N$353,0),0)=0,"",INDEX('كشف الحساب'!$J$4:$J$353,IFERROR(MATCH(195,'كشف الحساب'!$N$4:$N$353,0),0))),"")</f>
        <v/>
      </c>
      <c r="K199" s="64" t="str">
        <f>IFERROR(IF(IFERROR(MATCH(195,'كشف الحساب'!$N$4:$N$353,0),0)=0,"",INDEX('كشف الحساب'!$K$4:$K$353,IFERROR(MATCH(195,'كشف الحساب'!$N$4:$N$353,0),0))),"")</f>
        <v/>
      </c>
    </row>
    <row r="200" spans="1:11" ht="15" customHeight="1" x14ac:dyDescent="0.25">
      <c r="A200" s="69" t="str">
        <f>IFERROR(IF(IFERROR(MATCH(196,'كشف الحساب'!$N$4:$N$353,0),0)=0,"",INDEX('كشف الحساب'!$A$4:$A$353,IFERROR(MATCH(196,'كشف الحساب'!$N$4:$N$353,0),0))),"")</f>
        <v/>
      </c>
      <c r="B200" s="70" t="str">
        <f>IFERROR(IF(IFERROR(MATCH(196,'كشف الحساب'!$N$4:$N$353,0),0)=0,"",INDEX('كشف الحساب'!$B$4:$B$353,IFERROR(MATCH(196,'كشف الحساب'!$N$4:$N$353,0),0))),"")</f>
        <v/>
      </c>
      <c r="C200" s="71" t="str">
        <f>IFERROR(IF(IFERROR(MATCH(196,'كشف الحساب'!$N$4:$N$353,0),0)=0,"",INDEX('كشف الحساب'!$C$4:$C$353,IFERROR(MATCH(196,'كشف الحساب'!$N$4:$N$353,0),0))),"")</f>
        <v/>
      </c>
      <c r="D200" s="72" t="str">
        <f>IFERROR(IF(IFERROR(MATCH(196,'كشف الحساب'!$N$4:$N$353,0),0)=0,"",INDEX('كشف الحساب'!$D$4:$D$353,IFERROR(MATCH(196,'كشف الحساب'!$N$4:$N$353,0),0))),"")</f>
        <v/>
      </c>
      <c r="E200" s="73" t="str">
        <f>IFERROR(IF(IFERROR(MATCH(196,'كشف الحساب'!$N$4:$N$353,0),0)=0,"",INDEX('كشف الحساب'!$E$4:$E$353,IFERROR(MATCH(196,'كشف الحساب'!$N$4:$N$353,0),0))),"")</f>
        <v/>
      </c>
      <c r="F200" s="70" t="str">
        <f>IFERROR(IF(IFERROR(MATCH(196,'كشف الحساب'!$N$4:$N$353,0),0)=0,"",INDEX('كشف الحساب'!$F$4:$F$353,IFERROR(MATCH(196,'كشف الحساب'!$N$4:$N$353,0),0))),"")</f>
        <v/>
      </c>
      <c r="G200" s="70" t="str">
        <f>IFERROR(IF(IFERROR(MATCH(196,'كشف الحساب'!$N$4:$N$353,0),0)=0,"",INDEX('كشف الحساب'!$G$4:$G$353,IFERROR(MATCH(196,'كشف الحساب'!$N$4:$N$353,0),0))),"")</f>
        <v/>
      </c>
      <c r="H200" s="70" t="str">
        <f>IFERROR(IF(IFERROR(MATCH(196,'كشف الحساب'!$N$4:$N$353,0),0)=0,"",INDEX('كشف الحساب'!$H$4:$H$353,IFERROR(MATCH(196,'كشف الحساب'!$N$4:$N$353,0),0))),"")</f>
        <v/>
      </c>
      <c r="I200" s="70" t="str">
        <f>IFERROR(IF(IFERROR(MATCH(196,'كشف الحساب'!$N$4:$N$353,0),0)=0,"",INDEX('كشف الحساب'!$I$4:$I$353,IFERROR(MATCH(196,'كشف الحساب'!$N$4:$N$353,0),0))),"")</f>
        <v/>
      </c>
      <c r="J200" s="74" t="str">
        <f>IFERROR(IF(IFERROR(MATCH(196,'كشف الحساب'!$N$4:$N$353,0),0)=0,"",INDEX('كشف الحساب'!$J$4:$J$353,IFERROR(MATCH(196,'كشف الحساب'!$N$4:$N$353,0),0))),"")</f>
        <v/>
      </c>
      <c r="K200" s="70" t="str">
        <f>IFERROR(IF(IFERROR(MATCH(196,'كشف الحساب'!$N$4:$N$353,0),0)=0,"",INDEX('كشف الحساب'!$K$4:$K$353,IFERROR(MATCH(196,'كشف الحساب'!$N$4:$N$353,0),0))),"")</f>
        <v/>
      </c>
    </row>
    <row r="201" spans="1:11" ht="15" customHeight="1" x14ac:dyDescent="0.25">
      <c r="A201" s="63" t="str">
        <f>IFERROR(IF(IFERROR(MATCH(197,'كشف الحساب'!$N$4:$N$353,0),0)=0,"",INDEX('كشف الحساب'!$A$4:$A$353,IFERROR(MATCH(197,'كشف الحساب'!$N$4:$N$353,0),0))),"")</f>
        <v/>
      </c>
      <c r="B201" s="64" t="str">
        <f>IFERROR(IF(IFERROR(MATCH(197,'كشف الحساب'!$N$4:$N$353,0),0)=0,"",INDEX('كشف الحساب'!$B$4:$B$353,IFERROR(MATCH(197,'كشف الحساب'!$N$4:$N$353,0),0))),"")</f>
        <v/>
      </c>
      <c r="C201" s="65" t="str">
        <f>IFERROR(IF(IFERROR(MATCH(197,'كشف الحساب'!$N$4:$N$353,0),0)=0,"",INDEX('كشف الحساب'!$C$4:$C$353,IFERROR(MATCH(197,'كشف الحساب'!$N$4:$N$353,0),0))),"")</f>
        <v/>
      </c>
      <c r="D201" s="66" t="str">
        <f>IFERROR(IF(IFERROR(MATCH(197,'كشف الحساب'!$N$4:$N$353,0),0)=0,"",INDEX('كشف الحساب'!$D$4:$D$353,IFERROR(MATCH(197,'كشف الحساب'!$N$4:$N$353,0),0))),"")</f>
        <v/>
      </c>
      <c r="E201" s="67" t="str">
        <f>IFERROR(IF(IFERROR(MATCH(197,'كشف الحساب'!$N$4:$N$353,0),0)=0,"",INDEX('كشف الحساب'!$E$4:$E$353,IFERROR(MATCH(197,'كشف الحساب'!$N$4:$N$353,0),0))),"")</f>
        <v/>
      </c>
      <c r="F201" s="64" t="str">
        <f>IFERROR(IF(IFERROR(MATCH(197,'كشف الحساب'!$N$4:$N$353,0),0)=0,"",INDEX('كشف الحساب'!$F$4:$F$353,IFERROR(MATCH(197,'كشف الحساب'!$N$4:$N$353,0),0))),"")</f>
        <v/>
      </c>
      <c r="G201" s="64" t="str">
        <f>IFERROR(IF(IFERROR(MATCH(197,'كشف الحساب'!$N$4:$N$353,0),0)=0,"",INDEX('كشف الحساب'!$G$4:$G$353,IFERROR(MATCH(197,'كشف الحساب'!$N$4:$N$353,0),0))),"")</f>
        <v/>
      </c>
      <c r="H201" s="64" t="str">
        <f>IFERROR(IF(IFERROR(MATCH(197,'كشف الحساب'!$N$4:$N$353,0),0)=0,"",INDEX('كشف الحساب'!$H$4:$H$353,IFERROR(MATCH(197,'كشف الحساب'!$N$4:$N$353,0),0))),"")</f>
        <v/>
      </c>
      <c r="I201" s="64" t="str">
        <f>IFERROR(IF(IFERROR(MATCH(197,'كشف الحساب'!$N$4:$N$353,0),0)=0,"",INDEX('كشف الحساب'!$I$4:$I$353,IFERROR(MATCH(197,'كشف الحساب'!$N$4:$N$353,0),0))),"")</f>
        <v/>
      </c>
      <c r="J201" s="68" t="str">
        <f>IFERROR(IF(IFERROR(MATCH(197,'كشف الحساب'!$N$4:$N$353,0),0)=0,"",INDEX('كشف الحساب'!$J$4:$J$353,IFERROR(MATCH(197,'كشف الحساب'!$N$4:$N$353,0),0))),"")</f>
        <v/>
      </c>
      <c r="K201" s="64" t="str">
        <f>IFERROR(IF(IFERROR(MATCH(197,'كشف الحساب'!$N$4:$N$353,0),0)=0,"",INDEX('كشف الحساب'!$K$4:$K$353,IFERROR(MATCH(197,'كشف الحساب'!$N$4:$N$353,0),0))),"")</f>
        <v/>
      </c>
    </row>
    <row r="202" spans="1:11" ht="15" customHeight="1" x14ac:dyDescent="0.25">
      <c r="A202" s="69" t="str">
        <f>IFERROR(IF(IFERROR(MATCH(198,'كشف الحساب'!$N$4:$N$353,0),0)=0,"",INDEX('كشف الحساب'!$A$4:$A$353,IFERROR(MATCH(198,'كشف الحساب'!$N$4:$N$353,0),0))),"")</f>
        <v/>
      </c>
      <c r="B202" s="70" t="str">
        <f>IFERROR(IF(IFERROR(MATCH(198,'كشف الحساب'!$N$4:$N$353,0),0)=0,"",INDEX('كشف الحساب'!$B$4:$B$353,IFERROR(MATCH(198,'كشف الحساب'!$N$4:$N$353,0),0))),"")</f>
        <v/>
      </c>
      <c r="C202" s="71" t="str">
        <f>IFERROR(IF(IFERROR(MATCH(198,'كشف الحساب'!$N$4:$N$353,0),0)=0,"",INDEX('كشف الحساب'!$C$4:$C$353,IFERROR(MATCH(198,'كشف الحساب'!$N$4:$N$353,0),0))),"")</f>
        <v/>
      </c>
      <c r="D202" s="72" t="str">
        <f>IFERROR(IF(IFERROR(MATCH(198,'كشف الحساب'!$N$4:$N$353,0),0)=0,"",INDEX('كشف الحساب'!$D$4:$D$353,IFERROR(MATCH(198,'كشف الحساب'!$N$4:$N$353,0),0))),"")</f>
        <v/>
      </c>
      <c r="E202" s="73" t="str">
        <f>IFERROR(IF(IFERROR(MATCH(198,'كشف الحساب'!$N$4:$N$353,0),0)=0,"",INDEX('كشف الحساب'!$E$4:$E$353,IFERROR(MATCH(198,'كشف الحساب'!$N$4:$N$353,0),0))),"")</f>
        <v/>
      </c>
      <c r="F202" s="70" t="str">
        <f>IFERROR(IF(IFERROR(MATCH(198,'كشف الحساب'!$N$4:$N$353,0),0)=0,"",INDEX('كشف الحساب'!$F$4:$F$353,IFERROR(MATCH(198,'كشف الحساب'!$N$4:$N$353,0),0))),"")</f>
        <v/>
      </c>
      <c r="G202" s="70" t="str">
        <f>IFERROR(IF(IFERROR(MATCH(198,'كشف الحساب'!$N$4:$N$353,0),0)=0,"",INDEX('كشف الحساب'!$G$4:$G$353,IFERROR(MATCH(198,'كشف الحساب'!$N$4:$N$353,0),0))),"")</f>
        <v/>
      </c>
      <c r="H202" s="70" t="str">
        <f>IFERROR(IF(IFERROR(MATCH(198,'كشف الحساب'!$N$4:$N$353,0),0)=0,"",INDEX('كشف الحساب'!$H$4:$H$353,IFERROR(MATCH(198,'كشف الحساب'!$N$4:$N$353,0),0))),"")</f>
        <v/>
      </c>
      <c r="I202" s="70" t="str">
        <f>IFERROR(IF(IFERROR(MATCH(198,'كشف الحساب'!$N$4:$N$353,0),0)=0,"",INDEX('كشف الحساب'!$I$4:$I$353,IFERROR(MATCH(198,'كشف الحساب'!$N$4:$N$353,0),0))),"")</f>
        <v/>
      </c>
      <c r="J202" s="74" t="str">
        <f>IFERROR(IF(IFERROR(MATCH(198,'كشف الحساب'!$N$4:$N$353,0),0)=0,"",INDEX('كشف الحساب'!$J$4:$J$353,IFERROR(MATCH(198,'كشف الحساب'!$N$4:$N$353,0),0))),"")</f>
        <v/>
      </c>
      <c r="K202" s="70" t="str">
        <f>IFERROR(IF(IFERROR(MATCH(198,'كشف الحساب'!$N$4:$N$353,0),0)=0,"",INDEX('كشف الحساب'!$K$4:$K$353,IFERROR(MATCH(198,'كشف الحساب'!$N$4:$N$353,0),0))),"")</f>
        <v/>
      </c>
    </row>
    <row r="203" spans="1:11" ht="15" customHeight="1" x14ac:dyDescent="0.25">
      <c r="A203" s="63" t="str">
        <f>IFERROR(IF(IFERROR(MATCH(199,'كشف الحساب'!$N$4:$N$353,0),0)=0,"",INDEX('كشف الحساب'!$A$4:$A$353,IFERROR(MATCH(199,'كشف الحساب'!$N$4:$N$353,0),0))),"")</f>
        <v/>
      </c>
      <c r="B203" s="64" t="str">
        <f>IFERROR(IF(IFERROR(MATCH(199,'كشف الحساب'!$N$4:$N$353,0),0)=0,"",INDEX('كشف الحساب'!$B$4:$B$353,IFERROR(MATCH(199,'كشف الحساب'!$N$4:$N$353,0),0))),"")</f>
        <v/>
      </c>
      <c r="C203" s="65" t="str">
        <f>IFERROR(IF(IFERROR(MATCH(199,'كشف الحساب'!$N$4:$N$353,0),0)=0,"",INDEX('كشف الحساب'!$C$4:$C$353,IFERROR(MATCH(199,'كشف الحساب'!$N$4:$N$353,0),0))),"")</f>
        <v/>
      </c>
      <c r="D203" s="66" t="str">
        <f>IFERROR(IF(IFERROR(MATCH(199,'كشف الحساب'!$N$4:$N$353,0),0)=0,"",INDEX('كشف الحساب'!$D$4:$D$353,IFERROR(MATCH(199,'كشف الحساب'!$N$4:$N$353,0),0))),"")</f>
        <v/>
      </c>
      <c r="E203" s="67" t="str">
        <f>IFERROR(IF(IFERROR(MATCH(199,'كشف الحساب'!$N$4:$N$353,0),0)=0,"",INDEX('كشف الحساب'!$E$4:$E$353,IFERROR(MATCH(199,'كشف الحساب'!$N$4:$N$353,0),0))),"")</f>
        <v/>
      </c>
      <c r="F203" s="64" t="str">
        <f>IFERROR(IF(IFERROR(MATCH(199,'كشف الحساب'!$N$4:$N$353,0),0)=0,"",INDEX('كشف الحساب'!$F$4:$F$353,IFERROR(MATCH(199,'كشف الحساب'!$N$4:$N$353,0),0))),"")</f>
        <v/>
      </c>
      <c r="G203" s="64" t="str">
        <f>IFERROR(IF(IFERROR(MATCH(199,'كشف الحساب'!$N$4:$N$353,0),0)=0,"",INDEX('كشف الحساب'!$G$4:$G$353,IFERROR(MATCH(199,'كشف الحساب'!$N$4:$N$353,0),0))),"")</f>
        <v/>
      </c>
      <c r="H203" s="64" t="str">
        <f>IFERROR(IF(IFERROR(MATCH(199,'كشف الحساب'!$N$4:$N$353,0),0)=0,"",INDEX('كشف الحساب'!$H$4:$H$353,IFERROR(MATCH(199,'كشف الحساب'!$N$4:$N$353,0),0))),"")</f>
        <v/>
      </c>
      <c r="I203" s="64" t="str">
        <f>IFERROR(IF(IFERROR(MATCH(199,'كشف الحساب'!$N$4:$N$353,0),0)=0,"",INDEX('كشف الحساب'!$I$4:$I$353,IFERROR(MATCH(199,'كشف الحساب'!$N$4:$N$353,0),0))),"")</f>
        <v/>
      </c>
      <c r="J203" s="68" t="str">
        <f>IFERROR(IF(IFERROR(MATCH(199,'كشف الحساب'!$N$4:$N$353,0),0)=0,"",INDEX('كشف الحساب'!$J$4:$J$353,IFERROR(MATCH(199,'كشف الحساب'!$N$4:$N$353,0),0))),"")</f>
        <v/>
      </c>
      <c r="K203" s="64" t="str">
        <f>IFERROR(IF(IFERROR(MATCH(199,'كشف الحساب'!$N$4:$N$353,0),0)=0,"",INDEX('كشف الحساب'!$K$4:$K$353,IFERROR(MATCH(199,'كشف الحساب'!$N$4:$N$353,0),0))),"")</f>
        <v/>
      </c>
    </row>
    <row r="204" spans="1:11" ht="15" customHeight="1" x14ac:dyDescent="0.25">
      <c r="A204" s="69" t="str">
        <f>IFERROR(IF(IFERROR(MATCH(200,'كشف الحساب'!$N$4:$N$353,0),0)=0,"",INDEX('كشف الحساب'!$A$4:$A$353,IFERROR(MATCH(200,'كشف الحساب'!$N$4:$N$353,0),0))),"")</f>
        <v/>
      </c>
      <c r="B204" s="70" t="str">
        <f>IFERROR(IF(IFERROR(MATCH(200,'كشف الحساب'!$N$4:$N$353,0),0)=0,"",INDEX('كشف الحساب'!$B$4:$B$353,IFERROR(MATCH(200,'كشف الحساب'!$N$4:$N$353,0),0))),"")</f>
        <v/>
      </c>
      <c r="C204" s="71" t="str">
        <f>IFERROR(IF(IFERROR(MATCH(200,'كشف الحساب'!$N$4:$N$353,0),0)=0,"",INDEX('كشف الحساب'!$C$4:$C$353,IFERROR(MATCH(200,'كشف الحساب'!$N$4:$N$353,0),0))),"")</f>
        <v/>
      </c>
      <c r="D204" s="72" t="str">
        <f>IFERROR(IF(IFERROR(MATCH(200,'كشف الحساب'!$N$4:$N$353,0),0)=0,"",INDEX('كشف الحساب'!$D$4:$D$353,IFERROR(MATCH(200,'كشف الحساب'!$N$4:$N$353,0),0))),"")</f>
        <v/>
      </c>
      <c r="E204" s="73" t="str">
        <f>IFERROR(IF(IFERROR(MATCH(200,'كشف الحساب'!$N$4:$N$353,0),0)=0,"",INDEX('كشف الحساب'!$E$4:$E$353,IFERROR(MATCH(200,'كشف الحساب'!$N$4:$N$353,0),0))),"")</f>
        <v/>
      </c>
      <c r="F204" s="70" t="str">
        <f>IFERROR(IF(IFERROR(MATCH(200,'كشف الحساب'!$N$4:$N$353,0),0)=0,"",INDEX('كشف الحساب'!$F$4:$F$353,IFERROR(MATCH(200,'كشف الحساب'!$N$4:$N$353,0),0))),"")</f>
        <v/>
      </c>
      <c r="G204" s="70" t="str">
        <f>IFERROR(IF(IFERROR(MATCH(200,'كشف الحساب'!$N$4:$N$353,0),0)=0,"",INDEX('كشف الحساب'!$G$4:$G$353,IFERROR(MATCH(200,'كشف الحساب'!$N$4:$N$353,0),0))),"")</f>
        <v/>
      </c>
      <c r="H204" s="70" t="str">
        <f>IFERROR(IF(IFERROR(MATCH(200,'كشف الحساب'!$N$4:$N$353,0),0)=0,"",INDEX('كشف الحساب'!$H$4:$H$353,IFERROR(MATCH(200,'كشف الحساب'!$N$4:$N$353,0),0))),"")</f>
        <v/>
      </c>
      <c r="I204" s="70" t="str">
        <f>IFERROR(IF(IFERROR(MATCH(200,'كشف الحساب'!$N$4:$N$353,0),0)=0,"",INDEX('كشف الحساب'!$I$4:$I$353,IFERROR(MATCH(200,'كشف الحساب'!$N$4:$N$353,0),0))),"")</f>
        <v/>
      </c>
      <c r="J204" s="74" t="str">
        <f>IFERROR(IF(IFERROR(MATCH(200,'كشف الحساب'!$N$4:$N$353,0),0)=0,"",INDEX('كشف الحساب'!$J$4:$J$353,IFERROR(MATCH(200,'كشف الحساب'!$N$4:$N$353,0),0))),"")</f>
        <v/>
      </c>
      <c r="K204" s="70" t="str">
        <f>IFERROR(IF(IFERROR(MATCH(200,'كشف الحساب'!$N$4:$N$353,0),0)=0,"",INDEX('كشف الحساب'!$K$4:$K$353,IFERROR(MATCH(200,'كشف الحساب'!$N$4:$N$353,0),0))),"")</f>
        <v/>
      </c>
    </row>
    <row r="205" spans="1:11" ht="15" customHeight="1" x14ac:dyDescent="0.25">
      <c r="A205" s="63" t="str">
        <f>IFERROR(IF(IFERROR(MATCH(201,'كشف الحساب'!$N$4:$N$353,0),0)=0,"",INDEX('كشف الحساب'!$A$4:$A$353,IFERROR(MATCH(201,'كشف الحساب'!$N$4:$N$353,0),0))),"")</f>
        <v/>
      </c>
      <c r="B205" s="64" t="str">
        <f>IFERROR(IF(IFERROR(MATCH(201,'كشف الحساب'!$N$4:$N$353,0),0)=0,"",INDEX('كشف الحساب'!$B$4:$B$353,IFERROR(MATCH(201,'كشف الحساب'!$N$4:$N$353,0),0))),"")</f>
        <v/>
      </c>
      <c r="C205" s="65" t="str">
        <f>IFERROR(IF(IFERROR(MATCH(201,'كشف الحساب'!$N$4:$N$353,0),0)=0,"",INDEX('كشف الحساب'!$C$4:$C$353,IFERROR(MATCH(201,'كشف الحساب'!$N$4:$N$353,0),0))),"")</f>
        <v/>
      </c>
      <c r="D205" s="66" t="str">
        <f>IFERROR(IF(IFERROR(MATCH(201,'كشف الحساب'!$N$4:$N$353,0),0)=0,"",INDEX('كشف الحساب'!$D$4:$D$353,IFERROR(MATCH(201,'كشف الحساب'!$N$4:$N$353,0),0))),"")</f>
        <v/>
      </c>
      <c r="E205" s="67" t="str">
        <f>IFERROR(IF(IFERROR(MATCH(201,'كشف الحساب'!$N$4:$N$353,0),0)=0,"",INDEX('كشف الحساب'!$E$4:$E$353,IFERROR(MATCH(201,'كشف الحساب'!$N$4:$N$353,0),0))),"")</f>
        <v/>
      </c>
      <c r="F205" s="64" t="str">
        <f>IFERROR(IF(IFERROR(MATCH(201,'كشف الحساب'!$N$4:$N$353,0),0)=0,"",INDEX('كشف الحساب'!$F$4:$F$353,IFERROR(MATCH(201,'كشف الحساب'!$N$4:$N$353,0),0))),"")</f>
        <v/>
      </c>
      <c r="G205" s="64" t="str">
        <f>IFERROR(IF(IFERROR(MATCH(201,'كشف الحساب'!$N$4:$N$353,0),0)=0,"",INDEX('كشف الحساب'!$G$4:$G$353,IFERROR(MATCH(201,'كشف الحساب'!$N$4:$N$353,0),0))),"")</f>
        <v/>
      </c>
      <c r="H205" s="64" t="str">
        <f>IFERROR(IF(IFERROR(MATCH(201,'كشف الحساب'!$N$4:$N$353,0),0)=0,"",INDEX('كشف الحساب'!$H$4:$H$353,IFERROR(MATCH(201,'كشف الحساب'!$N$4:$N$353,0),0))),"")</f>
        <v/>
      </c>
      <c r="I205" s="64" t="str">
        <f>IFERROR(IF(IFERROR(MATCH(201,'كشف الحساب'!$N$4:$N$353,0),0)=0,"",INDEX('كشف الحساب'!$I$4:$I$353,IFERROR(MATCH(201,'كشف الحساب'!$N$4:$N$353,0),0))),"")</f>
        <v/>
      </c>
      <c r="J205" s="68" t="str">
        <f>IFERROR(IF(IFERROR(MATCH(201,'كشف الحساب'!$N$4:$N$353,0),0)=0,"",INDEX('كشف الحساب'!$J$4:$J$353,IFERROR(MATCH(201,'كشف الحساب'!$N$4:$N$353,0),0))),"")</f>
        <v/>
      </c>
      <c r="K205" s="64" t="str">
        <f>IFERROR(IF(IFERROR(MATCH(201,'كشف الحساب'!$N$4:$N$353,0),0)=0,"",INDEX('كشف الحساب'!$K$4:$K$353,IFERROR(MATCH(201,'كشف الحساب'!$N$4:$N$353,0),0))),"")</f>
        <v/>
      </c>
    </row>
    <row r="206" spans="1:11" ht="15" customHeight="1" x14ac:dyDescent="0.25">
      <c r="A206" s="69" t="str">
        <f>IFERROR(IF(IFERROR(MATCH(202,'كشف الحساب'!$N$4:$N$353,0),0)=0,"",INDEX('كشف الحساب'!$A$4:$A$353,IFERROR(MATCH(202,'كشف الحساب'!$N$4:$N$353,0),0))),"")</f>
        <v/>
      </c>
      <c r="B206" s="70" t="str">
        <f>IFERROR(IF(IFERROR(MATCH(202,'كشف الحساب'!$N$4:$N$353,0),0)=0,"",INDEX('كشف الحساب'!$B$4:$B$353,IFERROR(MATCH(202,'كشف الحساب'!$N$4:$N$353,0),0))),"")</f>
        <v/>
      </c>
      <c r="C206" s="71" t="str">
        <f>IFERROR(IF(IFERROR(MATCH(202,'كشف الحساب'!$N$4:$N$353,0),0)=0,"",INDEX('كشف الحساب'!$C$4:$C$353,IFERROR(MATCH(202,'كشف الحساب'!$N$4:$N$353,0),0))),"")</f>
        <v/>
      </c>
      <c r="D206" s="72" t="str">
        <f>IFERROR(IF(IFERROR(MATCH(202,'كشف الحساب'!$N$4:$N$353,0),0)=0,"",INDEX('كشف الحساب'!$D$4:$D$353,IFERROR(MATCH(202,'كشف الحساب'!$N$4:$N$353,0),0))),"")</f>
        <v/>
      </c>
      <c r="E206" s="73" t="str">
        <f>IFERROR(IF(IFERROR(MATCH(202,'كشف الحساب'!$N$4:$N$353,0),0)=0,"",INDEX('كشف الحساب'!$E$4:$E$353,IFERROR(MATCH(202,'كشف الحساب'!$N$4:$N$353,0),0))),"")</f>
        <v/>
      </c>
      <c r="F206" s="70" t="str">
        <f>IFERROR(IF(IFERROR(MATCH(202,'كشف الحساب'!$N$4:$N$353,0),0)=0,"",INDEX('كشف الحساب'!$F$4:$F$353,IFERROR(MATCH(202,'كشف الحساب'!$N$4:$N$353,0),0))),"")</f>
        <v/>
      </c>
      <c r="G206" s="70" t="str">
        <f>IFERROR(IF(IFERROR(MATCH(202,'كشف الحساب'!$N$4:$N$353,0),0)=0,"",INDEX('كشف الحساب'!$G$4:$G$353,IFERROR(MATCH(202,'كشف الحساب'!$N$4:$N$353,0),0))),"")</f>
        <v/>
      </c>
      <c r="H206" s="70" t="str">
        <f>IFERROR(IF(IFERROR(MATCH(202,'كشف الحساب'!$N$4:$N$353,0),0)=0,"",INDEX('كشف الحساب'!$H$4:$H$353,IFERROR(MATCH(202,'كشف الحساب'!$N$4:$N$353,0),0))),"")</f>
        <v/>
      </c>
      <c r="I206" s="70" t="str">
        <f>IFERROR(IF(IFERROR(MATCH(202,'كشف الحساب'!$N$4:$N$353,0),0)=0,"",INDEX('كشف الحساب'!$I$4:$I$353,IFERROR(MATCH(202,'كشف الحساب'!$N$4:$N$353,0),0))),"")</f>
        <v/>
      </c>
      <c r="J206" s="74" t="str">
        <f>IFERROR(IF(IFERROR(MATCH(202,'كشف الحساب'!$N$4:$N$353,0),0)=0,"",INDEX('كشف الحساب'!$J$4:$J$353,IFERROR(MATCH(202,'كشف الحساب'!$N$4:$N$353,0),0))),"")</f>
        <v/>
      </c>
      <c r="K206" s="70" t="str">
        <f>IFERROR(IF(IFERROR(MATCH(202,'كشف الحساب'!$N$4:$N$353,0),0)=0,"",INDEX('كشف الحساب'!$K$4:$K$353,IFERROR(MATCH(202,'كشف الحساب'!$N$4:$N$353,0),0))),"")</f>
        <v/>
      </c>
    </row>
    <row r="207" spans="1:11" ht="15" customHeight="1" x14ac:dyDescent="0.25">
      <c r="A207" s="63" t="str">
        <f>IFERROR(IF(IFERROR(MATCH(203,'كشف الحساب'!$N$4:$N$353,0),0)=0,"",INDEX('كشف الحساب'!$A$4:$A$353,IFERROR(MATCH(203,'كشف الحساب'!$N$4:$N$353,0),0))),"")</f>
        <v/>
      </c>
      <c r="B207" s="64" t="str">
        <f>IFERROR(IF(IFERROR(MATCH(203,'كشف الحساب'!$N$4:$N$353,0),0)=0,"",INDEX('كشف الحساب'!$B$4:$B$353,IFERROR(MATCH(203,'كشف الحساب'!$N$4:$N$353,0),0))),"")</f>
        <v/>
      </c>
      <c r="C207" s="65" t="str">
        <f>IFERROR(IF(IFERROR(MATCH(203,'كشف الحساب'!$N$4:$N$353,0),0)=0,"",INDEX('كشف الحساب'!$C$4:$C$353,IFERROR(MATCH(203,'كشف الحساب'!$N$4:$N$353,0),0))),"")</f>
        <v/>
      </c>
      <c r="D207" s="66" t="str">
        <f>IFERROR(IF(IFERROR(MATCH(203,'كشف الحساب'!$N$4:$N$353,0),0)=0,"",INDEX('كشف الحساب'!$D$4:$D$353,IFERROR(MATCH(203,'كشف الحساب'!$N$4:$N$353,0),0))),"")</f>
        <v/>
      </c>
      <c r="E207" s="67" t="str">
        <f>IFERROR(IF(IFERROR(MATCH(203,'كشف الحساب'!$N$4:$N$353,0),0)=0,"",INDEX('كشف الحساب'!$E$4:$E$353,IFERROR(MATCH(203,'كشف الحساب'!$N$4:$N$353,0),0))),"")</f>
        <v/>
      </c>
      <c r="F207" s="64" t="str">
        <f>IFERROR(IF(IFERROR(MATCH(203,'كشف الحساب'!$N$4:$N$353,0),0)=0,"",INDEX('كشف الحساب'!$F$4:$F$353,IFERROR(MATCH(203,'كشف الحساب'!$N$4:$N$353,0),0))),"")</f>
        <v/>
      </c>
      <c r="G207" s="64" t="str">
        <f>IFERROR(IF(IFERROR(MATCH(203,'كشف الحساب'!$N$4:$N$353,0),0)=0,"",INDEX('كشف الحساب'!$G$4:$G$353,IFERROR(MATCH(203,'كشف الحساب'!$N$4:$N$353,0),0))),"")</f>
        <v/>
      </c>
      <c r="H207" s="64" t="str">
        <f>IFERROR(IF(IFERROR(MATCH(203,'كشف الحساب'!$N$4:$N$353,0),0)=0,"",INDEX('كشف الحساب'!$H$4:$H$353,IFERROR(MATCH(203,'كشف الحساب'!$N$4:$N$353,0),0))),"")</f>
        <v/>
      </c>
      <c r="I207" s="64" t="str">
        <f>IFERROR(IF(IFERROR(MATCH(203,'كشف الحساب'!$N$4:$N$353,0),0)=0,"",INDEX('كشف الحساب'!$I$4:$I$353,IFERROR(MATCH(203,'كشف الحساب'!$N$4:$N$353,0),0))),"")</f>
        <v/>
      </c>
      <c r="J207" s="68" t="str">
        <f>IFERROR(IF(IFERROR(MATCH(203,'كشف الحساب'!$N$4:$N$353,0),0)=0,"",INDEX('كشف الحساب'!$J$4:$J$353,IFERROR(MATCH(203,'كشف الحساب'!$N$4:$N$353,0),0))),"")</f>
        <v/>
      </c>
      <c r="K207" s="64" t="str">
        <f>IFERROR(IF(IFERROR(MATCH(203,'كشف الحساب'!$N$4:$N$353,0),0)=0,"",INDEX('كشف الحساب'!$K$4:$K$353,IFERROR(MATCH(203,'كشف الحساب'!$N$4:$N$353,0),0))),"")</f>
        <v/>
      </c>
    </row>
    <row r="208" spans="1:11" ht="15" customHeight="1" x14ac:dyDescent="0.25">
      <c r="A208" s="69" t="str">
        <f>IFERROR(IF(IFERROR(MATCH(204,'كشف الحساب'!$N$4:$N$353,0),0)=0,"",INDEX('كشف الحساب'!$A$4:$A$353,IFERROR(MATCH(204,'كشف الحساب'!$N$4:$N$353,0),0))),"")</f>
        <v/>
      </c>
      <c r="B208" s="70" t="str">
        <f>IFERROR(IF(IFERROR(MATCH(204,'كشف الحساب'!$N$4:$N$353,0),0)=0,"",INDEX('كشف الحساب'!$B$4:$B$353,IFERROR(MATCH(204,'كشف الحساب'!$N$4:$N$353,0),0))),"")</f>
        <v/>
      </c>
      <c r="C208" s="71" t="str">
        <f>IFERROR(IF(IFERROR(MATCH(204,'كشف الحساب'!$N$4:$N$353,0),0)=0,"",INDEX('كشف الحساب'!$C$4:$C$353,IFERROR(MATCH(204,'كشف الحساب'!$N$4:$N$353,0),0))),"")</f>
        <v/>
      </c>
      <c r="D208" s="72" t="str">
        <f>IFERROR(IF(IFERROR(MATCH(204,'كشف الحساب'!$N$4:$N$353,0),0)=0,"",INDEX('كشف الحساب'!$D$4:$D$353,IFERROR(MATCH(204,'كشف الحساب'!$N$4:$N$353,0),0))),"")</f>
        <v/>
      </c>
      <c r="E208" s="73" t="str">
        <f>IFERROR(IF(IFERROR(MATCH(204,'كشف الحساب'!$N$4:$N$353,0),0)=0,"",INDEX('كشف الحساب'!$E$4:$E$353,IFERROR(MATCH(204,'كشف الحساب'!$N$4:$N$353,0),0))),"")</f>
        <v/>
      </c>
      <c r="F208" s="70" t="str">
        <f>IFERROR(IF(IFERROR(MATCH(204,'كشف الحساب'!$N$4:$N$353,0),0)=0,"",INDEX('كشف الحساب'!$F$4:$F$353,IFERROR(MATCH(204,'كشف الحساب'!$N$4:$N$353,0),0))),"")</f>
        <v/>
      </c>
      <c r="G208" s="70" t="str">
        <f>IFERROR(IF(IFERROR(MATCH(204,'كشف الحساب'!$N$4:$N$353,0),0)=0,"",INDEX('كشف الحساب'!$G$4:$G$353,IFERROR(MATCH(204,'كشف الحساب'!$N$4:$N$353,0),0))),"")</f>
        <v/>
      </c>
      <c r="H208" s="70" t="str">
        <f>IFERROR(IF(IFERROR(MATCH(204,'كشف الحساب'!$N$4:$N$353,0),0)=0,"",INDEX('كشف الحساب'!$H$4:$H$353,IFERROR(MATCH(204,'كشف الحساب'!$N$4:$N$353,0),0))),"")</f>
        <v/>
      </c>
      <c r="I208" s="70" t="str">
        <f>IFERROR(IF(IFERROR(MATCH(204,'كشف الحساب'!$N$4:$N$353,0),0)=0,"",INDEX('كشف الحساب'!$I$4:$I$353,IFERROR(MATCH(204,'كشف الحساب'!$N$4:$N$353,0),0))),"")</f>
        <v/>
      </c>
      <c r="J208" s="74" t="str">
        <f>IFERROR(IF(IFERROR(MATCH(204,'كشف الحساب'!$N$4:$N$353,0),0)=0,"",INDEX('كشف الحساب'!$J$4:$J$353,IFERROR(MATCH(204,'كشف الحساب'!$N$4:$N$353,0),0))),"")</f>
        <v/>
      </c>
      <c r="K208" s="70" t="str">
        <f>IFERROR(IF(IFERROR(MATCH(204,'كشف الحساب'!$N$4:$N$353,0),0)=0,"",INDEX('كشف الحساب'!$K$4:$K$353,IFERROR(MATCH(204,'كشف الحساب'!$N$4:$N$353,0),0))),"")</f>
        <v/>
      </c>
    </row>
    <row r="209" spans="1:11" ht="15" customHeight="1" x14ac:dyDescent="0.25">
      <c r="A209" s="63" t="str">
        <f>IFERROR(IF(IFERROR(MATCH(205,'كشف الحساب'!$N$4:$N$353,0),0)=0,"",INDEX('كشف الحساب'!$A$4:$A$353,IFERROR(MATCH(205,'كشف الحساب'!$N$4:$N$353,0),0))),"")</f>
        <v/>
      </c>
      <c r="B209" s="64" t="str">
        <f>IFERROR(IF(IFERROR(MATCH(205,'كشف الحساب'!$N$4:$N$353,0),0)=0,"",INDEX('كشف الحساب'!$B$4:$B$353,IFERROR(MATCH(205,'كشف الحساب'!$N$4:$N$353,0),0))),"")</f>
        <v/>
      </c>
      <c r="C209" s="65" t="str">
        <f>IFERROR(IF(IFERROR(MATCH(205,'كشف الحساب'!$N$4:$N$353,0),0)=0,"",INDEX('كشف الحساب'!$C$4:$C$353,IFERROR(MATCH(205,'كشف الحساب'!$N$4:$N$353,0),0))),"")</f>
        <v/>
      </c>
      <c r="D209" s="66" t="str">
        <f>IFERROR(IF(IFERROR(MATCH(205,'كشف الحساب'!$N$4:$N$353,0),0)=0,"",INDEX('كشف الحساب'!$D$4:$D$353,IFERROR(MATCH(205,'كشف الحساب'!$N$4:$N$353,0),0))),"")</f>
        <v/>
      </c>
      <c r="E209" s="67" t="str">
        <f>IFERROR(IF(IFERROR(MATCH(205,'كشف الحساب'!$N$4:$N$353,0),0)=0,"",INDEX('كشف الحساب'!$E$4:$E$353,IFERROR(MATCH(205,'كشف الحساب'!$N$4:$N$353,0),0))),"")</f>
        <v/>
      </c>
      <c r="F209" s="64" t="str">
        <f>IFERROR(IF(IFERROR(MATCH(205,'كشف الحساب'!$N$4:$N$353,0),0)=0,"",INDEX('كشف الحساب'!$F$4:$F$353,IFERROR(MATCH(205,'كشف الحساب'!$N$4:$N$353,0),0))),"")</f>
        <v/>
      </c>
      <c r="G209" s="64" t="str">
        <f>IFERROR(IF(IFERROR(MATCH(205,'كشف الحساب'!$N$4:$N$353,0),0)=0,"",INDEX('كشف الحساب'!$G$4:$G$353,IFERROR(MATCH(205,'كشف الحساب'!$N$4:$N$353,0),0))),"")</f>
        <v/>
      </c>
      <c r="H209" s="64" t="str">
        <f>IFERROR(IF(IFERROR(MATCH(205,'كشف الحساب'!$N$4:$N$353,0),0)=0,"",INDEX('كشف الحساب'!$H$4:$H$353,IFERROR(MATCH(205,'كشف الحساب'!$N$4:$N$353,0),0))),"")</f>
        <v/>
      </c>
      <c r="I209" s="64" t="str">
        <f>IFERROR(IF(IFERROR(MATCH(205,'كشف الحساب'!$N$4:$N$353,0),0)=0,"",INDEX('كشف الحساب'!$I$4:$I$353,IFERROR(MATCH(205,'كشف الحساب'!$N$4:$N$353,0),0))),"")</f>
        <v/>
      </c>
      <c r="J209" s="68" t="str">
        <f>IFERROR(IF(IFERROR(MATCH(205,'كشف الحساب'!$N$4:$N$353,0),0)=0,"",INDEX('كشف الحساب'!$J$4:$J$353,IFERROR(MATCH(205,'كشف الحساب'!$N$4:$N$353,0),0))),"")</f>
        <v/>
      </c>
      <c r="K209" s="64" t="str">
        <f>IFERROR(IF(IFERROR(MATCH(205,'كشف الحساب'!$N$4:$N$353,0),0)=0,"",INDEX('كشف الحساب'!$K$4:$K$353,IFERROR(MATCH(205,'كشف الحساب'!$N$4:$N$353,0),0))),"")</f>
        <v/>
      </c>
    </row>
    <row r="210" spans="1:11" ht="15" customHeight="1" x14ac:dyDescent="0.25">
      <c r="A210" s="69" t="str">
        <f>IFERROR(IF(IFERROR(MATCH(206,'كشف الحساب'!$N$4:$N$353,0),0)=0,"",INDEX('كشف الحساب'!$A$4:$A$353,IFERROR(MATCH(206,'كشف الحساب'!$N$4:$N$353,0),0))),"")</f>
        <v/>
      </c>
      <c r="B210" s="70" t="str">
        <f>IFERROR(IF(IFERROR(MATCH(206,'كشف الحساب'!$N$4:$N$353,0),0)=0,"",INDEX('كشف الحساب'!$B$4:$B$353,IFERROR(MATCH(206,'كشف الحساب'!$N$4:$N$353,0),0))),"")</f>
        <v/>
      </c>
      <c r="C210" s="71" t="str">
        <f>IFERROR(IF(IFERROR(MATCH(206,'كشف الحساب'!$N$4:$N$353,0),0)=0,"",INDEX('كشف الحساب'!$C$4:$C$353,IFERROR(MATCH(206,'كشف الحساب'!$N$4:$N$353,0),0))),"")</f>
        <v/>
      </c>
      <c r="D210" s="72" t="str">
        <f>IFERROR(IF(IFERROR(MATCH(206,'كشف الحساب'!$N$4:$N$353,0),0)=0,"",INDEX('كشف الحساب'!$D$4:$D$353,IFERROR(MATCH(206,'كشف الحساب'!$N$4:$N$353,0),0))),"")</f>
        <v/>
      </c>
      <c r="E210" s="73" t="str">
        <f>IFERROR(IF(IFERROR(MATCH(206,'كشف الحساب'!$N$4:$N$353,0),0)=0,"",INDEX('كشف الحساب'!$E$4:$E$353,IFERROR(MATCH(206,'كشف الحساب'!$N$4:$N$353,0),0))),"")</f>
        <v/>
      </c>
      <c r="F210" s="70" t="str">
        <f>IFERROR(IF(IFERROR(MATCH(206,'كشف الحساب'!$N$4:$N$353,0),0)=0,"",INDEX('كشف الحساب'!$F$4:$F$353,IFERROR(MATCH(206,'كشف الحساب'!$N$4:$N$353,0),0))),"")</f>
        <v/>
      </c>
      <c r="G210" s="70" t="str">
        <f>IFERROR(IF(IFERROR(MATCH(206,'كشف الحساب'!$N$4:$N$353,0),0)=0,"",INDEX('كشف الحساب'!$G$4:$G$353,IFERROR(MATCH(206,'كشف الحساب'!$N$4:$N$353,0),0))),"")</f>
        <v/>
      </c>
      <c r="H210" s="70" t="str">
        <f>IFERROR(IF(IFERROR(MATCH(206,'كشف الحساب'!$N$4:$N$353,0),0)=0,"",INDEX('كشف الحساب'!$H$4:$H$353,IFERROR(MATCH(206,'كشف الحساب'!$N$4:$N$353,0),0))),"")</f>
        <v/>
      </c>
      <c r="I210" s="70" t="str">
        <f>IFERROR(IF(IFERROR(MATCH(206,'كشف الحساب'!$N$4:$N$353,0),0)=0,"",INDEX('كشف الحساب'!$I$4:$I$353,IFERROR(MATCH(206,'كشف الحساب'!$N$4:$N$353,0),0))),"")</f>
        <v/>
      </c>
      <c r="J210" s="74" t="str">
        <f>IFERROR(IF(IFERROR(MATCH(206,'كشف الحساب'!$N$4:$N$353,0),0)=0,"",INDEX('كشف الحساب'!$J$4:$J$353,IFERROR(MATCH(206,'كشف الحساب'!$N$4:$N$353,0),0))),"")</f>
        <v/>
      </c>
      <c r="K210" s="70" t="str">
        <f>IFERROR(IF(IFERROR(MATCH(206,'كشف الحساب'!$N$4:$N$353,0),0)=0,"",INDEX('كشف الحساب'!$K$4:$K$353,IFERROR(MATCH(206,'كشف الحساب'!$N$4:$N$353,0),0))),"")</f>
        <v/>
      </c>
    </row>
    <row r="211" spans="1:11" ht="15" customHeight="1" x14ac:dyDescent="0.25">
      <c r="A211" s="63" t="str">
        <f>IFERROR(IF(IFERROR(MATCH(207,'كشف الحساب'!$N$4:$N$353,0),0)=0,"",INDEX('كشف الحساب'!$A$4:$A$353,IFERROR(MATCH(207,'كشف الحساب'!$N$4:$N$353,0),0))),"")</f>
        <v/>
      </c>
      <c r="B211" s="64" t="str">
        <f>IFERROR(IF(IFERROR(MATCH(207,'كشف الحساب'!$N$4:$N$353,0),0)=0,"",INDEX('كشف الحساب'!$B$4:$B$353,IFERROR(MATCH(207,'كشف الحساب'!$N$4:$N$353,0),0))),"")</f>
        <v/>
      </c>
      <c r="C211" s="65" t="str">
        <f>IFERROR(IF(IFERROR(MATCH(207,'كشف الحساب'!$N$4:$N$353,0),0)=0,"",INDEX('كشف الحساب'!$C$4:$C$353,IFERROR(MATCH(207,'كشف الحساب'!$N$4:$N$353,0),0))),"")</f>
        <v/>
      </c>
      <c r="D211" s="66" t="str">
        <f>IFERROR(IF(IFERROR(MATCH(207,'كشف الحساب'!$N$4:$N$353,0),0)=0,"",INDEX('كشف الحساب'!$D$4:$D$353,IFERROR(MATCH(207,'كشف الحساب'!$N$4:$N$353,0),0))),"")</f>
        <v/>
      </c>
      <c r="E211" s="67" t="str">
        <f>IFERROR(IF(IFERROR(MATCH(207,'كشف الحساب'!$N$4:$N$353,0),0)=0,"",INDEX('كشف الحساب'!$E$4:$E$353,IFERROR(MATCH(207,'كشف الحساب'!$N$4:$N$353,0),0))),"")</f>
        <v/>
      </c>
      <c r="F211" s="64" t="str">
        <f>IFERROR(IF(IFERROR(MATCH(207,'كشف الحساب'!$N$4:$N$353,0),0)=0,"",INDEX('كشف الحساب'!$F$4:$F$353,IFERROR(MATCH(207,'كشف الحساب'!$N$4:$N$353,0),0))),"")</f>
        <v/>
      </c>
      <c r="G211" s="64" t="str">
        <f>IFERROR(IF(IFERROR(MATCH(207,'كشف الحساب'!$N$4:$N$353,0),0)=0,"",INDEX('كشف الحساب'!$G$4:$G$353,IFERROR(MATCH(207,'كشف الحساب'!$N$4:$N$353,0),0))),"")</f>
        <v/>
      </c>
      <c r="H211" s="64" t="str">
        <f>IFERROR(IF(IFERROR(MATCH(207,'كشف الحساب'!$N$4:$N$353,0),0)=0,"",INDEX('كشف الحساب'!$H$4:$H$353,IFERROR(MATCH(207,'كشف الحساب'!$N$4:$N$353,0),0))),"")</f>
        <v/>
      </c>
      <c r="I211" s="64" t="str">
        <f>IFERROR(IF(IFERROR(MATCH(207,'كشف الحساب'!$N$4:$N$353,0),0)=0,"",INDEX('كشف الحساب'!$I$4:$I$353,IFERROR(MATCH(207,'كشف الحساب'!$N$4:$N$353,0),0))),"")</f>
        <v/>
      </c>
      <c r="J211" s="68" t="str">
        <f>IFERROR(IF(IFERROR(MATCH(207,'كشف الحساب'!$N$4:$N$353,0),0)=0,"",INDEX('كشف الحساب'!$J$4:$J$353,IFERROR(MATCH(207,'كشف الحساب'!$N$4:$N$353,0),0))),"")</f>
        <v/>
      </c>
      <c r="K211" s="64" t="str">
        <f>IFERROR(IF(IFERROR(MATCH(207,'كشف الحساب'!$N$4:$N$353,0),0)=0,"",INDEX('كشف الحساب'!$K$4:$K$353,IFERROR(MATCH(207,'كشف الحساب'!$N$4:$N$353,0),0))),"")</f>
        <v/>
      </c>
    </row>
    <row r="212" spans="1:11" ht="15" customHeight="1" x14ac:dyDescent="0.25">
      <c r="A212" s="69" t="str">
        <f>IFERROR(IF(IFERROR(MATCH(208,'كشف الحساب'!$N$4:$N$353,0),0)=0,"",INDEX('كشف الحساب'!$A$4:$A$353,IFERROR(MATCH(208,'كشف الحساب'!$N$4:$N$353,0),0))),"")</f>
        <v/>
      </c>
      <c r="B212" s="70" t="str">
        <f>IFERROR(IF(IFERROR(MATCH(208,'كشف الحساب'!$N$4:$N$353,0),0)=0,"",INDEX('كشف الحساب'!$B$4:$B$353,IFERROR(MATCH(208,'كشف الحساب'!$N$4:$N$353,0),0))),"")</f>
        <v/>
      </c>
      <c r="C212" s="71" t="str">
        <f>IFERROR(IF(IFERROR(MATCH(208,'كشف الحساب'!$N$4:$N$353,0),0)=0,"",INDEX('كشف الحساب'!$C$4:$C$353,IFERROR(MATCH(208,'كشف الحساب'!$N$4:$N$353,0),0))),"")</f>
        <v/>
      </c>
      <c r="D212" s="72" t="str">
        <f>IFERROR(IF(IFERROR(MATCH(208,'كشف الحساب'!$N$4:$N$353,0),0)=0,"",INDEX('كشف الحساب'!$D$4:$D$353,IFERROR(MATCH(208,'كشف الحساب'!$N$4:$N$353,0),0))),"")</f>
        <v/>
      </c>
      <c r="E212" s="73" t="str">
        <f>IFERROR(IF(IFERROR(MATCH(208,'كشف الحساب'!$N$4:$N$353,0),0)=0,"",INDEX('كشف الحساب'!$E$4:$E$353,IFERROR(MATCH(208,'كشف الحساب'!$N$4:$N$353,0),0))),"")</f>
        <v/>
      </c>
      <c r="F212" s="70" t="str">
        <f>IFERROR(IF(IFERROR(MATCH(208,'كشف الحساب'!$N$4:$N$353,0),0)=0,"",INDEX('كشف الحساب'!$F$4:$F$353,IFERROR(MATCH(208,'كشف الحساب'!$N$4:$N$353,0),0))),"")</f>
        <v/>
      </c>
      <c r="G212" s="70" t="str">
        <f>IFERROR(IF(IFERROR(MATCH(208,'كشف الحساب'!$N$4:$N$353,0),0)=0,"",INDEX('كشف الحساب'!$G$4:$G$353,IFERROR(MATCH(208,'كشف الحساب'!$N$4:$N$353,0),0))),"")</f>
        <v/>
      </c>
      <c r="H212" s="70" t="str">
        <f>IFERROR(IF(IFERROR(MATCH(208,'كشف الحساب'!$N$4:$N$353,0),0)=0,"",INDEX('كشف الحساب'!$H$4:$H$353,IFERROR(MATCH(208,'كشف الحساب'!$N$4:$N$353,0),0))),"")</f>
        <v/>
      </c>
      <c r="I212" s="70" t="str">
        <f>IFERROR(IF(IFERROR(MATCH(208,'كشف الحساب'!$N$4:$N$353,0),0)=0,"",INDEX('كشف الحساب'!$I$4:$I$353,IFERROR(MATCH(208,'كشف الحساب'!$N$4:$N$353,0),0))),"")</f>
        <v/>
      </c>
      <c r="J212" s="74" t="str">
        <f>IFERROR(IF(IFERROR(MATCH(208,'كشف الحساب'!$N$4:$N$353,0),0)=0,"",INDEX('كشف الحساب'!$J$4:$J$353,IFERROR(MATCH(208,'كشف الحساب'!$N$4:$N$353,0),0))),"")</f>
        <v/>
      </c>
      <c r="K212" s="70" t="str">
        <f>IFERROR(IF(IFERROR(MATCH(208,'كشف الحساب'!$N$4:$N$353,0),0)=0,"",INDEX('كشف الحساب'!$K$4:$K$353,IFERROR(MATCH(208,'كشف الحساب'!$N$4:$N$353,0),0))),"")</f>
        <v/>
      </c>
    </row>
    <row r="213" spans="1:11" ht="15" customHeight="1" x14ac:dyDescent="0.25">
      <c r="A213" s="63" t="str">
        <f>IFERROR(IF(IFERROR(MATCH(209,'كشف الحساب'!$N$4:$N$353,0),0)=0,"",INDEX('كشف الحساب'!$A$4:$A$353,IFERROR(MATCH(209,'كشف الحساب'!$N$4:$N$353,0),0))),"")</f>
        <v/>
      </c>
      <c r="B213" s="64" t="str">
        <f>IFERROR(IF(IFERROR(MATCH(209,'كشف الحساب'!$N$4:$N$353,0),0)=0,"",INDEX('كشف الحساب'!$B$4:$B$353,IFERROR(MATCH(209,'كشف الحساب'!$N$4:$N$353,0),0))),"")</f>
        <v/>
      </c>
      <c r="C213" s="65" t="str">
        <f>IFERROR(IF(IFERROR(MATCH(209,'كشف الحساب'!$N$4:$N$353,0),0)=0,"",INDEX('كشف الحساب'!$C$4:$C$353,IFERROR(MATCH(209,'كشف الحساب'!$N$4:$N$353,0),0))),"")</f>
        <v/>
      </c>
      <c r="D213" s="66" t="str">
        <f>IFERROR(IF(IFERROR(MATCH(209,'كشف الحساب'!$N$4:$N$353,0),0)=0,"",INDEX('كشف الحساب'!$D$4:$D$353,IFERROR(MATCH(209,'كشف الحساب'!$N$4:$N$353,0),0))),"")</f>
        <v/>
      </c>
      <c r="E213" s="67" t="str">
        <f>IFERROR(IF(IFERROR(MATCH(209,'كشف الحساب'!$N$4:$N$353,0),0)=0,"",INDEX('كشف الحساب'!$E$4:$E$353,IFERROR(MATCH(209,'كشف الحساب'!$N$4:$N$353,0),0))),"")</f>
        <v/>
      </c>
      <c r="F213" s="64" t="str">
        <f>IFERROR(IF(IFERROR(MATCH(209,'كشف الحساب'!$N$4:$N$353,0),0)=0,"",INDEX('كشف الحساب'!$F$4:$F$353,IFERROR(MATCH(209,'كشف الحساب'!$N$4:$N$353,0),0))),"")</f>
        <v/>
      </c>
      <c r="G213" s="64" t="str">
        <f>IFERROR(IF(IFERROR(MATCH(209,'كشف الحساب'!$N$4:$N$353,0),0)=0,"",INDEX('كشف الحساب'!$G$4:$G$353,IFERROR(MATCH(209,'كشف الحساب'!$N$4:$N$353,0),0))),"")</f>
        <v/>
      </c>
      <c r="H213" s="64" t="str">
        <f>IFERROR(IF(IFERROR(MATCH(209,'كشف الحساب'!$N$4:$N$353,0),0)=0,"",INDEX('كشف الحساب'!$H$4:$H$353,IFERROR(MATCH(209,'كشف الحساب'!$N$4:$N$353,0),0))),"")</f>
        <v/>
      </c>
      <c r="I213" s="64" t="str">
        <f>IFERROR(IF(IFERROR(MATCH(209,'كشف الحساب'!$N$4:$N$353,0),0)=0,"",INDEX('كشف الحساب'!$I$4:$I$353,IFERROR(MATCH(209,'كشف الحساب'!$N$4:$N$353,0),0))),"")</f>
        <v/>
      </c>
      <c r="J213" s="68" t="str">
        <f>IFERROR(IF(IFERROR(MATCH(209,'كشف الحساب'!$N$4:$N$353,0),0)=0,"",INDEX('كشف الحساب'!$J$4:$J$353,IFERROR(MATCH(209,'كشف الحساب'!$N$4:$N$353,0),0))),"")</f>
        <v/>
      </c>
      <c r="K213" s="64" t="str">
        <f>IFERROR(IF(IFERROR(MATCH(209,'كشف الحساب'!$N$4:$N$353,0),0)=0,"",INDEX('كشف الحساب'!$K$4:$K$353,IFERROR(MATCH(209,'كشف الحساب'!$N$4:$N$353,0),0))),"")</f>
        <v/>
      </c>
    </row>
    <row r="214" spans="1:11" ht="15" customHeight="1" x14ac:dyDescent="0.25">
      <c r="A214" s="69" t="str">
        <f>IFERROR(IF(IFERROR(MATCH(210,'كشف الحساب'!$N$4:$N$353,0),0)=0,"",INDEX('كشف الحساب'!$A$4:$A$353,IFERROR(MATCH(210,'كشف الحساب'!$N$4:$N$353,0),0))),"")</f>
        <v/>
      </c>
      <c r="B214" s="70" t="str">
        <f>IFERROR(IF(IFERROR(MATCH(210,'كشف الحساب'!$N$4:$N$353,0),0)=0,"",INDEX('كشف الحساب'!$B$4:$B$353,IFERROR(MATCH(210,'كشف الحساب'!$N$4:$N$353,0),0))),"")</f>
        <v/>
      </c>
      <c r="C214" s="71" t="str">
        <f>IFERROR(IF(IFERROR(MATCH(210,'كشف الحساب'!$N$4:$N$353,0),0)=0,"",INDEX('كشف الحساب'!$C$4:$C$353,IFERROR(MATCH(210,'كشف الحساب'!$N$4:$N$353,0),0))),"")</f>
        <v/>
      </c>
      <c r="D214" s="72" t="str">
        <f>IFERROR(IF(IFERROR(MATCH(210,'كشف الحساب'!$N$4:$N$353,0),0)=0,"",INDEX('كشف الحساب'!$D$4:$D$353,IFERROR(MATCH(210,'كشف الحساب'!$N$4:$N$353,0),0))),"")</f>
        <v/>
      </c>
      <c r="E214" s="73" t="str">
        <f>IFERROR(IF(IFERROR(MATCH(210,'كشف الحساب'!$N$4:$N$353,0),0)=0,"",INDEX('كشف الحساب'!$E$4:$E$353,IFERROR(MATCH(210,'كشف الحساب'!$N$4:$N$353,0),0))),"")</f>
        <v/>
      </c>
      <c r="F214" s="70" t="str">
        <f>IFERROR(IF(IFERROR(MATCH(210,'كشف الحساب'!$N$4:$N$353,0),0)=0,"",INDEX('كشف الحساب'!$F$4:$F$353,IFERROR(MATCH(210,'كشف الحساب'!$N$4:$N$353,0),0))),"")</f>
        <v/>
      </c>
      <c r="G214" s="70" t="str">
        <f>IFERROR(IF(IFERROR(MATCH(210,'كشف الحساب'!$N$4:$N$353,0),0)=0,"",INDEX('كشف الحساب'!$G$4:$G$353,IFERROR(MATCH(210,'كشف الحساب'!$N$4:$N$353,0),0))),"")</f>
        <v/>
      </c>
      <c r="H214" s="70" t="str">
        <f>IFERROR(IF(IFERROR(MATCH(210,'كشف الحساب'!$N$4:$N$353,0),0)=0,"",INDEX('كشف الحساب'!$H$4:$H$353,IFERROR(MATCH(210,'كشف الحساب'!$N$4:$N$353,0),0))),"")</f>
        <v/>
      </c>
      <c r="I214" s="70" t="str">
        <f>IFERROR(IF(IFERROR(MATCH(210,'كشف الحساب'!$N$4:$N$353,0),0)=0,"",INDEX('كشف الحساب'!$I$4:$I$353,IFERROR(MATCH(210,'كشف الحساب'!$N$4:$N$353,0),0))),"")</f>
        <v/>
      </c>
      <c r="J214" s="74" t="str">
        <f>IFERROR(IF(IFERROR(MATCH(210,'كشف الحساب'!$N$4:$N$353,0),0)=0,"",INDEX('كشف الحساب'!$J$4:$J$353,IFERROR(MATCH(210,'كشف الحساب'!$N$4:$N$353,0),0))),"")</f>
        <v/>
      </c>
      <c r="K214" s="70" t="str">
        <f>IFERROR(IF(IFERROR(MATCH(210,'كشف الحساب'!$N$4:$N$353,0),0)=0,"",INDEX('كشف الحساب'!$K$4:$K$353,IFERROR(MATCH(210,'كشف الحساب'!$N$4:$N$353,0),0))),"")</f>
        <v/>
      </c>
    </row>
    <row r="215" spans="1:11" ht="15" customHeight="1" x14ac:dyDescent="0.25">
      <c r="A215" s="63" t="str">
        <f>IFERROR(IF(IFERROR(MATCH(211,'كشف الحساب'!$N$4:$N$353,0),0)=0,"",INDEX('كشف الحساب'!$A$4:$A$353,IFERROR(MATCH(211,'كشف الحساب'!$N$4:$N$353,0),0))),"")</f>
        <v/>
      </c>
      <c r="B215" s="64" t="str">
        <f>IFERROR(IF(IFERROR(MATCH(211,'كشف الحساب'!$N$4:$N$353,0),0)=0,"",INDEX('كشف الحساب'!$B$4:$B$353,IFERROR(MATCH(211,'كشف الحساب'!$N$4:$N$353,0),0))),"")</f>
        <v/>
      </c>
      <c r="C215" s="65" t="str">
        <f>IFERROR(IF(IFERROR(MATCH(211,'كشف الحساب'!$N$4:$N$353,0),0)=0,"",INDEX('كشف الحساب'!$C$4:$C$353,IFERROR(MATCH(211,'كشف الحساب'!$N$4:$N$353,0),0))),"")</f>
        <v/>
      </c>
      <c r="D215" s="66" t="str">
        <f>IFERROR(IF(IFERROR(MATCH(211,'كشف الحساب'!$N$4:$N$353,0),0)=0,"",INDEX('كشف الحساب'!$D$4:$D$353,IFERROR(MATCH(211,'كشف الحساب'!$N$4:$N$353,0),0))),"")</f>
        <v/>
      </c>
      <c r="E215" s="67" t="str">
        <f>IFERROR(IF(IFERROR(MATCH(211,'كشف الحساب'!$N$4:$N$353,0),0)=0,"",INDEX('كشف الحساب'!$E$4:$E$353,IFERROR(MATCH(211,'كشف الحساب'!$N$4:$N$353,0),0))),"")</f>
        <v/>
      </c>
      <c r="F215" s="64" t="str">
        <f>IFERROR(IF(IFERROR(MATCH(211,'كشف الحساب'!$N$4:$N$353,0),0)=0,"",INDEX('كشف الحساب'!$F$4:$F$353,IFERROR(MATCH(211,'كشف الحساب'!$N$4:$N$353,0),0))),"")</f>
        <v/>
      </c>
      <c r="G215" s="64" t="str">
        <f>IFERROR(IF(IFERROR(MATCH(211,'كشف الحساب'!$N$4:$N$353,0),0)=0,"",INDEX('كشف الحساب'!$G$4:$G$353,IFERROR(MATCH(211,'كشف الحساب'!$N$4:$N$353,0),0))),"")</f>
        <v/>
      </c>
      <c r="H215" s="64" t="str">
        <f>IFERROR(IF(IFERROR(MATCH(211,'كشف الحساب'!$N$4:$N$353,0),0)=0,"",INDEX('كشف الحساب'!$H$4:$H$353,IFERROR(MATCH(211,'كشف الحساب'!$N$4:$N$353,0),0))),"")</f>
        <v/>
      </c>
      <c r="I215" s="64" t="str">
        <f>IFERROR(IF(IFERROR(MATCH(211,'كشف الحساب'!$N$4:$N$353,0),0)=0,"",INDEX('كشف الحساب'!$I$4:$I$353,IFERROR(MATCH(211,'كشف الحساب'!$N$4:$N$353,0),0))),"")</f>
        <v/>
      </c>
      <c r="J215" s="68" t="str">
        <f>IFERROR(IF(IFERROR(MATCH(211,'كشف الحساب'!$N$4:$N$353,0),0)=0,"",INDEX('كشف الحساب'!$J$4:$J$353,IFERROR(MATCH(211,'كشف الحساب'!$N$4:$N$353,0),0))),"")</f>
        <v/>
      </c>
      <c r="K215" s="64" t="str">
        <f>IFERROR(IF(IFERROR(MATCH(211,'كشف الحساب'!$N$4:$N$353,0),0)=0,"",INDEX('كشف الحساب'!$K$4:$K$353,IFERROR(MATCH(211,'كشف الحساب'!$N$4:$N$353,0),0))),"")</f>
        <v/>
      </c>
    </row>
    <row r="216" spans="1:11" ht="15" customHeight="1" x14ac:dyDescent="0.25">
      <c r="A216" s="69" t="str">
        <f>IFERROR(IF(IFERROR(MATCH(212,'كشف الحساب'!$N$4:$N$353,0),0)=0,"",INDEX('كشف الحساب'!$A$4:$A$353,IFERROR(MATCH(212,'كشف الحساب'!$N$4:$N$353,0),0))),"")</f>
        <v/>
      </c>
      <c r="B216" s="70" t="str">
        <f>IFERROR(IF(IFERROR(MATCH(212,'كشف الحساب'!$N$4:$N$353,0),0)=0,"",INDEX('كشف الحساب'!$B$4:$B$353,IFERROR(MATCH(212,'كشف الحساب'!$N$4:$N$353,0),0))),"")</f>
        <v/>
      </c>
      <c r="C216" s="71" t="str">
        <f>IFERROR(IF(IFERROR(MATCH(212,'كشف الحساب'!$N$4:$N$353,0),0)=0,"",INDEX('كشف الحساب'!$C$4:$C$353,IFERROR(MATCH(212,'كشف الحساب'!$N$4:$N$353,0),0))),"")</f>
        <v/>
      </c>
      <c r="D216" s="72" t="str">
        <f>IFERROR(IF(IFERROR(MATCH(212,'كشف الحساب'!$N$4:$N$353,0),0)=0,"",INDEX('كشف الحساب'!$D$4:$D$353,IFERROR(MATCH(212,'كشف الحساب'!$N$4:$N$353,0),0))),"")</f>
        <v/>
      </c>
      <c r="E216" s="73" t="str">
        <f>IFERROR(IF(IFERROR(MATCH(212,'كشف الحساب'!$N$4:$N$353,0),0)=0,"",INDEX('كشف الحساب'!$E$4:$E$353,IFERROR(MATCH(212,'كشف الحساب'!$N$4:$N$353,0),0))),"")</f>
        <v/>
      </c>
      <c r="F216" s="70" t="str">
        <f>IFERROR(IF(IFERROR(MATCH(212,'كشف الحساب'!$N$4:$N$353,0),0)=0,"",INDEX('كشف الحساب'!$F$4:$F$353,IFERROR(MATCH(212,'كشف الحساب'!$N$4:$N$353,0),0))),"")</f>
        <v/>
      </c>
      <c r="G216" s="70" t="str">
        <f>IFERROR(IF(IFERROR(MATCH(212,'كشف الحساب'!$N$4:$N$353,0),0)=0,"",INDEX('كشف الحساب'!$G$4:$G$353,IFERROR(MATCH(212,'كشف الحساب'!$N$4:$N$353,0),0))),"")</f>
        <v/>
      </c>
      <c r="H216" s="70" t="str">
        <f>IFERROR(IF(IFERROR(MATCH(212,'كشف الحساب'!$N$4:$N$353,0),0)=0,"",INDEX('كشف الحساب'!$H$4:$H$353,IFERROR(MATCH(212,'كشف الحساب'!$N$4:$N$353,0),0))),"")</f>
        <v/>
      </c>
      <c r="I216" s="70" t="str">
        <f>IFERROR(IF(IFERROR(MATCH(212,'كشف الحساب'!$N$4:$N$353,0),0)=0,"",INDEX('كشف الحساب'!$I$4:$I$353,IFERROR(MATCH(212,'كشف الحساب'!$N$4:$N$353,0),0))),"")</f>
        <v/>
      </c>
      <c r="J216" s="74" t="str">
        <f>IFERROR(IF(IFERROR(MATCH(212,'كشف الحساب'!$N$4:$N$353,0),0)=0,"",INDEX('كشف الحساب'!$J$4:$J$353,IFERROR(MATCH(212,'كشف الحساب'!$N$4:$N$353,0),0))),"")</f>
        <v/>
      </c>
      <c r="K216" s="70" t="str">
        <f>IFERROR(IF(IFERROR(MATCH(212,'كشف الحساب'!$N$4:$N$353,0),0)=0,"",INDEX('كشف الحساب'!$K$4:$K$353,IFERROR(MATCH(212,'كشف الحساب'!$N$4:$N$353,0),0))),"")</f>
        <v/>
      </c>
    </row>
    <row r="217" spans="1:11" ht="15" customHeight="1" x14ac:dyDescent="0.25">
      <c r="A217" s="63" t="str">
        <f>IFERROR(IF(IFERROR(MATCH(213,'كشف الحساب'!$N$4:$N$353,0),0)=0,"",INDEX('كشف الحساب'!$A$4:$A$353,IFERROR(MATCH(213,'كشف الحساب'!$N$4:$N$353,0),0))),"")</f>
        <v/>
      </c>
      <c r="B217" s="64" t="str">
        <f>IFERROR(IF(IFERROR(MATCH(213,'كشف الحساب'!$N$4:$N$353,0),0)=0,"",INDEX('كشف الحساب'!$B$4:$B$353,IFERROR(MATCH(213,'كشف الحساب'!$N$4:$N$353,0),0))),"")</f>
        <v/>
      </c>
      <c r="C217" s="65" t="str">
        <f>IFERROR(IF(IFERROR(MATCH(213,'كشف الحساب'!$N$4:$N$353,0),0)=0,"",INDEX('كشف الحساب'!$C$4:$C$353,IFERROR(MATCH(213,'كشف الحساب'!$N$4:$N$353,0),0))),"")</f>
        <v/>
      </c>
      <c r="D217" s="66" t="str">
        <f>IFERROR(IF(IFERROR(MATCH(213,'كشف الحساب'!$N$4:$N$353,0),0)=0,"",INDEX('كشف الحساب'!$D$4:$D$353,IFERROR(MATCH(213,'كشف الحساب'!$N$4:$N$353,0),0))),"")</f>
        <v/>
      </c>
      <c r="E217" s="67" t="str">
        <f>IFERROR(IF(IFERROR(MATCH(213,'كشف الحساب'!$N$4:$N$353,0),0)=0,"",INDEX('كشف الحساب'!$E$4:$E$353,IFERROR(MATCH(213,'كشف الحساب'!$N$4:$N$353,0),0))),"")</f>
        <v/>
      </c>
      <c r="F217" s="64" t="str">
        <f>IFERROR(IF(IFERROR(MATCH(213,'كشف الحساب'!$N$4:$N$353,0),0)=0,"",INDEX('كشف الحساب'!$F$4:$F$353,IFERROR(MATCH(213,'كشف الحساب'!$N$4:$N$353,0),0))),"")</f>
        <v/>
      </c>
      <c r="G217" s="64" t="str">
        <f>IFERROR(IF(IFERROR(MATCH(213,'كشف الحساب'!$N$4:$N$353,0),0)=0,"",INDEX('كشف الحساب'!$G$4:$G$353,IFERROR(MATCH(213,'كشف الحساب'!$N$4:$N$353,0),0))),"")</f>
        <v/>
      </c>
      <c r="H217" s="64" t="str">
        <f>IFERROR(IF(IFERROR(MATCH(213,'كشف الحساب'!$N$4:$N$353,0),0)=0,"",INDEX('كشف الحساب'!$H$4:$H$353,IFERROR(MATCH(213,'كشف الحساب'!$N$4:$N$353,0),0))),"")</f>
        <v/>
      </c>
      <c r="I217" s="64" t="str">
        <f>IFERROR(IF(IFERROR(MATCH(213,'كشف الحساب'!$N$4:$N$353,0),0)=0,"",INDEX('كشف الحساب'!$I$4:$I$353,IFERROR(MATCH(213,'كشف الحساب'!$N$4:$N$353,0),0))),"")</f>
        <v/>
      </c>
      <c r="J217" s="68" t="str">
        <f>IFERROR(IF(IFERROR(MATCH(213,'كشف الحساب'!$N$4:$N$353,0),0)=0,"",INDEX('كشف الحساب'!$J$4:$J$353,IFERROR(MATCH(213,'كشف الحساب'!$N$4:$N$353,0),0))),"")</f>
        <v/>
      </c>
      <c r="K217" s="64" t="str">
        <f>IFERROR(IF(IFERROR(MATCH(213,'كشف الحساب'!$N$4:$N$353,0),0)=0,"",INDEX('كشف الحساب'!$K$4:$K$353,IFERROR(MATCH(213,'كشف الحساب'!$N$4:$N$353,0),0))),"")</f>
        <v/>
      </c>
    </row>
    <row r="218" spans="1:11" ht="15" customHeight="1" x14ac:dyDescent="0.25">
      <c r="A218" s="69" t="str">
        <f>IFERROR(IF(IFERROR(MATCH(214,'كشف الحساب'!$N$4:$N$353,0),0)=0,"",INDEX('كشف الحساب'!$A$4:$A$353,IFERROR(MATCH(214,'كشف الحساب'!$N$4:$N$353,0),0))),"")</f>
        <v/>
      </c>
      <c r="B218" s="70" t="str">
        <f>IFERROR(IF(IFERROR(MATCH(214,'كشف الحساب'!$N$4:$N$353,0),0)=0,"",INDEX('كشف الحساب'!$B$4:$B$353,IFERROR(MATCH(214,'كشف الحساب'!$N$4:$N$353,0),0))),"")</f>
        <v/>
      </c>
      <c r="C218" s="71" t="str">
        <f>IFERROR(IF(IFERROR(MATCH(214,'كشف الحساب'!$N$4:$N$353,0),0)=0,"",INDEX('كشف الحساب'!$C$4:$C$353,IFERROR(MATCH(214,'كشف الحساب'!$N$4:$N$353,0),0))),"")</f>
        <v/>
      </c>
      <c r="D218" s="72" t="str">
        <f>IFERROR(IF(IFERROR(MATCH(214,'كشف الحساب'!$N$4:$N$353,0),0)=0,"",INDEX('كشف الحساب'!$D$4:$D$353,IFERROR(MATCH(214,'كشف الحساب'!$N$4:$N$353,0),0))),"")</f>
        <v/>
      </c>
      <c r="E218" s="73" t="str">
        <f>IFERROR(IF(IFERROR(MATCH(214,'كشف الحساب'!$N$4:$N$353,0),0)=0,"",INDEX('كشف الحساب'!$E$4:$E$353,IFERROR(MATCH(214,'كشف الحساب'!$N$4:$N$353,0),0))),"")</f>
        <v/>
      </c>
      <c r="F218" s="70" t="str">
        <f>IFERROR(IF(IFERROR(MATCH(214,'كشف الحساب'!$N$4:$N$353,0),0)=0,"",INDEX('كشف الحساب'!$F$4:$F$353,IFERROR(MATCH(214,'كشف الحساب'!$N$4:$N$353,0),0))),"")</f>
        <v/>
      </c>
      <c r="G218" s="70" t="str">
        <f>IFERROR(IF(IFERROR(MATCH(214,'كشف الحساب'!$N$4:$N$353,0),0)=0,"",INDEX('كشف الحساب'!$G$4:$G$353,IFERROR(MATCH(214,'كشف الحساب'!$N$4:$N$353,0),0))),"")</f>
        <v/>
      </c>
      <c r="H218" s="70" t="str">
        <f>IFERROR(IF(IFERROR(MATCH(214,'كشف الحساب'!$N$4:$N$353,0),0)=0,"",INDEX('كشف الحساب'!$H$4:$H$353,IFERROR(MATCH(214,'كشف الحساب'!$N$4:$N$353,0),0))),"")</f>
        <v/>
      </c>
      <c r="I218" s="70" t="str">
        <f>IFERROR(IF(IFERROR(MATCH(214,'كشف الحساب'!$N$4:$N$353,0),0)=0,"",INDEX('كشف الحساب'!$I$4:$I$353,IFERROR(MATCH(214,'كشف الحساب'!$N$4:$N$353,0),0))),"")</f>
        <v/>
      </c>
      <c r="J218" s="74" t="str">
        <f>IFERROR(IF(IFERROR(MATCH(214,'كشف الحساب'!$N$4:$N$353,0),0)=0,"",INDEX('كشف الحساب'!$J$4:$J$353,IFERROR(MATCH(214,'كشف الحساب'!$N$4:$N$353,0),0))),"")</f>
        <v/>
      </c>
      <c r="K218" s="70" t="str">
        <f>IFERROR(IF(IFERROR(MATCH(214,'كشف الحساب'!$N$4:$N$353,0),0)=0,"",INDEX('كشف الحساب'!$K$4:$K$353,IFERROR(MATCH(214,'كشف الحساب'!$N$4:$N$353,0),0))),"")</f>
        <v/>
      </c>
    </row>
    <row r="219" spans="1:11" ht="15" customHeight="1" x14ac:dyDescent="0.25">
      <c r="A219" s="63" t="str">
        <f>IFERROR(IF(IFERROR(MATCH(215,'كشف الحساب'!$N$4:$N$353,0),0)=0,"",INDEX('كشف الحساب'!$A$4:$A$353,IFERROR(MATCH(215,'كشف الحساب'!$N$4:$N$353,0),0))),"")</f>
        <v/>
      </c>
      <c r="B219" s="64" t="str">
        <f>IFERROR(IF(IFERROR(MATCH(215,'كشف الحساب'!$N$4:$N$353,0),0)=0,"",INDEX('كشف الحساب'!$B$4:$B$353,IFERROR(MATCH(215,'كشف الحساب'!$N$4:$N$353,0),0))),"")</f>
        <v/>
      </c>
      <c r="C219" s="65" t="str">
        <f>IFERROR(IF(IFERROR(MATCH(215,'كشف الحساب'!$N$4:$N$353,0),0)=0,"",INDEX('كشف الحساب'!$C$4:$C$353,IFERROR(MATCH(215,'كشف الحساب'!$N$4:$N$353,0),0))),"")</f>
        <v/>
      </c>
      <c r="D219" s="66" t="str">
        <f>IFERROR(IF(IFERROR(MATCH(215,'كشف الحساب'!$N$4:$N$353,0),0)=0,"",INDEX('كشف الحساب'!$D$4:$D$353,IFERROR(MATCH(215,'كشف الحساب'!$N$4:$N$353,0),0))),"")</f>
        <v/>
      </c>
      <c r="E219" s="67" t="str">
        <f>IFERROR(IF(IFERROR(MATCH(215,'كشف الحساب'!$N$4:$N$353,0),0)=0,"",INDEX('كشف الحساب'!$E$4:$E$353,IFERROR(MATCH(215,'كشف الحساب'!$N$4:$N$353,0),0))),"")</f>
        <v/>
      </c>
      <c r="F219" s="64" t="str">
        <f>IFERROR(IF(IFERROR(MATCH(215,'كشف الحساب'!$N$4:$N$353,0),0)=0,"",INDEX('كشف الحساب'!$F$4:$F$353,IFERROR(MATCH(215,'كشف الحساب'!$N$4:$N$353,0),0))),"")</f>
        <v/>
      </c>
      <c r="G219" s="64" t="str">
        <f>IFERROR(IF(IFERROR(MATCH(215,'كشف الحساب'!$N$4:$N$353,0),0)=0,"",INDEX('كشف الحساب'!$G$4:$G$353,IFERROR(MATCH(215,'كشف الحساب'!$N$4:$N$353,0),0))),"")</f>
        <v/>
      </c>
      <c r="H219" s="64" t="str">
        <f>IFERROR(IF(IFERROR(MATCH(215,'كشف الحساب'!$N$4:$N$353,0),0)=0,"",INDEX('كشف الحساب'!$H$4:$H$353,IFERROR(MATCH(215,'كشف الحساب'!$N$4:$N$353,0),0))),"")</f>
        <v/>
      </c>
      <c r="I219" s="64" t="str">
        <f>IFERROR(IF(IFERROR(MATCH(215,'كشف الحساب'!$N$4:$N$353,0),0)=0,"",INDEX('كشف الحساب'!$I$4:$I$353,IFERROR(MATCH(215,'كشف الحساب'!$N$4:$N$353,0),0))),"")</f>
        <v/>
      </c>
      <c r="J219" s="68" t="str">
        <f>IFERROR(IF(IFERROR(MATCH(215,'كشف الحساب'!$N$4:$N$353,0),0)=0,"",INDEX('كشف الحساب'!$J$4:$J$353,IFERROR(MATCH(215,'كشف الحساب'!$N$4:$N$353,0),0))),"")</f>
        <v/>
      </c>
      <c r="K219" s="64" t="str">
        <f>IFERROR(IF(IFERROR(MATCH(215,'كشف الحساب'!$N$4:$N$353,0),0)=0,"",INDEX('كشف الحساب'!$K$4:$K$353,IFERROR(MATCH(215,'كشف الحساب'!$N$4:$N$353,0),0))),"")</f>
        <v/>
      </c>
    </row>
    <row r="220" spans="1:11" ht="15" customHeight="1" x14ac:dyDescent="0.25">
      <c r="A220" s="69" t="str">
        <f>IFERROR(IF(IFERROR(MATCH(216,'كشف الحساب'!$N$4:$N$353,0),0)=0,"",INDEX('كشف الحساب'!$A$4:$A$353,IFERROR(MATCH(216,'كشف الحساب'!$N$4:$N$353,0),0))),"")</f>
        <v/>
      </c>
      <c r="B220" s="70" t="str">
        <f>IFERROR(IF(IFERROR(MATCH(216,'كشف الحساب'!$N$4:$N$353,0),0)=0,"",INDEX('كشف الحساب'!$B$4:$B$353,IFERROR(MATCH(216,'كشف الحساب'!$N$4:$N$353,0),0))),"")</f>
        <v/>
      </c>
      <c r="C220" s="71" t="str">
        <f>IFERROR(IF(IFERROR(MATCH(216,'كشف الحساب'!$N$4:$N$353,0),0)=0,"",INDEX('كشف الحساب'!$C$4:$C$353,IFERROR(MATCH(216,'كشف الحساب'!$N$4:$N$353,0),0))),"")</f>
        <v/>
      </c>
      <c r="D220" s="72" t="str">
        <f>IFERROR(IF(IFERROR(MATCH(216,'كشف الحساب'!$N$4:$N$353,0),0)=0,"",INDEX('كشف الحساب'!$D$4:$D$353,IFERROR(MATCH(216,'كشف الحساب'!$N$4:$N$353,0),0))),"")</f>
        <v/>
      </c>
      <c r="E220" s="73" t="str">
        <f>IFERROR(IF(IFERROR(MATCH(216,'كشف الحساب'!$N$4:$N$353,0),0)=0,"",INDEX('كشف الحساب'!$E$4:$E$353,IFERROR(MATCH(216,'كشف الحساب'!$N$4:$N$353,0),0))),"")</f>
        <v/>
      </c>
      <c r="F220" s="70" t="str">
        <f>IFERROR(IF(IFERROR(MATCH(216,'كشف الحساب'!$N$4:$N$353,0),0)=0,"",INDEX('كشف الحساب'!$F$4:$F$353,IFERROR(MATCH(216,'كشف الحساب'!$N$4:$N$353,0),0))),"")</f>
        <v/>
      </c>
      <c r="G220" s="70" t="str">
        <f>IFERROR(IF(IFERROR(MATCH(216,'كشف الحساب'!$N$4:$N$353,0),0)=0,"",INDEX('كشف الحساب'!$G$4:$G$353,IFERROR(MATCH(216,'كشف الحساب'!$N$4:$N$353,0),0))),"")</f>
        <v/>
      </c>
      <c r="H220" s="70" t="str">
        <f>IFERROR(IF(IFERROR(MATCH(216,'كشف الحساب'!$N$4:$N$353,0),0)=0,"",INDEX('كشف الحساب'!$H$4:$H$353,IFERROR(MATCH(216,'كشف الحساب'!$N$4:$N$353,0),0))),"")</f>
        <v/>
      </c>
      <c r="I220" s="70" t="str">
        <f>IFERROR(IF(IFERROR(MATCH(216,'كشف الحساب'!$N$4:$N$353,0),0)=0,"",INDEX('كشف الحساب'!$I$4:$I$353,IFERROR(MATCH(216,'كشف الحساب'!$N$4:$N$353,0),0))),"")</f>
        <v/>
      </c>
      <c r="J220" s="74" t="str">
        <f>IFERROR(IF(IFERROR(MATCH(216,'كشف الحساب'!$N$4:$N$353,0),0)=0,"",INDEX('كشف الحساب'!$J$4:$J$353,IFERROR(MATCH(216,'كشف الحساب'!$N$4:$N$353,0),0))),"")</f>
        <v/>
      </c>
      <c r="K220" s="70" t="str">
        <f>IFERROR(IF(IFERROR(MATCH(216,'كشف الحساب'!$N$4:$N$353,0),0)=0,"",INDEX('كشف الحساب'!$K$4:$K$353,IFERROR(MATCH(216,'كشف الحساب'!$N$4:$N$353,0),0))),"")</f>
        <v/>
      </c>
    </row>
    <row r="221" spans="1:11" ht="15" customHeight="1" x14ac:dyDescent="0.25">
      <c r="A221" s="63" t="str">
        <f>IFERROR(IF(IFERROR(MATCH(217,'كشف الحساب'!$N$4:$N$353,0),0)=0,"",INDEX('كشف الحساب'!$A$4:$A$353,IFERROR(MATCH(217,'كشف الحساب'!$N$4:$N$353,0),0))),"")</f>
        <v/>
      </c>
      <c r="B221" s="64" t="str">
        <f>IFERROR(IF(IFERROR(MATCH(217,'كشف الحساب'!$N$4:$N$353,0),0)=0,"",INDEX('كشف الحساب'!$B$4:$B$353,IFERROR(MATCH(217,'كشف الحساب'!$N$4:$N$353,0),0))),"")</f>
        <v/>
      </c>
      <c r="C221" s="65" t="str">
        <f>IFERROR(IF(IFERROR(MATCH(217,'كشف الحساب'!$N$4:$N$353,0),0)=0,"",INDEX('كشف الحساب'!$C$4:$C$353,IFERROR(MATCH(217,'كشف الحساب'!$N$4:$N$353,0),0))),"")</f>
        <v/>
      </c>
      <c r="D221" s="66" t="str">
        <f>IFERROR(IF(IFERROR(MATCH(217,'كشف الحساب'!$N$4:$N$353,0),0)=0,"",INDEX('كشف الحساب'!$D$4:$D$353,IFERROR(MATCH(217,'كشف الحساب'!$N$4:$N$353,0),0))),"")</f>
        <v/>
      </c>
      <c r="E221" s="67" t="str">
        <f>IFERROR(IF(IFERROR(MATCH(217,'كشف الحساب'!$N$4:$N$353,0),0)=0,"",INDEX('كشف الحساب'!$E$4:$E$353,IFERROR(MATCH(217,'كشف الحساب'!$N$4:$N$353,0),0))),"")</f>
        <v/>
      </c>
      <c r="F221" s="64" t="str">
        <f>IFERROR(IF(IFERROR(MATCH(217,'كشف الحساب'!$N$4:$N$353,0),0)=0,"",INDEX('كشف الحساب'!$F$4:$F$353,IFERROR(MATCH(217,'كشف الحساب'!$N$4:$N$353,0),0))),"")</f>
        <v/>
      </c>
      <c r="G221" s="64" t="str">
        <f>IFERROR(IF(IFERROR(MATCH(217,'كشف الحساب'!$N$4:$N$353,0),0)=0,"",INDEX('كشف الحساب'!$G$4:$G$353,IFERROR(MATCH(217,'كشف الحساب'!$N$4:$N$353,0),0))),"")</f>
        <v/>
      </c>
      <c r="H221" s="64" t="str">
        <f>IFERROR(IF(IFERROR(MATCH(217,'كشف الحساب'!$N$4:$N$353,0),0)=0,"",INDEX('كشف الحساب'!$H$4:$H$353,IFERROR(MATCH(217,'كشف الحساب'!$N$4:$N$353,0),0))),"")</f>
        <v/>
      </c>
      <c r="I221" s="64" t="str">
        <f>IFERROR(IF(IFERROR(MATCH(217,'كشف الحساب'!$N$4:$N$353,0),0)=0,"",INDEX('كشف الحساب'!$I$4:$I$353,IFERROR(MATCH(217,'كشف الحساب'!$N$4:$N$353,0),0))),"")</f>
        <v/>
      </c>
      <c r="J221" s="68" t="str">
        <f>IFERROR(IF(IFERROR(MATCH(217,'كشف الحساب'!$N$4:$N$353,0),0)=0,"",INDEX('كشف الحساب'!$J$4:$J$353,IFERROR(MATCH(217,'كشف الحساب'!$N$4:$N$353,0),0))),"")</f>
        <v/>
      </c>
      <c r="K221" s="64" t="str">
        <f>IFERROR(IF(IFERROR(MATCH(217,'كشف الحساب'!$N$4:$N$353,0),0)=0,"",INDEX('كشف الحساب'!$K$4:$K$353,IFERROR(MATCH(217,'كشف الحساب'!$N$4:$N$353,0),0))),"")</f>
        <v/>
      </c>
    </row>
    <row r="222" spans="1:11" ht="15" customHeight="1" x14ac:dyDescent="0.25">
      <c r="A222" s="69" t="str">
        <f>IFERROR(IF(IFERROR(MATCH(218,'كشف الحساب'!$N$4:$N$353,0),0)=0,"",INDEX('كشف الحساب'!$A$4:$A$353,IFERROR(MATCH(218,'كشف الحساب'!$N$4:$N$353,0),0))),"")</f>
        <v/>
      </c>
      <c r="B222" s="70" t="str">
        <f>IFERROR(IF(IFERROR(MATCH(218,'كشف الحساب'!$N$4:$N$353,0),0)=0,"",INDEX('كشف الحساب'!$B$4:$B$353,IFERROR(MATCH(218,'كشف الحساب'!$N$4:$N$353,0),0))),"")</f>
        <v/>
      </c>
      <c r="C222" s="71" t="str">
        <f>IFERROR(IF(IFERROR(MATCH(218,'كشف الحساب'!$N$4:$N$353,0),0)=0,"",INDEX('كشف الحساب'!$C$4:$C$353,IFERROR(MATCH(218,'كشف الحساب'!$N$4:$N$353,0),0))),"")</f>
        <v/>
      </c>
      <c r="D222" s="72" t="str">
        <f>IFERROR(IF(IFERROR(MATCH(218,'كشف الحساب'!$N$4:$N$353,0),0)=0,"",INDEX('كشف الحساب'!$D$4:$D$353,IFERROR(MATCH(218,'كشف الحساب'!$N$4:$N$353,0),0))),"")</f>
        <v/>
      </c>
      <c r="E222" s="73" t="str">
        <f>IFERROR(IF(IFERROR(MATCH(218,'كشف الحساب'!$N$4:$N$353,0),0)=0,"",INDEX('كشف الحساب'!$E$4:$E$353,IFERROR(MATCH(218,'كشف الحساب'!$N$4:$N$353,0),0))),"")</f>
        <v/>
      </c>
      <c r="F222" s="70" t="str">
        <f>IFERROR(IF(IFERROR(MATCH(218,'كشف الحساب'!$N$4:$N$353,0),0)=0,"",INDEX('كشف الحساب'!$F$4:$F$353,IFERROR(MATCH(218,'كشف الحساب'!$N$4:$N$353,0),0))),"")</f>
        <v/>
      </c>
      <c r="G222" s="70" t="str">
        <f>IFERROR(IF(IFERROR(MATCH(218,'كشف الحساب'!$N$4:$N$353,0),0)=0,"",INDEX('كشف الحساب'!$G$4:$G$353,IFERROR(MATCH(218,'كشف الحساب'!$N$4:$N$353,0),0))),"")</f>
        <v/>
      </c>
      <c r="H222" s="70" t="str">
        <f>IFERROR(IF(IFERROR(MATCH(218,'كشف الحساب'!$N$4:$N$353,0),0)=0,"",INDEX('كشف الحساب'!$H$4:$H$353,IFERROR(MATCH(218,'كشف الحساب'!$N$4:$N$353,0),0))),"")</f>
        <v/>
      </c>
      <c r="I222" s="70" t="str">
        <f>IFERROR(IF(IFERROR(MATCH(218,'كشف الحساب'!$N$4:$N$353,0),0)=0,"",INDEX('كشف الحساب'!$I$4:$I$353,IFERROR(MATCH(218,'كشف الحساب'!$N$4:$N$353,0),0))),"")</f>
        <v/>
      </c>
      <c r="J222" s="74" t="str">
        <f>IFERROR(IF(IFERROR(MATCH(218,'كشف الحساب'!$N$4:$N$353,0),0)=0,"",INDEX('كشف الحساب'!$J$4:$J$353,IFERROR(MATCH(218,'كشف الحساب'!$N$4:$N$353,0),0))),"")</f>
        <v/>
      </c>
      <c r="K222" s="70" t="str">
        <f>IFERROR(IF(IFERROR(MATCH(218,'كشف الحساب'!$N$4:$N$353,0),0)=0,"",INDEX('كشف الحساب'!$K$4:$K$353,IFERROR(MATCH(218,'كشف الحساب'!$N$4:$N$353,0),0))),"")</f>
        <v/>
      </c>
    </row>
    <row r="223" spans="1:11" ht="15" customHeight="1" x14ac:dyDescent="0.25">
      <c r="A223" s="63" t="str">
        <f>IFERROR(IF(IFERROR(MATCH(219,'كشف الحساب'!$N$4:$N$353,0),0)=0,"",INDEX('كشف الحساب'!$A$4:$A$353,IFERROR(MATCH(219,'كشف الحساب'!$N$4:$N$353,0),0))),"")</f>
        <v/>
      </c>
      <c r="B223" s="64" t="str">
        <f>IFERROR(IF(IFERROR(MATCH(219,'كشف الحساب'!$N$4:$N$353,0),0)=0,"",INDEX('كشف الحساب'!$B$4:$B$353,IFERROR(MATCH(219,'كشف الحساب'!$N$4:$N$353,0),0))),"")</f>
        <v/>
      </c>
      <c r="C223" s="65" t="str">
        <f>IFERROR(IF(IFERROR(MATCH(219,'كشف الحساب'!$N$4:$N$353,0),0)=0,"",INDEX('كشف الحساب'!$C$4:$C$353,IFERROR(MATCH(219,'كشف الحساب'!$N$4:$N$353,0),0))),"")</f>
        <v/>
      </c>
      <c r="D223" s="66" t="str">
        <f>IFERROR(IF(IFERROR(MATCH(219,'كشف الحساب'!$N$4:$N$353,0),0)=0,"",INDEX('كشف الحساب'!$D$4:$D$353,IFERROR(MATCH(219,'كشف الحساب'!$N$4:$N$353,0),0))),"")</f>
        <v/>
      </c>
      <c r="E223" s="67" t="str">
        <f>IFERROR(IF(IFERROR(MATCH(219,'كشف الحساب'!$N$4:$N$353,0),0)=0,"",INDEX('كشف الحساب'!$E$4:$E$353,IFERROR(MATCH(219,'كشف الحساب'!$N$4:$N$353,0),0))),"")</f>
        <v/>
      </c>
      <c r="F223" s="64" t="str">
        <f>IFERROR(IF(IFERROR(MATCH(219,'كشف الحساب'!$N$4:$N$353,0),0)=0,"",INDEX('كشف الحساب'!$F$4:$F$353,IFERROR(MATCH(219,'كشف الحساب'!$N$4:$N$353,0),0))),"")</f>
        <v/>
      </c>
      <c r="G223" s="64" t="str">
        <f>IFERROR(IF(IFERROR(MATCH(219,'كشف الحساب'!$N$4:$N$353,0),0)=0,"",INDEX('كشف الحساب'!$G$4:$G$353,IFERROR(MATCH(219,'كشف الحساب'!$N$4:$N$353,0),0))),"")</f>
        <v/>
      </c>
      <c r="H223" s="64" t="str">
        <f>IFERROR(IF(IFERROR(MATCH(219,'كشف الحساب'!$N$4:$N$353,0),0)=0,"",INDEX('كشف الحساب'!$H$4:$H$353,IFERROR(MATCH(219,'كشف الحساب'!$N$4:$N$353,0),0))),"")</f>
        <v/>
      </c>
      <c r="I223" s="64" t="str">
        <f>IFERROR(IF(IFERROR(MATCH(219,'كشف الحساب'!$N$4:$N$353,0),0)=0,"",INDEX('كشف الحساب'!$I$4:$I$353,IFERROR(MATCH(219,'كشف الحساب'!$N$4:$N$353,0),0))),"")</f>
        <v/>
      </c>
      <c r="J223" s="68" t="str">
        <f>IFERROR(IF(IFERROR(MATCH(219,'كشف الحساب'!$N$4:$N$353,0),0)=0,"",INDEX('كشف الحساب'!$J$4:$J$353,IFERROR(MATCH(219,'كشف الحساب'!$N$4:$N$353,0),0))),"")</f>
        <v/>
      </c>
      <c r="K223" s="64" t="str">
        <f>IFERROR(IF(IFERROR(MATCH(219,'كشف الحساب'!$N$4:$N$353,0),0)=0,"",INDEX('كشف الحساب'!$K$4:$K$353,IFERROR(MATCH(219,'كشف الحساب'!$N$4:$N$353,0),0))),"")</f>
        <v/>
      </c>
    </row>
    <row r="224" spans="1:11" ht="15" customHeight="1" x14ac:dyDescent="0.25">
      <c r="A224" s="69" t="str">
        <f>IFERROR(IF(IFERROR(MATCH(220,'كشف الحساب'!$N$4:$N$353,0),0)=0,"",INDEX('كشف الحساب'!$A$4:$A$353,IFERROR(MATCH(220,'كشف الحساب'!$N$4:$N$353,0),0))),"")</f>
        <v/>
      </c>
      <c r="B224" s="70" t="str">
        <f>IFERROR(IF(IFERROR(MATCH(220,'كشف الحساب'!$N$4:$N$353,0),0)=0,"",INDEX('كشف الحساب'!$B$4:$B$353,IFERROR(MATCH(220,'كشف الحساب'!$N$4:$N$353,0),0))),"")</f>
        <v/>
      </c>
      <c r="C224" s="71" t="str">
        <f>IFERROR(IF(IFERROR(MATCH(220,'كشف الحساب'!$N$4:$N$353,0),0)=0,"",INDEX('كشف الحساب'!$C$4:$C$353,IFERROR(MATCH(220,'كشف الحساب'!$N$4:$N$353,0),0))),"")</f>
        <v/>
      </c>
      <c r="D224" s="72" t="str">
        <f>IFERROR(IF(IFERROR(MATCH(220,'كشف الحساب'!$N$4:$N$353,0),0)=0,"",INDEX('كشف الحساب'!$D$4:$D$353,IFERROR(MATCH(220,'كشف الحساب'!$N$4:$N$353,0),0))),"")</f>
        <v/>
      </c>
      <c r="E224" s="73" t="str">
        <f>IFERROR(IF(IFERROR(MATCH(220,'كشف الحساب'!$N$4:$N$353,0),0)=0,"",INDEX('كشف الحساب'!$E$4:$E$353,IFERROR(MATCH(220,'كشف الحساب'!$N$4:$N$353,0),0))),"")</f>
        <v/>
      </c>
      <c r="F224" s="70" t="str">
        <f>IFERROR(IF(IFERROR(MATCH(220,'كشف الحساب'!$N$4:$N$353,0),0)=0,"",INDEX('كشف الحساب'!$F$4:$F$353,IFERROR(MATCH(220,'كشف الحساب'!$N$4:$N$353,0),0))),"")</f>
        <v/>
      </c>
      <c r="G224" s="70" t="str">
        <f>IFERROR(IF(IFERROR(MATCH(220,'كشف الحساب'!$N$4:$N$353,0),0)=0,"",INDEX('كشف الحساب'!$G$4:$G$353,IFERROR(MATCH(220,'كشف الحساب'!$N$4:$N$353,0),0))),"")</f>
        <v/>
      </c>
      <c r="H224" s="70" t="str">
        <f>IFERROR(IF(IFERROR(MATCH(220,'كشف الحساب'!$N$4:$N$353,0),0)=0,"",INDEX('كشف الحساب'!$H$4:$H$353,IFERROR(MATCH(220,'كشف الحساب'!$N$4:$N$353,0),0))),"")</f>
        <v/>
      </c>
      <c r="I224" s="70" t="str">
        <f>IFERROR(IF(IFERROR(MATCH(220,'كشف الحساب'!$N$4:$N$353,0),0)=0,"",INDEX('كشف الحساب'!$I$4:$I$353,IFERROR(MATCH(220,'كشف الحساب'!$N$4:$N$353,0),0))),"")</f>
        <v/>
      </c>
      <c r="J224" s="74" t="str">
        <f>IFERROR(IF(IFERROR(MATCH(220,'كشف الحساب'!$N$4:$N$353,0),0)=0,"",INDEX('كشف الحساب'!$J$4:$J$353,IFERROR(MATCH(220,'كشف الحساب'!$N$4:$N$353,0),0))),"")</f>
        <v/>
      </c>
      <c r="K224" s="70" t="str">
        <f>IFERROR(IF(IFERROR(MATCH(220,'كشف الحساب'!$N$4:$N$353,0),0)=0,"",INDEX('كشف الحساب'!$K$4:$K$353,IFERROR(MATCH(220,'كشف الحساب'!$N$4:$N$353,0),0))),"")</f>
        <v/>
      </c>
    </row>
    <row r="225" spans="1:11" ht="15" customHeight="1" x14ac:dyDescent="0.25">
      <c r="A225" s="63" t="str">
        <f>IFERROR(IF(IFERROR(MATCH(221,'كشف الحساب'!$N$4:$N$353,0),0)=0,"",INDEX('كشف الحساب'!$A$4:$A$353,IFERROR(MATCH(221,'كشف الحساب'!$N$4:$N$353,0),0))),"")</f>
        <v/>
      </c>
      <c r="B225" s="64" t="str">
        <f>IFERROR(IF(IFERROR(MATCH(221,'كشف الحساب'!$N$4:$N$353,0),0)=0,"",INDEX('كشف الحساب'!$B$4:$B$353,IFERROR(MATCH(221,'كشف الحساب'!$N$4:$N$353,0),0))),"")</f>
        <v/>
      </c>
      <c r="C225" s="65" t="str">
        <f>IFERROR(IF(IFERROR(MATCH(221,'كشف الحساب'!$N$4:$N$353,0),0)=0,"",INDEX('كشف الحساب'!$C$4:$C$353,IFERROR(MATCH(221,'كشف الحساب'!$N$4:$N$353,0),0))),"")</f>
        <v/>
      </c>
      <c r="D225" s="66" t="str">
        <f>IFERROR(IF(IFERROR(MATCH(221,'كشف الحساب'!$N$4:$N$353,0),0)=0,"",INDEX('كشف الحساب'!$D$4:$D$353,IFERROR(MATCH(221,'كشف الحساب'!$N$4:$N$353,0),0))),"")</f>
        <v/>
      </c>
      <c r="E225" s="67" t="str">
        <f>IFERROR(IF(IFERROR(MATCH(221,'كشف الحساب'!$N$4:$N$353,0),0)=0,"",INDEX('كشف الحساب'!$E$4:$E$353,IFERROR(MATCH(221,'كشف الحساب'!$N$4:$N$353,0),0))),"")</f>
        <v/>
      </c>
      <c r="F225" s="64" t="str">
        <f>IFERROR(IF(IFERROR(MATCH(221,'كشف الحساب'!$N$4:$N$353,0),0)=0,"",INDEX('كشف الحساب'!$F$4:$F$353,IFERROR(MATCH(221,'كشف الحساب'!$N$4:$N$353,0),0))),"")</f>
        <v/>
      </c>
      <c r="G225" s="64" t="str">
        <f>IFERROR(IF(IFERROR(MATCH(221,'كشف الحساب'!$N$4:$N$353,0),0)=0,"",INDEX('كشف الحساب'!$G$4:$G$353,IFERROR(MATCH(221,'كشف الحساب'!$N$4:$N$353,0),0))),"")</f>
        <v/>
      </c>
      <c r="H225" s="64" t="str">
        <f>IFERROR(IF(IFERROR(MATCH(221,'كشف الحساب'!$N$4:$N$353,0),0)=0,"",INDEX('كشف الحساب'!$H$4:$H$353,IFERROR(MATCH(221,'كشف الحساب'!$N$4:$N$353,0),0))),"")</f>
        <v/>
      </c>
      <c r="I225" s="64" t="str">
        <f>IFERROR(IF(IFERROR(MATCH(221,'كشف الحساب'!$N$4:$N$353,0),0)=0,"",INDEX('كشف الحساب'!$I$4:$I$353,IFERROR(MATCH(221,'كشف الحساب'!$N$4:$N$353,0),0))),"")</f>
        <v/>
      </c>
      <c r="J225" s="68" t="str">
        <f>IFERROR(IF(IFERROR(MATCH(221,'كشف الحساب'!$N$4:$N$353,0),0)=0,"",INDEX('كشف الحساب'!$J$4:$J$353,IFERROR(MATCH(221,'كشف الحساب'!$N$4:$N$353,0),0))),"")</f>
        <v/>
      </c>
      <c r="K225" s="64" t="str">
        <f>IFERROR(IF(IFERROR(MATCH(221,'كشف الحساب'!$N$4:$N$353,0),0)=0,"",INDEX('كشف الحساب'!$K$4:$K$353,IFERROR(MATCH(221,'كشف الحساب'!$N$4:$N$353,0),0))),"")</f>
        <v/>
      </c>
    </row>
    <row r="226" spans="1:11" ht="15" customHeight="1" x14ac:dyDescent="0.25">
      <c r="A226" s="69" t="str">
        <f>IFERROR(IF(IFERROR(MATCH(222,'كشف الحساب'!$N$4:$N$353,0),0)=0,"",INDEX('كشف الحساب'!$A$4:$A$353,IFERROR(MATCH(222,'كشف الحساب'!$N$4:$N$353,0),0))),"")</f>
        <v/>
      </c>
      <c r="B226" s="70" t="str">
        <f>IFERROR(IF(IFERROR(MATCH(222,'كشف الحساب'!$N$4:$N$353,0),0)=0,"",INDEX('كشف الحساب'!$B$4:$B$353,IFERROR(MATCH(222,'كشف الحساب'!$N$4:$N$353,0),0))),"")</f>
        <v/>
      </c>
      <c r="C226" s="71" t="str">
        <f>IFERROR(IF(IFERROR(MATCH(222,'كشف الحساب'!$N$4:$N$353,0),0)=0,"",INDEX('كشف الحساب'!$C$4:$C$353,IFERROR(MATCH(222,'كشف الحساب'!$N$4:$N$353,0),0))),"")</f>
        <v/>
      </c>
      <c r="D226" s="72" t="str">
        <f>IFERROR(IF(IFERROR(MATCH(222,'كشف الحساب'!$N$4:$N$353,0),0)=0,"",INDEX('كشف الحساب'!$D$4:$D$353,IFERROR(MATCH(222,'كشف الحساب'!$N$4:$N$353,0),0))),"")</f>
        <v/>
      </c>
      <c r="E226" s="73" t="str">
        <f>IFERROR(IF(IFERROR(MATCH(222,'كشف الحساب'!$N$4:$N$353,0),0)=0,"",INDEX('كشف الحساب'!$E$4:$E$353,IFERROR(MATCH(222,'كشف الحساب'!$N$4:$N$353,0),0))),"")</f>
        <v/>
      </c>
      <c r="F226" s="70" t="str">
        <f>IFERROR(IF(IFERROR(MATCH(222,'كشف الحساب'!$N$4:$N$353,0),0)=0,"",INDEX('كشف الحساب'!$F$4:$F$353,IFERROR(MATCH(222,'كشف الحساب'!$N$4:$N$353,0),0))),"")</f>
        <v/>
      </c>
      <c r="G226" s="70" t="str">
        <f>IFERROR(IF(IFERROR(MATCH(222,'كشف الحساب'!$N$4:$N$353,0),0)=0,"",INDEX('كشف الحساب'!$G$4:$G$353,IFERROR(MATCH(222,'كشف الحساب'!$N$4:$N$353,0),0))),"")</f>
        <v/>
      </c>
      <c r="H226" s="70" t="str">
        <f>IFERROR(IF(IFERROR(MATCH(222,'كشف الحساب'!$N$4:$N$353,0),0)=0,"",INDEX('كشف الحساب'!$H$4:$H$353,IFERROR(MATCH(222,'كشف الحساب'!$N$4:$N$353,0),0))),"")</f>
        <v/>
      </c>
      <c r="I226" s="70" t="str">
        <f>IFERROR(IF(IFERROR(MATCH(222,'كشف الحساب'!$N$4:$N$353,0),0)=0,"",INDEX('كشف الحساب'!$I$4:$I$353,IFERROR(MATCH(222,'كشف الحساب'!$N$4:$N$353,0),0))),"")</f>
        <v/>
      </c>
      <c r="J226" s="74" t="str">
        <f>IFERROR(IF(IFERROR(MATCH(222,'كشف الحساب'!$N$4:$N$353,0),0)=0,"",INDEX('كشف الحساب'!$J$4:$J$353,IFERROR(MATCH(222,'كشف الحساب'!$N$4:$N$353,0),0))),"")</f>
        <v/>
      </c>
      <c r="K226" s="70" t="str">
        <f>IFERROR(IF(IFERROR(MATCH(222,'كشف الحساب'!$N$4:$N$353,0),0)=0,"",INDEX('كشف الحساب'!$K$4:$K$353,IFERROR(MATCH(222,'كشف الحساب'!$N$4:$N$353,0),0))),"")</f>
        <v/>
      </c>
    </row>
    <row r="227" spans="1:11" ht="15" customHeight="1" x14ac:dyDescent="0.25">
      <c r="A227" s="63" t="str">
        <f>IFERROR(IF(IFERROR(MATCH(223,'كشف الحساب'!$N$4:$N$353,0),0)=0,"",INDEX('كشف الحساب'!$A$4:$A$353,IFERROR(MATCH(223,'كشف الحساب'!$N$4:$N$353,0),0))),"")</f>
        <v/>
      </c>
      <c r="B227" s="64" t="str">
        <f>IFERROR(IF(IFERROR(MATCH(223,'كشف الحساب'!$N$4:$N$353,0),0)=0,"",INDEX('كشف الحساب'!$B$4:$B$353,IFERROR(MATCH(223,'كشف الحساب'!$N$4:$N$353,0),0))),"")</f>
        <v/>
      </c>
      <c r="C227" s="65" t="str">
        <f>IFERROR(IF(IFERROR(MATCH(223,'كشف الحساب'!$N$4:$N$353,0),0)=0,"",INDEX('كشف الحساب'!$C$4:$C$353,IFERROR(MATCH(223,'كشف الحساب'!$N$4:$N$353,0),0))),"")</f>
        <v/>
      </c>
      <c r="D227" s="66" t="str">
        <f>IFERROR(IF(IFERROR(MATCH(223,'كشف الحساب'!$N$4:$N$353,0),0)=0,"",INDEX('كشف الحساب'!$D$4:$D$353,IFERROR(MATCH(223,'كشف الحساب'!$N$4:$N$353,0),0))),"")</f>
        <v/>
      </c>
      <c r="E227" s="67" t="str">
        <f>IFERROR(IF(IFERROR(MATCH(223,'كشف الحساب'!$N$4:$N$353,0),0)=0,"",INDEX('كشف الحساب'!$E$4:$E$353,IFERROR(MATCH(223,'كشف الحساب'!$N$4:$N$353,0),0))),"")</f>
        <v/>
      </c>
      <c r="F227" s="64" t="str">
        <f>IFERROR(IF(IFERROR(MATCH(223,'كشف الحساب'!$N$4:$N$353,0),0)=0,"",INDEX('كشف الحساب'!$F$4:$F$353,IFERROR(MATCH(223,'كشف الحساب'!$N$4:$N$353,0),0))),"")</f>
        <v/>
      </c>
      <c r="G227" s="64" t="str">
        <f>IFERROR(IF(IFERROR(MATCH(223,'كشف الحساب'!$N$4:$N$353,0),0)=0,"",INDEX('كشف الحساب'!$G$4:$G$353,IFERROR(MATCH(223,'كشف الحساب'!$N$4:$N$353,0),0))),"")</f>
        <v/>
      </c>
      <c r="H227" s="64" t="str">
        <f>IFERROR(IF(IFERROR(MATCH(223,'كشف الحساب'!$N$4:$N$353,0),0)=0,"",INDEX('كشف الحساب'!$H$4:$H$353,IFERROR(MATCH(223,'كشف الحساب'!$N$4:$N$353,0),0))),"")</f>
        <v/>
      </c>
      <c r="I227" s="64" t="str">
        <f>IFERROR(IF(IFERROR(MATCH(223,'كشف الحساب'!$N$4:$N$353,0),0)=0,"",INDEX('كشف الحساب'!$I$4:$I$353,IFERROR(MATCH(223,'كشف الحساب'!$N$4:$N$353,0),0))),"")</f>
        <v/>
      </c>
      <c r="J227" s="68" t="str">
        <f>IFERROR(IF(IFERROR(MATCH(223,'كشف الحساب'!$N$4:$N$353,0),0)=0,"",INDEX('كشف الحساب'!$J$4:$J$353,IFERROR(MATCH(223,'كشف الحساب'!$N$4:$N$353,0),0))),"")</f>
        <v/>
      </c>
      <c r="K227" s="64" t="str">
        <f>IFERROR(IF(IFERROR(MATCH(223,'كشف الحساب'!$N$4:$N$353,0),0)=0,"",INDEX('كشف الحساب'!$K$4:$K$353,IFERROR(MATCH(223,'كشف الحساب'!$N$4:$N$353,0),0))),"")</f>
        <v/>
      </c>
    </row>
    <row r="228" spans="1:11" ht="15" customHeight="1" x14ac:dyDescent="0.25">
      <c r="A228" s="69" t="str">
        <f>IFERROR(IF(IFERROR(MATCH(224,'كشف الحساب'!$N$4:$N$353,0),0)=0,"",INDEX('كشف الحساب'!$A$4:$A$353,IFERROR(MATCH(224,'كشف الحساب'!$N$4:$N$353,0),0))),"")</f>
        <v/>
      </c>
      <c r="B228" s="70" t="str">
        <f>IFERROR(IF(IFERROR(MATCH(224,'كشف الحساب'!$N$4:$N$353,0),0)=0,"",INDEX('كشف الحساب'!$B$4:$B$353,IFERROR(MATCH(224,'كشف الحساب'!$N$4:$N$353,0),0))),"")</f>
        <v/>
      </c>
      <c r="C228" s="71" t="str">
        <f>IFERROR(IF(IFERROR(MATCH(224,'كشف الحساب'!$N$4:$N$353,0),0)=0,"",INDEX('كشف الحساب'!$C$4:$C$353,IFERROR(MATCH(224,'كشف الحساب'!$N$4:$N$353,0),0))),"")</f>
        <v/>
      </c>
      <c r="D228" s="72" t="str">
        <f>IFERROR(IF(IFERROR(MATCH(224,'كشف الحساب'!$N$4:$N$353,0),0)=0,"",INDEX('كشف الحساب'!$D$4:$D$353,IFERROR(MATCH(224,'كشف الحساب'!$N$4:$N$353,0),0))),"")</f>
        <v/>
      </c>
      <c r="E228" s="73" t="str">
        <f>IFERROR(IF(IFERROR(MATCH(224,'كشف الحساب'!$N$4:$N$353,0),0)=0,"",INDEX('كشف الحساب'!$E$4:$E$353,IFERROR(MATCH(224,'كشف الحساب'!$N$4:$N$353,0),0))),"")</f>
        <v/>
      </c>
      <c r="F228" s="70" t="str">
        <f>IFERROR(IF(IFERROR(MATCH(224,'كشف الحساب'!$N$4:$N$353,0),0)=0,"",INDEX('كشف الحساب'!$F$4:$F$353,IFERROR(MATCH(224,'كشف الحساب'!$N$4:$N$353,0),0))),"")</f>
        <v/>
      </c>
      <c r="G228" s="70" t="str">
        <f>IFERROR(IF(IFERROR(MATCH(224,'كشف الحساب'!$N$4:$N$353,0),0)=0,"",INDEX('كشف الحساب'!$G$4:$G$353,IFERROR(MATCH(224,'كشف الحساب'!$N$4:$N$353,0),0))),"")</f>
        <v/>
      </c>
      <c r="H228" s="70" t="str">
        <f>IFERROR(IF(IFERROR(MATCH(224,'كشف الحساب'!$N$4:$N$353,0),0)=0,"",INDEX('كشف الحساب'!$H$4:$H$353,IFERROR(MATCH(224,'كشف الحساب'!$N$4:$N$353,0),0))),"")</f>
        <v/>
      </c>
      <c r="I228" s="70" t="str">
        <f>IFERROR(IF(IFERROR(MATCH(224,'كشف الحساب'!$N$4:$N$353,0),0)=0,"",INDEX('كشف الحساب'!$I$4:$I$353,IFERROR(MATCH(224,'كشف الحساب'!$N$4:$N$353,0),0))),"")</f>
        <v/>
      </c>
      <c r="J228" s="74" t="str">
        <f>IFERROR(IF(IFERROR(MATCH(224,'كشف الحساب'!$N$4:$N$353,0),0)=0,"",INDEX('كشف الحساب'!$J$4:$J$353,IFERROR(MATCH(224,'كشف الحساب'!$N$4:$N$353,0),0))),"")</f>
        <v/>
      </c>
      <c r="K228" s="70" t="str">
        <f>IFERROR(IF(IFERROR(MATCH(224,'كشف الحساب'!$N$4:$N$353,0),0)=0,"",INDEX('كشف الحساب'!$K$4:$K$353,IFERROR(MATCH(224,'كشف الحساب'!$N$4:$N$353,0),0))),"")</f>
        <v/>
      </c>
    </row>
    <row r="229" spans="1:11" ht="15" customHeight="1" x14ac:dyDescent="0.25">
      <c r="A229" s="63" t="str">
        <f>IFERROR(IF(IFERROR(MATCH(225,'كشف الحساب'!$N$4:$N$353,0),0)=0,"",INDEX('كشف الحساب'!$A$4:$A$353,IFERROR(MATCH(225,'كشف الحساب'!$N$4:$N$353,0),0))),"")</f>
        <v/>
      </c>
      <c r="B229" s="64" t="str">
        <f>IFERROR(IF(IFERROR(MATCH(225,'كشف الحساب'!$N$4:$N$353,0),0)=0,"",INDEX('كشف الحساب'!$B$4:$B$353,IFERROR(MATCH(225,'كشف الحساب'!$N$4:$N$353,0),0))),"")</f>
        <v/>
      </c>
      <c r="C229" s="65" t="str">
        <f>IFERROR(IF(IFERROR(MATCH(225,'كشف الحساب'!$N$4:$N$353,0),0)=0,"",INDEX('كشف الحساب'!$C$4:$C$353,IFERROR(MATCH(225,'كشف الحساب'!$N$4:$N$353,0),0))),"")</f>
        <v/>
      </c>
      <c r="D229" s="66" t="str">
        <f>IFERROR(IF(IFERROR(MATCH(225,'كشف الحساب'!$N$4:$N$353,0),0)=0,"",INDEX('كشف الحساب'!$D$4:$D$353,IFERROR(MATCH(225,'كشف الحساب'!$N$4:$N$353,0),0))),"")</f>
        <v/>
      </c>
      <c r="E229" s="67" t="str">
        <f>IFERROR(IF(IFERROR(MATCH(225,'كشف الحساب'!$N$4:$N$353,0),0)=0,"",INDEX('كشف الحساب'!$E$4:$E$353,IFERROR(MATCH(225,'كشف الحساب'!$N$4:$N$353,0),0))),"")</f>
        <v/>
      </c>
      <c r="F229" s="64" t="str">
        <f>IFERROR(IF(IFERROR(MATCH(225,'كشف الحساب'!$N$4:$N$353,0),0)=0,"",INDEX('كشف الحساب'!$F$4:$F$353,IFERROR(MATCH(225,'كشف الحساب'!$N$4:$N$353,0),0))),"")</f>
        <v/>
      </c>
      <c r="G229" s="64" t="str">
        <f>IFERROR(IF(IFERROR(MATCH(225,'كشف الحساب'!$N$4:$N$353,0),0)=0,"",INDEX('كشف الحساب'!$G$4:$G$353,IFERROR(MATCH(225,'كشف الحساب'!$N$4:$N$353,0),0))),"")</f>
        <v/>
      </c>
      <c r="H229" s="64" t="str">
        <f>IFERROR(IF(IFERROR(MATCH(225,'كشف الحساب'!$N$4:$N$353,0),0)=0,"",INDEX('كشف الحساب'!$H$4:$H$353,IFERROR(MATCH(225,'كشف الحساب'!$N$4:$N$353,0),0))),"")</f>
        <v/>
      </c>
      <c r="I229" s="64" t="str">
        <f>IFERROR(IF(IFERROR(MATCH(225,'كشف الحساب'!$N$4:$N$353,0),0)=0,"",INDEX('كشف الحساب'!$I$4:$I$353,IFERROR(MATCH(225,'كشف الحساب'!$N$4:$N$353,0),0))),"")</f>
        <v/>
      </c>
      <c r="J229" s="68" t="str">
        <f>IFERROR(IF(IFERROR(MATCH(225,'كشف الحساب'!$N$4:$N$353,0),0)=0,"",INDEX('كشف الحساب'!$J$4:$J$353,IFERROR(MATCH(225,'كشف الحساب'!$N$4:$N$353,0),0))),"")</f>
        <v/>
      </c>
      <c r="K229" s="64" t="str">
        <f>IFERROR(IF(IFERROR(MATCH(225,'كشف الحساب'!$N$4:$N$353,0),0)=0,"",INDEX('كشف الحساب'!$K$4:$K$353,IFERROR(MATCH(225,'كشف الحساب'!$N$4:$N$353,0),0))),"")</f>
        <v/>
      </c>
    </row>
    <row r="230" spans="1:11" ht="15" customHeight="1" x14ac:dyDescent="0.25">
      <c r="A230" s="69" t="str">
        <f>IFERROR(IF(IFERROR(MATCH(226,'كشف الحساب'!$N$4:$N$353,0),0)=0,"",INDEX('كشف الحساب'!$A$4:$A$353,IFERROR(MATCH(226,'كشف الحساب'!$N$4:$N$353,0),0))),"")</f>
        <v/>
      </c>
      <c r="B230" s="70" t="str">
        <f>IFERROR(IF(IFERROR(MATCH(226,'كشف الحساب'!$N$4:$N$353,0),0)=0,"",INDEX('كشف الحساب'!$B$4:$B$353,IFERROR(MATCH(226,'كشف الحساب'!$N$4:$N$353,0),0))),"")</f>
        <v/>
      </c>
      <c r="C230" s="71" t="str">
        <f>IFERROR(IF(IFERROR(MATCH(226,'كشف الحساب'!$N$4:$N$353,0),0)=0,"",INDEX('كشف الحساب'!$C$4:$C$353,IFERROR(MATCH(226,'كشف الحساب'!$N$4:$N$353,0),0))),"")</f>
        <v/>
      </c>
      <c r="D230" s="72" t="str">
        <f>IFERROR(IF(IFERROR(MATCH(226,'كشف الحساب'!$N$4:$N$353,0),0)=0,"",INDEX('كشف الحساب'!$D$4:$D$353,IFERROR(MATCH(226,'كشف الحساب'!$N$4:$N$353,0),0))),"")</f>
        <v/>
      </c>
      <c r="E230" s="73" t="str">
        <f>IFERROR(IF(IFERROR(MATCH(226,'كشف الحساب'!$N$4:$N$353,0),0)=0,"",INDEX('كشف الحساب'!$E$4:$E$353,IFERROR(MATCH(226,'كشف الحساب'!$N$4:$N$353,0),0))),"")</f>
        <v/>
      </c>
      <c r="F230" s="70" t="str">
        <f>IFERROR(IF(IFERROR(MATCH(226,'كشف الحساب'!$N$4:$N$353,0),0)=0,"",INDEX('كشف الحساب'!$F$4:$F$353,IFERROR(MATCH(226,'كشف الحساب'!$N$4:$N$353,0),0))),"")</f>
        <v/>
      </c>
      <c r="G230" s="70" t="str">
        <f>IFERROR(IF(IFERROR(MATCH(226,'كشف الحساب'!$N$4:$N$353,0),0)=0,"",INDEX('كشف الحساب'!$G$4:$G$353,IFERROR(MATCH(226,'كشف الحساب'!$N$4:$N$353,0),0))),"")</f>
        <v/>
      </c>
      <c r="H230" s="70" t="str">
        <f>IFERROR(IF(IFERROR(MATCH(226,'كشف الحساب'!$N$4:$N$353,0),0)=0,"",INDEX('كشف الحساب'!$H$4:$H$353,IFERROR(MATCH(226,'كشف الحساب'!$N$4:$N$353,0),0))),"")</f>
        <v/>
      </c>
      <c r="I230" s="70" t="str">
        <f>IFERROR(IF(IFERROR(MATCH(226,'كشف الحساب'!$N$4:$N$353,0),0)=0,"",INDEX('كشف الحساب'!$I$4:$I$353,IFERROR(MATCH(226,'كشف الحساب'!$N$4:$N$353,0),0))),"")</f>
        <v/>
      </c>
      <c r="J230" s="74" t="str">
        <f>IFERROR(IF(IFERROR(MATCH(226,'كشف الحساب'!$N$4:$N$353,0),0)=0,"",INDEX('كشف الحساب'!$J$4:$J$353,IFERROR(MATCH(226,'كشف الحساب'!$N$4:$N$353,0),0))),"")</f>
        <v/>
      </c>
      <c r="K230" s="70" t="str">
        <f>IFERROR(IF(IFERROR(MATCH(226,'كشف الحساب'!$N$4:$N$353,0),0)=0,"",INDEX('كشف الحساب'!$K$4:$K$353,IFERROR(MATCH(226,'كشف الحساب'!$N$4:$N$353,0),0))),"")</f>
        <v/>
      </c>
    </row>
    <row r="231" spans="1:11" ht="15" customHeight="1" x14ac:dyDescent="0.25">
      <c r="A231" s="63" t="str">
        <f>IFERROR(IF(IFERROR(MATCH(227,'كشف الحساب'!$N$4:$N$353,0),0)=0,"",INDEX('كشف الحساب'!$A$4:$A$353,IFERROR(MATCH(227,'كشف الحساب'!$N$4:$N$353,0),0))),"")</f>
        <v/>
      </c>
      <c r="B231" s="64" t="str">
        <f>IFERROR(IF(IFERROR(MATCH(227,'كشف الحساب'!$N$4:$N$353,0),0)=0,"",INDEX('كشف الحساب'!$B$4:$B$353,IFERROR(MATCH(227,'كشف الحساب'!$N$4:$N$353,0),0))),"")</f>
        <v/>
      </c>
      <c r="C231" s="65" t="str">
        <f>IFERROR(IF(IFERROR(MATCH(227,'كشف الحساب'!$N$4:$N$353,0),0)=0,"",INDEX('كشف الحساب'!$C$4:$C$353,IFERROR(MATCH(227,'كشف الحساب'!$N$4:$N$353,0),0))),"")</f>
        <v/>
      </c>
      <c r="D231" s="66" t="str">
        <f>IFERROR(IF(IFERROR(MATCH(227,'كشف الحساب'!$N$4:$N$353,0),0)=0,"",INDEX('كشف الحساب'!$D$4:$D$353,IFERROR(MATCH(227,'كشف الحساب'!$N$4:$N$353,0),0))),"")</f>
        <v/>
      </c>
      <c r="E231" s="67" t="str">
        <f>IFERROR(IF(IFERROR(MATCH(227,'كشف الحساب'!$N$4:$N$353,0),0)=0,"",INDEX('كشف الحساب'!$E$4:$E$353,IFERROR(MATCH(227,'كشف الحساب'!$N$4:$N$353,0),0))),"")</f>
        <v/>
      </c>
      <c r="F231" s="64" t="str">
        <f>IFERROR(IF(IFERROR(MATCH(227,'كشف الحساب'!$N$4:$N$353,0),0)=0,"",INDEX('كشف الحساب'!$F$4:$F$353,IFERROR(MATCH(227,'كشف الحساب'!$N$4:$N$353,0),0))),"")</f>
        <v/>
      </c>
      <c r="G231" s="64" t="str">
        <f>IFERROR(IF(IFERROR(MATCH(227,'كشف الحساب'!$N$4:$N$353,0),0)=0,"",INDEX('كشف الحساب'!$G$4:$G$353,IFERROR(MATCH(227,'كشف الحساب'!$N$4:$N$353,0),0))),"")</f>
        <v/>
      </c>
      <c r="H231" s="64" t="str">
        <f>IFERROR(IF(IFERROR(MATCH(227,'كشف الحساب'!$N$4:$N$353,0),0)=0,"",INDEX('كشف الحساب'!$H$4:$H$353,IFERROR(MATCH(227,'كشف الحساب'!$N$4:$N$353,0),0))),"")</f>
        <v/>
      </c>
      <c r="I231" s="64" t="str">
        <f>IFERROR(IF(IFERROR(MATCH(227,'كشف الحساب'!$N$4:$N$353,0),0)=0,"",INDEX('كشف الحساب'!$I$4:$I$353,IFERROR(MATCH(227,'كشف الحساب'!$N$4:$N$353,0),0))),"")</f>
        <v/>
      </c>
      <c r="J231" s="68" t="str">
        <f>IFERROR(IF(IFERROR(MATCH(227,'كشف الحساب'!$N$4:$N$353,0),0)=0,"",INDEX('كشف الحساب'!$J$4:$J$353,IFERROR(MATCH(227,'كشف الحساب'!$N$4:$N$353,0),0))),"")</f>
        <v/>
      </c>
      <c r="K231" s="64" t="str">
        <f>IFERROR(IF(IFERROR(MATCH(227,'كشف الحساب'!$N$4:$N$353,0),0)=0,"",INDEX('كشف الحساب'!$K$4:$K$353,IFERROR(MATCH(227,'كشف الحساب'!$N$4:$N$353,0),0))),"")</f>
        <v/>
      </c>
    </row>
    <row r="232" spans="1:11" ht="15" customHeight="1" x14ac:dyDescent="0.25">
      <c r="A232" s="69" t="str">
        <f>IFERROR(IF(IFERROR(MATCH(228,'كشف الحساب'!$N$4:$N$353,0),0)=0,"",INDEX('كشف الحساب'!$A$4:$A$353,IFERROR(MATCH(228,'كشف الحساب'!$N$4:$N$353,0),0))),"")</f>
        <v/>
      </c>
      <c r="B232" s="70" t="str">
        <f>IFERROR(IF(IFERROR(MATCH(228,'كشف الحساب'!$N$4:$N$353,0),0)=0,"",INDEX('كشف الحساب'!$B$4:$B$353,IFERROR(MATCH(228,'كشف الحساب'!$N$4:$N$353,0),0))),"")</f>
        <v/>
      </c>
      <c r="C232" s="71" t="str">
        <f>IFERROR(IF(IFERROR(MATCH(228,'كشف الحساب'!$N$4:$N$353,0),0)=0,"",INDEX('كشف الحساب'!$C$4:$C$353,IFERROR(MATCH(228,'كشف الحساب'!$N$4:$N$353,0),0))),"")</f>
        <v/>
      </c>
      <c r="D232" s="72" t="str">
        <f>IFERROR(IF(IFERROR(MATCH(228,'كشف الحساب'!$N$4:$N$353,0),0)=0,"",INDEX('كشف الحساب'!$D$4:$D$353,IFERROR(MATCH(228,'كشف الحساب'!$N$4:$N$353,0),0))),"")</f>
        <v/>
      </c>
      <c r="E232" s="73" t="str">
        <f>IFERROR(IF(IFERROR(MATCH(228,'كشف الحساب'!$N$4:$N$353,0),0)=0,"",INDEX('كشف الحساب'!$E$4:$E$353,IFERROR(MATCH(228,'كشف الحساب'!$N$4:$N$353,0),0))),"")</f>
        <v/>
      </c>
      <c r="F232" s="70" t="str">
        <f>IFERROR(IF(IFERROR(MATCH(228,'كشف الحساب'!$N$4:$N$353,0),0)=0,"",INDEX('كشف الحساب'!$F$4:$F$353,IFERROR(MATCH(228,'كشف الحساب'!$N$4:$N$353,0),0))),"")</f>
        <v/>
      </c>
      <c r="G232" s="70" t="str">
        <f>IFERROR(IF(IFERROR(MATCH(228,'كشف الحساب'!$N$4:$N$353,0),0)=0,"",INDEX('كشف الحساب'!$G$4:$G$353,IFERROR(MATCH(228,'كشف الحساب'!$N$4:$N$353,0),0))),"")</f>
        <v/>
      </c>
      <c r="H232" s="70" t="str">
        <f>IFERROR(IF(IFERROR(MATCH(228,'كشف الحساب'!$N$4:$N$353,0),0)=0,"",INDEX('كشف الحساب'!$H$4:$H$353,IFERROR(MATCH(228,'كشف الحساب'!$N$4:$N$353,0),0))),"")</f>
        <v/>
      </c>
      <c r="I232" s="70" t="str">
        <f>IFERROR(IF(IFERROR(MATCH(228,'كشف الحساب'!$N$4:$N$353,0),0)=0,"",INDEX('كشف الحساب'!$I$4:$I$353,IFERROR(MATCH(228,'كشف الحساب'!$N$4:$N$353,0),0))),"")</f>
        <v/>
      </c>
      <c r="J232" s="74" t="str">
        <f>IFERROR(IF(IFERROR(MATCH(228,'كشف الحساب'!$N$4:$N$353,0),0)=0,"",INDEX('كشف الحساب'!$J$4:$J$353,IFERROR(MATCH(228,'كشف الحساب'!$N$4:$N$353,0),0))),"")</f>
        <v/>
      </c>
      <c r="K232" s="70" t="str">
        <f>IFERROR(IF(IFERROR(MATCH(228,'كشف الحساب'!$N$4:$N$353,0),0)=0,"",INDEX('كشف الحساب'!$K$4:$K$353,IFERROR(MATCH(228,'كشف الحساب'!$N$4:$N$353,0),0))),"")</f>
        <v/>
      </c>
    </row>
    <row r="233" spans="1:11" ht="15" customHeight="1" x14ac:dyDescent="0.25">
      <c r="A233" s="63" t="str">
        <f>IFERROR(IF(IFERROR(MATCH(229,'كشف الحساب'!$N$4:$N$353,0),0)=0,"",INDEX('كشف الحساب'!$A$4:$A$353,IFERROR(MATCH(229,'كشف الحساب'!$N$4:$N$353,0),0))),"")</f>
        <v/>
      </c>
      <c r="B233" s="64" t="str">
        <f>IFERROR(IF(IFERROR(MATCH(229,'كشف الحساب'!$N$4:$N$353,0),0)=0,"",INDEX('كشف الحساب'!$B$4:$B$353,IFERROR(MATCH(229,'كشف الحساب'!$N$4:$N$353,0),0))),"")</f>
        <v/>
      </c>
      <c r="C233" s="65" t="str">
        <f>IFERROR(IF(IFERROR(MATCH(229,'كشف الحساب'!$N$4:$N$353,0),0)=0,"",INDEX('كشف الحساب'!$C$4:$C$353,IFERROR(MATCH(229,'كشف الحساب'!$N$4:$N$353,0),0))),"")</f>
        <v/>
      </c>
      <c r="D233" s="66" t="str">
        <f>IFERROR(IF(IFERROR(MATCH(229,'كشف الحساب'!$N$4:$N$353,0),0)=0,"",INDEX('كشف الحساب'!$D$4:$D$353,IFERROR(MATCH(229,'كشف الحساب'!$N$4:$N$353,0),0))),"")</f>
        <v/>
      </c>
      <c r="E233" s="67" t="str">
        <f>IFERROR(IF(IFERROR(MATCH(229,'كشف الحساب'!$N$4:$N$353,0),0)=0,"",INDEX('كشف الحساب'!$E$4:$E$353,IFERROR(MATCH(229,'كشف الحساب'!$N$4:$N$353,0),0))),"")</f>
        <v/>
      </c>
      <c r="F233" s="64" t="str">
        <f>IFERROR(IF(IFERROR(MATCH(229,'كشف الحساب'!$N$4:$N$353,0),0)=0,"",INDEX('كشف الحساب'!$F$4:$F$353,IFERROR(MATCH(229,'كشف الحساب'!$N$4:$N$353,0),0))),"")</f>
        <v/>
      </c>
      <c r="G233" s="64" t="str">
        <f>IFERROR(IF(IFERROR(MATCH(229,'كشف الحساب'!$N$4:$N$353,0),0)=0,"",INDEX('كشف الحساب'!$G$4:$G$353,IFERROR(MATCH(229,'كشف الحساب'!$N$4:$N$353,0),0))),"")</f>
        <v/>
      </c>
      <c r="H233" s="64" t="str">
        <f>IFERROR(IF(IFERROR(MATCH(229,'كشف الحساب'!$N$4:$N$353,0),0)=0,"",INDEX('كشف الحساب'!$H$4:$H$353,IFERROR(MATCH(229,'كشف الحساب'!$N$4:$N$353,0),0))),"")</f>
        <v/>
      </c>
      <c r="I233" s="64" t="str">
        <f>IFERROR(IF(IFERROR(MATCH(229,'كشف الحساب'!$N$4:$N$353,0),0)=0,"",INDEX('كشف الحساب'!$I$4:$I$353,IFERROR(MATCH(229,'كشف الحساب'!$N$4:$N$353,0),0))),"")</f>
        <v/>
      </c>
      <c r="J233" s="68" t="str">
        <f>IFERROR(IF(IFERROR(MATCH(229,'كشف الحساب'!$N$4:$N$353,0),0)=0,"",INDEX('كشف الحساب'!$J$4:$J$353,IFERROR(MATCH(229,'كشف الحساب'!$N$4:$N$353,0),0))),"")</f>
        <v/>
      </c>
      <c r="K233" s="64" t="str">
        <f>IFERROR(IF(IFERROR(MATCH(229,'كشف الحساب'!$N$4:$N$353,0),0)=0,"",INDEX('كشف الحساب'!$K$4:$K$353,IFERROR(MATCH(229,'كشف الحساب'!$N$4:$N$353,0),0))),"")</f>
        <v/>
      </c>
    </row>
    <row r="234" spans="1:11" ht="15" customHeight="1" x14ac:dyDescent="0.25">
      <c r="A234" s="69" t="str">
        <f>IFERROR(IF(IFERROR(MATCH(230,'كشف الحساب'!$N$4:$N$353,0),0)=0,"",INDEX('كشف الحساب'!$A$4:$A$353,IFERROR(MATCH(230,'كشف الحساب'!$N$4:$N$353,0),0))),"")</f>
        <v/>
      </c>
      <c r="B234" s="70" t="str">
        <f>IFERROR(IF(IFERROR(MATCH(230,'كشف الحساب'!$N$4:$N$353,0),0)=0,"",INDEX('كشف الحساب'!$B$4:$B$353,IFERROR(MATCH(230,'كشف الحساب'!$N$4:$N$353,0),0))),"")</f>
        <v/>
      </c>
      <c r="C234" s="71" t="str">
        <f>IFERROR(IF(IFERROR(MATCH(230,'كشف الحساب'!$N$4:$N$353,0),0)=0,"",INDEX('كشف الحساب'!$C$4:$C$353,IFERROR(MATCH(230,'كشف الحساب'!$N$4:$N$353,0),0))),"")</f>
        <v/>
      </c>
      <c r="D234" s="72" t="str">
        <f>IFERROR(IF(IFERROR(MATCH(230,'كشف الحساب'!$N$4:$N$353,0),0)=0,"",INDEX('كشف الحساب'!$D$4:$D$353,IFERROR(MATCH(230,'كشف الحساب'!$N$4:$N$353,0),0))),"")</f>
        <v/>
      </c>
      <c r="E234" s="73" t="str">
        <f>IFERROR(IF(IFERROR(MATCH(230,'كشف الحساب'!$N$4:$N$353,0),0)=0,"",INDEX('كشف الحساب'!$E$4:$E$353,IFERROR(MATCH(230,'كشف الحساب'!$N$4:$N$353,0),0))),"")</f>
        <v/>
      </c>
      <c r="F234" s="70" t="str">
        <f>IFERROR(IF(IFERROR(MATCH(230,'كشف الحساب'!$N$4:$N$353,0),0)=0,"",INDEX('كشف الحساب'!$F$4:$F$353,IFERROR(MATCH(230,'كشف الحساب'!$N$4:$N$353,0),0))),"")</f>
        <v/>
      </c>
      <c r="G234" s="70" t="str">
        <f>IFERROR(IF(IFERROR(MATCH(230,'كشف الحساب'!$N$4:$N$353,0),0)=0,"",INDEX('كشف الحساب'!$G$4:$G$353,IFERROR(MATCH(230,'كشف الحساب'!$N$4:$N$353,0),0))),"")</f>
        <v/>
      </c>
      <c r="H234" s="70" t="str">
        <f>IFERROR(IF(IFERROR(MATCH(230,'كشف الحساب'!$N$4:$N$353,0),0)=0,"",INDEX('كشف الحساب'!$H$4:$H$353,IFERROR(MATCH(230,'كشف الحساب'!$N$4:$N$353,0),0))),"")</f>
        <v/>
      </c>
      <c r="I234" s="70" t="str">
        <f>IFERROR(IF(IFERROR(MATCH(230,'كشف الحساب'!$N$4:$N$353,0),0)=0,"",INDEX('كشف الحساب'!$I$4:$I$353,IFERROR(MATCH(230,'كشف الحساب'!$N$4:$N$353,0),0))),"")</f>
        <v/>
      </c>
      <c r="J234" s="74" t="str">
        <f>IFERROR(IF(IFERROR(MATCH(230,'كشف الحساب'!$N$4:$N$353,0),0)=0,"",INDEX('كشف الحساب'!$J$4:$J$353,IFERROR(MATCH(230,'كشف الحساب'!$N$4:$N$353,0),0))),"")</f>
        <v/>
      </c>
      <c r="K234" s="70" t="str">
        <f>IFERROR(IF(IFERROR(MATCH(230,'كشف الحساب'!$N$4:$N$353,0),0)=0,"",INDEX('كشف الحساب'!$K$4:$K$353,IFERROR(MATCH(230,'كشف الحساب'!$N$4:$N$353,0),0))),"")</f>
        <v/>
      </c>
    </row>
    <row r="235" spans="1:11" ht="15" customHeight="1" x14ac:dyDescent="0.25">
      <c r="A235" s="63" t="str">
        <f>IFERROR(IF(IFERROR(MATCH(231,'كشف الحساب'!$N$4:$N$353,0),0)=0,"",INDEX('كشف الحساب'!$A$4:$A$353,IFERROR(MATCH(231,'كشف الحساب'!$N$4:$N$353,0),0))),"")</f>
        <v/>
      </c>
      <c r="B235" s="64" t="str">
        <f>IFERROR(IF(IFERROR(MATCH(231,'كشف الحساب'!$N$4:$N$353,0),0)=0,"",INDEX('كشف الحساب'!$B$4:$B$353,IFERROR(MATCH(231,'كشف الحساب'!$N$4:$N$353,0),0))),"")</f>
        <v/>
      </c>
      <c r="C235" s="65" t="str">
        <f>IFERROR(IF(IFERROR(MATCH(231,'كشف الحساب'!$N$4:$N$353,0),0)=0,"",INDEX('كشف الحساب'!$C$4:$C$353,IFERROR(MATCH(231,'كشف الحساب'!$N$4:$N$353,0),0))),"")</f>
        <v/>
      </c>
      <c r="D235" s="66" t="str">
        <f>IFERROR(IF(IFERROR(MATCH(231,'كشف الحساب'!$N$4:$N$353,0),0)=0,"",INDEX('كشف الحساب'!$D$4:$D$353,IFERROR(MATCH(231,'كشف الحساب'!$N$4:$N$353,0),0))),"")</f>
        <v/>
      </c>
      <c r="E235" s="67" t="str">
        <f>IFERROR(IF(IFERROR(MATCH(231,'كشف الحساب'!$N$4:$N$353,0),0)=0,"",INDEX('كشف الحساب'!$E$4:$E$353,IFERROR(MATCH(231,'كشف الحساب'!$N$4:$N$353,0),0))),"")</f>
        <v/>
      </c>
      <c r="F235" s="64" t="str">
        <f>IFERROR(IF(IFERROR(MATCH(231,'كشف الحساب'!$N$4:$N$353,0),0)=0,"",INDEX('كشف الحساب'!$F$4:$F$353,IFERROR(MATCH(231,'كشف الحساب'!$N$4:$N$353,0),0))),"")</f>
        <v/>
      </c>
      <c r="G235" s="64" t="str">
        <f>IFERROR(IF(IFERROR(MATCH(231,'كشف الحساب'!$N$4:$N$353,0),0)=0,"",INDEX('كشف الحساب'!$G$4:$G$353,IFERROR(MATCH(231,'كشف الحساب'!$N$4:$N$353,0),0))),"")</f>
        <v/>
      </c>
      <c r="H235" s="64" t="str">
        <f>IFERROR(IF(IFERROR(MATCH(231,'كشف الحساب'!$N$4:$N$353,0),0)=0,"",INDEX('كشف الحساب'!$H$4:$H$353,IFERROR(MATCH(231,'كشف الحساب'!$N$4:$N$353,0),0))),"")</f>
        <v/>
      </c>
      <c r="I235" s="64" t="str">
        <f>IFERROR(IF(IFERROR(MATCH(231,'كشف الحساب'!$N$4:$N$353,0),0)=0,"",INDEX('كشف الحساب'!$I$4:$I$353,IFERROR(MATCH(231,'كشف الحساب'!$N$4:$N$353,0),0))),"")</f>
        <v/>
      </c>
      <c r="J235" s="68" t="str">
        <f>IFERROR(IF(IFERROR(MATCH(231,'كشف الحساب'!$N$4:$N$353,0),0)=0,"",INDEX('كشف الحساب'!$J$4:$J$353,IFERROR(MATCH(231,'كشف الحساب'!$N$4:$N$353,0),0))),"")</f>
        <v/>
      </c>
      <c r="K235" s="64" t="str">
        <f>IFERROR(IF(IFERROR(MATCH(231,'كشف الحساب'!$N$4:$N$353,0),0)=0,"",INDEX('كشف الحساب'!$K$4:$K$353,IFERROR(MATCH(231,'كشف الحساب'!$N$4:$N$353,0),0))),"")</f>
        <v/>
      </c>
    </row>
    <row r="236" spans="1:11" ht="15" customHeight="1" x14ac:dyDescent="0.25">
      <c r="A236" s="69" t="str">
        <f>IFERROR(IF(IFERROR(MATCH(232,'كشف الحساب'!$N$4:$N$353,0),0)=0,"",INDEX('كشف الحساب'!$A$4:$A$353,IFERROR(MATCH(232,'كشف الحساب'!$N$4:$N$353,0),0))),"")</f>
        <v/>
      </c>
      <c r="B236" s="70" t="str">
        <f>IFERROR(IF(IFERROR(MATCH(232,'كشف الحساب'!$N$4:$N$353,0),0)=0,"",INDEX('كشف الحساب'!$B$4:$B$353,IFERROR(MATCH(232,'كشف الحساب'!$N$4:$N$353,0),0))),"")</f>
        <v/>
      </c>
      <c r="C236" s="71" t="str">
        <f>IFERROR(IF(IFERROR(MATCH(232,'كشف الحساب'!$N$4:$N$353,0),0)=0,"",INDEX('كشف الحساب'!$C$4:$C$353,IFERROR(MATCH(232,'كشف الحساب'!$N$4:$N$353,0),0))),"")</f>
        <v/>
      </c>
      <c r="D236" s="72" t="str">
        <f>IFERROR(IF(IFERROR(MATCH(232,'كشف الحساب'!$N$4:$N$353,0),0)=0,"",INDEX('كشف الحساب'!$D$4:$D$353,IFERROR(MATCH(232,'كشف الحساب'!$N$4:$N$353,0),0))),"")</f>
        <v/>
      </c>
      <c r="E236" s="73" t="str">
        <f>IFERROR(IF(IFERROR(MATCH(232,'كشف الحساب'!$N$4:$N$353,0),0)=0,"",INDEX('كشف الحساب'!$E$4:$E$353,IFERROR(MATCH(232,'كشف الحساب'!$N$4:$N$353,0),0))),"")</f>
        <v/>
      </c>
      <c r="F236" s="70" t="str">
        <f>IFERROR(IF(IFERROR(MATCH(232,'كشف الحساب'!$N$4:$N$353,0),0)=0,"",INDEX('كشف الحساب'!$F$4:$F$353,IFERROR(MATCH(232,'كشف الحساب'!$N$4:$N$353,0),0))),"")</f>
        <v/>
      </c>
      <c r="G236" s="70" t="str">
        <f>IFERROR(IF(IFERROR(MATCH(232,'كشف الحساب'!$N$4:$N$353,0),0)=0,"",INDEX('كشف الحساب'!$G$4:$G$353,IFERROR(MATCH(232,'كشف الحساب'!$N$4:$N$353,0),0))),"")</f>
        <v/>
      </c>
      <c r="H236" s="70" t="str">
        <f>IFERROR(IF(IFERROR(MATCH(232,'كشف الحساب'!$N$4:$N$353,0),0)=0,"",INDEX('كشف الحساب'!$H$4:$H$353,IFERROR(MATCH(232,'كشف الحساب'!$N$4:$N$353,0),0))),"")</f>
        <v/>
      </c>
      <c r="I236" s="70" t="str">
        <f>IFERROR(IF(IFERROR(MATCH(232,'كشف الحساب'!$N$4:$N$353,0),0)=0,"",INDEX('كشف الحساب'!$I$4:$I$353,IFERROR(MATCH(232,'كشف الحساب'!$N$4:$N$353,0),0))),"")</f>
        <v/>
      </c>
      <c r="J236" s="74" t="str">
        <f>IFERROR(IF(IFERROR(MATCH(232,'كشف الحساب'!$N$4:$N$353,0),0)=0,"",INDEX('كشف الحساب'!$J$4:$J$353,IFERROR(MATCH(232,'كشف الحساب'!$N$4:$N$353,0),0))),"")</f>
        <v/>
      </c>
      <c r="K236" s="70" t="str">
        <f>IFERROR(IF(IFERROR(MATCH(232,'كشف الحساب'!$N$4:$N$353,0),0)=0,"",INDEX('كشف الحساب'!$K$4:$K$353,IFERROR(MATCH(232,'كشف الحساب'!$N$4:$N$353,0),0))),"")</f>
        <v/>
      </c>
    </row>
    <row r="237" spans="1:11" ht="15" customHeight="1" x14ac:dyDescent="0.25">
      <c r="A237" s="63" t="str">
        <f>IFERROR(IF(IFERROR(MATCH(233,'كشف الحساب'!$N$4:$N$353,0),0)=0,"",INDEX('كشف الحساب'!$A$4:$A$353,IFERROR(MATCH(233,'كشف الحساب'!$N$4:$N$353,0),0))),"")</f>
        <v/>
      </c>
      <c r="B237" s="64" t="str">
        <f>IFERROR(IF(IFERROR(MATCH(233,'كشف الحساب'!$N$4:$N$353,0),0)=0,"",INDEX('كشف الحساب'!$B$4:$B$353,IFERROR(MATCH(233,'كشف الحساب'!$N$4:$N$353,0),0))),"")</f>
        <v/>
      </c>
      <c r="C237" s="65" t="str">
        <f>IFERROR(IF(IFERROR(MATCH(233,'كشف الحساب'!$N$4:$N$353,0),0)=0,"",INDEX('كشف الحساب'!$C$4:$C$353,IFERROR(MATCH(233,'كشف الحساب'!$N$4:$N$353,0),0))),"")</f>
        <v/>
      </c>
      <c r="D237" s="66" t="str">
        <f>IFERROR(IF(IFERROR(MATCH(233,'كشف الحساب'!$N$4:$N$353,0),0)=0,"",INDEX('كشف الحساب'!$D$4:$D$353,IFERROR(MATCH(233,'كشف الحساب'!$N$4:$N$353,0),0))),"")</f>
        <v/>
      </c>
      <c r="E237" s="67" t="str">
        <f>IFERROR(IF(IFERROR(MATCH(233,'كشف الحساب'!$N$4:$N$353,0),0)=0,"",INDEX('كشف الحساب'!$E$4:$E$353,IFERROR(MATCH(233,'كشف الحساب'!$N$4:$N$353,0),0))),"")</f>
        <v/>
      </c>
      <c r="F237" s="64" t="str">
        <f>IFERROR(IF(IFERROR(MATCH(233,'كشف الحساب'!$N$4:$N$353,0),0)=0,"",INDEX('كشف الحساب'!$F$4:$F$353,IFERROR(MATCH(233,'كشف الحساب'!$N$4:$N$353,0),0))),"")</f>
        <v/>
      </c>
      <c r="G237" s="64" t="str">
        <f>IFERROR(IF(IFERROR(MATCH(233,'كشف الحساب'!$N$4:$N$353,0),0)=0,"",INDEX('كشف الحساب'!$G$4:$G$353,IFERROR(MATCH(233,'كشف الحساب'!$N$4:$N$353,0),0))),"")</f>
        <v/>
      </c>
      <c r="H237" s="64" t="str">
        <f>IFERROR(IF(IFERROR(MATCH(233,'كشف الحساب'!$N$4:$N$353,0),0)=0,"",INDEX('كشف الحساب'!$H$4:$H$353,IFERROR(MATCH(233,'كشف الحساب'!$N$4:$N$353,0),0))),"")</f>
        <v/>
      </c>
      <c r="I237" s="64" t="str">
        <f>IFERROR(IF(IFERROR(MATCH(233,'كشف الحساب'!$N$4:$N$353,0),0)=0,"",INDEX('كشف الحساب'!$I$4:$I$353,IFERROR(MATCH(233,'كشف الحساب'!$N$4:$N$353,0),0))),"")</f>
        <v/>
      </c>
      <c r="J237" s="68" t="str">
        <f>IFERROR(IF(IFERROR(MATCH(233,'كشف الحساب'!$N$4:$N$353,0),0)=0,"",INDEX('كشف الحساب'!$J$4:$J$353,IFERROR(MATCH(233,'كشف الحساب'!$N$4:$N$353,0),0))),"")</f>
        <v/>
      </c>
      <c r="K237" s="64" t="str">
        <f>IFERROR(IF(IFERROR(MATCH(233,'كشف الحساب'!$N$4:$N$353,0),0)=0,"",INDEX('كشف الحساب'!$K$4:$K$353,IFERROR(MATCH(233,'كشف الحساب'!$N$4:$N$353,0),0))),"")</f>
        <v/>
      </c>
    </row>
    <row r="238" spans="1:11" ht="15" customHeight="1" x14ac:dyDescent="0.25">
      <c r="A238" s="69" t="str">
        <f>IFERROR(IF(IFERROR(MATCH(234,'كشف الحساب'!$N$4:$N$353,0),0)=0,"",INDEX('كشف الحساب'!$A$4:$A$353,IFERROR(MATCH(234,'كشف الحساب'!$N$4:$N$353,0),0))),"")</f>
        <v/>
      </c>
      <c r="B238" s="70" t="str">
        <f>IFERROR(IF(IFERROR(MATCH(234,'كشف الحساب'!$N$4:$N$353,0),0)=0,"",INDEX('كشف الحساب'!$B$4:$B$353,IFERROR(MATCH(234,'كشف الحساب'!$N$4:$N$353,0),0))),"")</f>
        <v/>
      </c>
      <c r="C238" s="71" t="str">
        <f>IFERROR(IF(IFERROR(MATCH(234,'كشف الحساب'!$N$4:$N$353,0),0)=0,"",INDEX('كشف الحساب'!$C$4:$C$353,IFERROR(MATCH(234,'كشف الحساب'!$N$4:$N$353,0),0))),"")</f>
        <v/>
      </c>
      <c r="D238" s="72" t="str">
        <f>IFERROR(IF(IFERROR(MATCH(234,'كشف الحساب'!$N$4:$N$353,0),0)=0,"",INDEX('كشف الحساب'!$D$4:$D$353,IFERROR(MATCH(234,'كشف الحساب'!$N$4:$N$353,0),0))),"")</f>
        <v/>
      </c>
      <c r="E238" s="73" t="str">
        <f>IFERROR(IF(IFERROR(MATCH(234,'كشف الحساب'!$N$4:$N$353,0),0)=0,"",INDEX('كشف الحساب'!$E$4:$E$353,IFERROR(MATCH(234,'كشف الحساب'!$N$4:$N$353,0),0))),"")</f>
        <v/>
      </c>
      <c r="F238" s="70" t="str">
        <f>IFERROR(IF(IFERROR(MATCH(234,'كشف الحساب'!$N$4:$N$353,0),0)=0,"",INDEX('كشف الحساب'!$F$4:$F$353,IFERROR(MATCH(234,'كشف الحساب'!$N$4:$N$353,0),0))),"")</f>
        <v/>
      </c>
      <c r="G238" s="70" t="str">
        <f>IFERROR(IF(IFERROR(MATCH(234,'كشف الحساب'!$N$4:$N$353,0),0)=0,"",INDEX('كشف الحساب'!$G$4:$G$353,IFERROR(MATCH(234,'كشف الحساب'!$N$4:$N$353,0),0))),"")</f>
        <v/>
      </c>
      <c r="H238" s="70" t="str">
        <f>IFERROR(IF(IFERROR(MATCH(234,'كشف الحساب'!$N$4:$N$353,0),0)=0,"",INDEX('كشف الحساب'!$H$4:$H$353,IFERROR(MATCH(234,'كشف الحساب'!$N$4:$N$353,0),0))),"")</f>
        <v/>
      </c>
      <c r="I238" s="70" t="str">
        <f>IFERROR(IF(IFERROR(MATCH(234,'كشف الحساب'!$N$4:$N$353,0),0)=0,"",INDEX('كشف الحساب'!$I$4:$I$353,IFERROR(MATCH(234,'كشف الحساب'!$N$4:$N$353,0),0))),"")</f>
        <v/>
      </c>
      <c r="J238" s="74" t="str">
        <f>IFERROR(IF(IFERROR(MATCH(234,'كشف الحساب'!$N$4:$N$353,0),0)=0,"",INDEX('كشف الحساب'!$J$4:$J$353,IFERROR(MATCH(234,'كشف الحساب'!$N$4:$N$353,0),0))),"")</f>
        <v/>
      </c>
      <c r="K238" s="70" t="str">
        <f>IFERROR(IF(IFERROR(MATCH(234,'كشف الحساب'!$N$4:$N$353,0),0)=0,"",INDEX('كشف الحساب'!$K$4:$K$353,IFERROR(MATCH(234,'كشف الحساب'!$N$4:$N$353,0),0))),"")</f>
        <v/>
      </c>
    </row>
    <row r="239" spans="1:11" ht="15" customHeight="1" x14ac:dyDescent="0.25">
      <c r="A239" s="63" t="str">
        <f>IFERROR(IF(IFERROR(MATCH(235,'كشف الحساب'!$N$4:$N$353,0),0)=0,"",INDEX('كشف الحساب'!$A$4:$A$353,IFERROR(MATCH(235,'كشف الحساب'!$N$4:$N$353,0),0))),"")</f>
        <v/>
      </c>
      <c r="B239" s="64" t="str">
        <f>IFERROR(IF(IFERROR(MATCH(235,'كشف الحساب'!$N$4:$N$353,0),0)=0,"",INDEX('كشف الحساب'!$B$4:$B$353,IFERROR(MATCH(235,'كشف الحساب'!$N$4:$N$353,0),0))),"")</f>
        <v/>
      </c>
      <c r="C239" s="65" t="str">
        <f>IFERROR(IF(IFERROR(MATCH(235,'كشف الحساب'!$N$4:$N$353,0),0)=0,"",INDEX('كشف الحساب'!$C$4:$C$353,IFERROR(MATCH(235,'كشف الحساب'!$N$4:$N$353,0),0))),"")</f>
        <v/>
      </c>
      <c r="D239" s="66" t="str">
        <f>IFERROR(IF(IFERROR(MATCH(235,'كشف الحساب'!$N$4:$N$353,0),0)=0,"",INDEX('كشف الحساب'!$D$4:$D$353,IFERROR(MATCH(235,'كشف الحساب'!$N$4:$N$353,0),0))),"")</f>
        <v/>
      </c>
      <c r="E239" s="67" t="str">
        <f>IFERROR(IF(IFERROR(MATCH(235,'كشف الحساب'!$N$4:$N$353,0),0)=0,"",INDEX('كشف الحساب'!$E$4:$E$353,IFERROR(MATCH(235,'كشف الحساب'!$N$4:$N$353,0),0))),"")</f>
        <v/>
      </c>
      <c r="F239" s="64" t="str">
        <f>IFERROR(IF(IFERROR(MATCH(235,'كشف الحساب'!$N$4:$N$353,0),0)=0,"",INDEX('كشف الحساب'!$F$4:$F$353,IFERROR(MATCH(235,'كشف الحساب'!$N$4:$N$353,0),0))),"")</f>
        <v/>
      </c>
      <c r="G239" s="64" t="str">
        <f>IFERROR(IF(IFERROR(MATCH(235,'كشف الحساب'!$N$4:$N$353,0),0)=0,"",INDEX('كشف الحساب'!$G$4:$G$353,IFERROR(MATCH(235,'كشف الحساب'!$N$4:$N$353,0),0))),"")</f>
        <v/>
      </c>
      <c r="H239" s="64" t="str">
        <f>IFERROR(IF(IFERROR(MATCH(235,'كشف الحساب'!$N$4:$N$353,0),0)=0,"",INDEX('كشف الحساب'!$H$4:$H$353,IFERROR(MATCH(235,'كشف الحساب'!$N$4:$N$353,0),0))),"")</f>
        <v/>
      </c>
      <c r="I239" s="64" t="str">
        <f>IFERROR(IF(IFERROR(MATCH(235,'كشف الحساب'!$N$4:$N$353,0),0)=0,"",INDEX('كشف الحساب'!$I$4:$I$353,IFERROR(MATCH(235,'كشف الحساب'!$N$4:$N$353,0),0))),"")</f>
        <v/>
      </c>
      <c r="J239" s="68" t="str">
        <f>IFERROR(IF(IFERROR(MATCH(235,'كشف الحساب'!$N$4:$N$353,0),0)=0,"",INDEX('كشف الحساب'!$J$4:$J$353,IFERROR(MATCH(235,'كشف الحساب'!$N$4:$N$353,0),0))),"")</f>
        <v/>
      </c>
      <c r="K239" s="64" t="str">
        <f>IFERROR(IF(IFERROR(MATCH(235,'كشف الحساب'!$N$4:$N$353,0),0)=0,"",INDEX('كشف الحساب'!$K$4:$K$353,IFERROR(MATCH(235,'كشف الحساب'!$N$4:$N$353,0),0))),"")</f>
        <v/>
      </c>
    </row>
    <row r="240" spans="1:11" ht="15" customHeight="1" x14ac:dyDescent="0.25">
      <c r="A240" s="69" t="str">
        <f>IFERROR(IF(IFERROR(MATCH(236,'كشف الحساب'!$N$4:$N$353,0),0)=0,"",INDEX('كشف الحساب'!$A$4:$A$353,IFERROR(MATCH(236,'كشف الحساب'!$N$4:$N$353,0),0))),"")</f>
        <v/>
      </c>
      <c r="B240" s="70" t="str">
        <f>IFERROR(IF(IFERROR(MATCH(236,'كشف الحساب'!$N$4:$N$353,0),0)=0,"",INDEX('كشف الحساب'!$B$4:$B$353,IFERROR(MATCH(236,'كشف الحساب'!$N$4:$N$353,0),0))),"")</f>
        <v/>
      </c>
      <c r="C240" s="71" t="str">
        <f>IFERROR(IF(IFERROR(MATCH(236,'كشف الحساب'!$N$4:$N$353,0),0)=0,"",INDEX('كشف الحساب'!$C$4:$C$353,IFERROR(MATCH(236,'كشف الحساب'!$N$4:$N$353,0),0))),"")</f>
        <v/>
      </c>
      <c r="D240" s="72" t="str">
        <f>IFERROR(IF(IFERROR(MATCH(236,'كشف الحساب'!$N$4:$N$353,0),0)=0,"",INDEX('كشف الحساب'!$D$4:$D$353,IFERROR(MATCH(236,'كشف الحساب'!$N$4:$N$353,0),0))),"")</f>
        <v/>
      </c>
      <c r="E240" s="73" t="str">
        <f>IFERROR(IF(IFERROR(MATCH(236,'كشف الحساب'!$N$4:$N$353,0),0)=0,"",INDEX('كشف الحساب'!$E$4:$E$353,IFERROR(MATCH(236,'كشف الحساب'!$N$4:$N$353,0),0))),"")</f>
        <v/>
      </c>
      <c r="F240" s="70" t="str">
        <f>IFERROR(IF(IFERROR(MATCH(236,'كشف الحساب'!$N$4:$N$353,0),0)=0,"",INDEX('كشف الحساب'!$F$4:$F$353,IFERROR(MATCH(236,'كشف الحساب'!$N$4:$N$353,0),0))),"")</f>
        <v/>
      </c>
      <c r="G240" s="70" t="str">
        <f>IFERROR(IF(IFERROR(MATCH(236,'كشف الحساب'!$N$4:$N$353,0),0)=0,"",INDEX('كشف الحساب'!$G$4:$G$353,IFERROR(MATCH(236,'كشف الحساب'!$N$4:$N$353,0),0))),"")</f>
        <v/>
      </c>
      <c r="H240" s="70" t="str">
        <f>IFERROR(IF(IFERROR(MATCH(236,'كشف الحساب'!$N$4:$N$353,0),0)=0,"",INDEX('كشف الحساب'!$H$4:$H$353,IFERROR(MATCH(236,'كشف الحساب'!$N$4:$N$353,0),0))),"")</f>
        <v/>
      </c>
      <c r="I240" s="70" t="str">
        <f>IFERROR(IF(IFERROR(MATCH(236,'كشف الحساب'!$N$4:$N$353,0),0)=0,"",INDEX('كشف الحساب'!$I$4:$I$353,IFERROR(MATCH(236,'كشف الحساب'!$N$4:$N$353,0),0))),"")</f>
        <v/>
      </c>
      <c r="J240" s="74" t="str">
        <f>IFERROR(IF(IFERROR(MATCH(236,'كشف الحساب'!$N$4:$N$353,0),0)=0,"",INDEX('كشف الحساب'!$J$4:$J$353,IFERROR(MATCH(236,'كشف الحساب'!$N$4:$N$353,0),0))),"")</f>
        <v/>
      </c>
      <c r="K240" s="70" t="str">
        <f>IFERROR(IF(IFERROR(MATCH(236,'كشف الحساب'!$N$4:$N$353,0),0)=0,"",INDEX('كشف الحساب'!$K$4:$K$353,IFERROR(MATCH(236,'كشف الحساب'!$N$4:$N$353,0),0))),"")</f>
        <v/>
      </c>
    </row>
    <row r="241" spans="1:11" ht="15" customHeight="1" x14ac:dyDescent="0.25">
      <c r="A241" s="63" t="str">
        <f>IFERROR(IF(IFERROR(MATCH(237,'كشف الحساب'!$N$4:$N$353,0),0)=0,"",INDEX('كشف الحساب'!$A$4:$A$353,IFERROR(MATCH(237,'كشف الحساب'!$N$4:$N$353,0),0))),"")</f>
        <v/>
      </c>
      <c r="B241" s="64" t="str">
        <f>IFERROR(IF(IFERROR(MATCH(237,'كشف الحساب'!$N$4:$N$353,0),0)=0,"",INDEX('كشف الحساب'!$B$4:$B$353,IFERROR(MATCH(237,'كشف الحساب'!$N$4:$N$353,0),0))),"")</f>
        <v/>
      </c>
      <c r="C241" s="65" t="str">
        <f>IFERROR(IF(IFERROR(MATCH(237,'كشف الحساب'!$N$4:$N$353,0),0)=0,"",INDEX('كشف الحساب'!$C$4:$C$353,IFERROR(MATCH(237,'كشف الحساب'!$N$4:$N$353,0),0))),"")</f>
        <v/>
      </c>
      <c r="D241" s="66" t="str">
        <f>IFERROR(IF(IFERROR(MATCH(237,'كشف الحساب'!$N$4:$N$353,0),0)=0,"",INDEX('كشف الحساب'!$D$4:$D$353,IFERROR(MATCH(237,'كشف الحساب'!$N$4:$N$353,0),0))),"")</f>
        <v/>
      </c>
      <c r="E241" s="67" t="str">
        <f>IFERROR(IF(IFERROR(MATCH(237,'كشف الحساب'!$N$4:$N$353,0),0)=0,"",INDEX('كشف الحساب'!$E$4:$E$353,IFERROR(MATCH(237,'كشف الحساب'!$N$4:$N$353,0),0))),"")</f>
        <v/>
      </c>
      <c r="F241" s="64" t="str">
        <f>IFERROR(IF(IFERROR(MATCH(237,'كشف الحساب'!$N$4:$N$353,0),0)=0,"",INDEX('كشف الحساب'!$F$4:$F$353,IFERROR(MATCH(237,'كشف الحساب'!$N$4:$N$353,0),0))),"")</f>
        <v/>
      </c>
      <c r="G241" s="64" t="str">
        <f>IFERROR(IF(IFERROR(MATCH(237,'كشف الحساب'!$N$4:$N$353,0),0)=0,"",INDEX('كشف الحساب'!$G$4:$G$353,IFERROR(MATCH(237,'كشف الحساب'!$N$4:$N$353,0),0))),"")</f>
        <v/>
      </c>
      <c r="H241" s="64" t="str">
        <f>IFERROR(IF(IFERROR(MATCH(237,'كشف الحساب'!$N$4:$N$353,0),0)=0,"",INDEX('كشف الحساب'!$H$4:$H$353,IFERROR(MATCH(237,'كشف الحساب'!$N$4:$N$353,0),0))),"")</f>
        <v/>
      </c>
      <c r="I241" s="64" t="str">
        <f>IFERROR(IF(IFERROR(MATCH(237,'كشف الحساب'!$N$4:$N$353,0),0)=0,"",INDEX('كشف الحساب'!$I$4:$I$353,IFERROR(MATCH(237,'كشف الحساب'!$N$4:$N$353,0),0))),"")</f>
        <v/>
      </c>
      <c r="J241" s="68" t="str">
        <f>IFERROR(IF(IFERROR(MATCH(237,'كشف الحساب'!$N$4:$N$353,0),0)=0,"",INDEX('كشف الحساب'!$J$4:$J$353,IFERROR(MATCH(237,'كشف الحساب'!$N$4:$N$353,0),0))),"")</f>
        <v/>
      </c>
      <c r="K241" s="64" t="str">
        <f>IFERROR(IF(IFERROR(MATCH(237,'كشف الحساب'!$N$4:$N$353,0),0)=0,"",INDEX('كشف الحساب'!$K$4:$K$353,IFERROR(MATCH(237,'كشف الحساب'!$N$4:$N$353,0),0))),"")</f>
        <v/>
      </c>
    </row>
    <row r="242" spans="1:11" ht="15" customHeight="1" x14ac:dyDescent="0.25">
      <c r="A242" s="69" t="str">
        <f>IFERROR(IF(IFERROR(MATCH(238,'كشف الحساب'!$N$4:$N$353,0),0)=0,"",INDEX('كشف الحساب'!$A$4:$A$353,IFERROR(MATCH(238,'كشف الحساب'!$N$4:$N$353,0),0))),"")</f>
        <v/>
      </c>
      <c r="B242" s="70" t="str">
        <f>IFERROR(IF(IFERROR(MATCH(238,'كشف الحساب'!$N$4:$N$353,0),0)=0,"",INDEX('كشف الحساب'!$B$4:$B$353,IFERROR(MATCH(238,'كشف الحساب'!$N$4:$N$353,0),0))),"")</f>
        <v/>
      </c>
      <c r="C242" s="71" t="str">
        <f>IFERROR(IF(IFERROR(MATCH(238,'كشف الحساب'!$N$4:$N$353,0),0)=0,"",INDEX('كشف الحساب'!$C$4:$C$353,IFERROR(MATCH(238,'كشف الحساب'!$N$4:$N$353,0),0))),"")</f>
        <v/>
      </c>
      <c r="D242" s="72" t="str">
        <f>IFERROR(IF(IFERROR(MATCH(238,'كشف الحساب'!$N$4:$N$353,0),0)=0,"",INDEX('كشف الحساب'!$D$4:$D$353,IFERROR(MATCH(238,'كشف الحساب'!$N$4:$N$353,0),0))),"")</f>
        <v/>
      </c>
      <c r="E242" s="73" t="str">
        <f>IFERROR(IF(IFERROR(MATCH(238,'كشف الحساب'!$N$4:$N$353,0),0)=0,"",INDEX('كشف الحساب'!$E$4:$E$353,IFERROR(MATCH(238,'كشف الحساب'!$N$4:$N$353,0),0))),"")</f>
        <v/>
      </c>
      <c r="F242" s="70" t="str">
        <f>IFERROR(IF(IFERROR(MATCH(238,'كشف الحساب'!$N$4:$N$353,0),0)=0,"",INDEX('كشف الحساب'!$F$4:$F$353,IFERROR(MATCH(238,'كشف الحساب'!$N$4:$N$353,0),0))),"")</f>
        <v/>
      </c>
      <c r="G242" s="70" t="str">
        <f>IFERROR(IF(IFERROR(MATCH(238,'كشف الحساب'!$N$4:$N$353,0),0)=0,"",INDEX('كشف الحساب'!$G$4:$G$353,IFERROR(MATCH(238,'كشف الحساب'!$N$4:$N$353,0),0))),"")</f>
        <v/>
      </c>
      <c r="H242" s="70" t="str">
        <f>IFERROR(IF(IFERROR(MATCH(238,'كشف الحساب'!$N$4:$N$353,0),0)=0,"",INDEX('كشف الحساب'!$H$4:$H$353,IFERROR(MATCH(238,'كشف الحساب'!$N$4:$N$353,0),0))),"")</f>
        <v/>
      </c>
      <c r="I242" s="70" t="str">
        <f>IFERROR(IF(IFERROR(MATCH(238,'كشف الحساب'!$N$4:$N$353,0),0)=0,"",INDEX('كشف الحساب'!$I$4:$I$353,IFERROR(MATCH(238,'كشف الحساب'!$N$4:$N$353,0),0))),"")</f>
        <v/>
      </c>
      <c r="J242" s="74" t="str">
        <f>IFERROR(IF(IFERROR(MATCH(238,'كشف الحساب'!$N$4:$N$353,0),0)=0,"",INDEX('كشف الحساب'!$J$4:$J$353,IFERROR(MATCH(238,'كشف الحساب'!$N$4:$N$353,0),0))),"")</f>
        <v/>
      </c>
      <c r="K242" s="70" t="str">
        <f>IFERROR(IF(IFERROR(MATCH(238,'كشف الحساب'!$N$4:$N$353,0),0)=0,"",INDEX('كشف الحساب'!$K$4:$K$353,IFERROR(MATCH(238,'كشف الحساب'!$N$4:$N$353,0),0))),"")</f>
        <v/>
      </c>
    </row>
    <row r="243" spans="1:11" ht="15" customHeight="1" x14ac:dyDescent="0.25">
      <c r="A243" s="63" t="str">
        <f>IFERROR(IF(IFERROR(MATCH(239,'كشف الحساب'!$N$4:$N$353,0),0)=0,"",INDEX('كشف الحساب'!$A$4:$A$353,IFERROR(MATCH(239,'كشف الحساب'!$N$4:$N$353,0),0))),"")</f>
        <v/>
      </c>
      <c r="B243" s="64" t="str">
        <f>IFERROR(IF(IFERROR(MATCH(239,'كشف الحساب'!$N$4:$N$353,0),0)=0,"",INDEX('كشف الحساب'!$B$4:$B$353,IFERROR(MATCH(239,'كشف الحساب'!$N$4:$N$353,0),0))),"")</f>
        <v/>
      </c>
      <c r="C243" s="65" t="str">
        <f>IFERROR(IF(IFERROR(MATCH(239,'كشف الحساب'!$N$4:$N$353,0),0)=0,"",INDEX('كشف الحساب'!$C$4:$C$353,IFERROR(MATCH(239,'كشف الحساب'!$N$4:$N$353,0),0))),"")</f>
        <v/>
      </c>
      <c r="D243" s="66" t="str">
        <f>IFERROR(IF(IFERROR(MATCH(239,'كشف الحساب'!$N$4:$N$353,0),0)=0,"",INDEX('كشف الحساب'!$D$4:$D$353,IFERROR(MATCH(239,'كشف الحساب'!$N$4:$N$353,0),0))),"")</f>
        <v/>
      </c>
      <c r="E243" s="67" t="str">
        <f>IFERROR(IF(IFERROR(MATCH(239,'كشف الحساب'!$N$4:$N$353,0),0)=0,"",INDEX('كشف الحساب'!$E$4:$E$353,IFERROR(MATCH(239,'كشف الحساب'!$N$4:$N$353,0),0))),"")</f>
        <v/>
      </c>
      <c r="F243" s="64" t="str">
        <f>IFERROR(IF(IFERROR(MATCH(239,'كشف الحساب'!$N$4:$N$353,0),0)=0,"",INDEX('كشف الحساب'!$F$4:$F$353,IFERROR(MATCH(239,'كشف الحساب'!$N$4:$N$353,0),0))),"")</f>
        <v/>
      </c>
      <c r="G243" s="64" t="str">
        <f>IFERROR(IF(IFERROR(MATCH(239,'كشف الحساب'!$N$4:$N$353,0),0)=0,"",INDEX('كشف الحساب'!$G$4:$G$353,IFERROR(MATCH(239,'كشف الحساب'!$N$4:$N$353,0),0))),"")</f>
        <v/>
      </c>
      <c r="H243" s="64" t="str">
        <f>IFERROR(IF(IFERROR(MATCH(239,'كشف الحساب'!$N$4:$N$353,0),0)=0,"",INDEX('كشف الحساب'!$H$4:$H$353,IFERROR(MATCH(239,'كشف الحساب'!$N$4:$N$353,0),0))),"")</f>
        <v/>
      </c>
      <c r="I243" s="64" t="str">
        <f>IFERROR(IF(IFERROR(MATCH(239,'كشف الحساب'!$N$4:$N$353,0),0)=0,"",INDEX('كشف الحساب'!$I$4:$I$353,IFERROR(MATCH(239,'كشف الحساب'!$N$4:$N$353,0),0))),"")</f>
        <v/>
      </c>
      <c r="J243" s="68" t="str">
        <f>IFERROR(IF(IFERROR(MATCH(239,'كشف الحساب'!$N$4:$N$353,0),0)=0,"",INDEX('كشف الحساب'!$J$4:$J$353,IFERROR(MATCH(239,'كشف الحساب'!$N$4:$N$353,0),0))),"")</f>
        <v/>
      </c>
      <c r="K243" s="64" t="str">
        <f>IFERROR(IF(IFERROR(MATCH(239,'كشف الحساب'!$N$4:$N$353,0),0)=0,"",INDEX('كشف الحساب'!$K$4:$K$353,IFERROR(MATCH(239,'كشف الحساب'!$N$4:$N$353,0),0))),"")</f>
        <v/>
      </c>
    </row>
    <row r="244" spans="1:11" ht="15" customHeight="1" x14ac:dyDescent="0.25">
      <c r="A244" s="69" t="str">
        <f>IFERROR(IF(IFERROR(MATCH(240,'كشف الحساب'!$N$4:$N$353,0),0)=0,"",INDEX('كشف الحساب'!$A$4:$A$353,IFERROR(MATCH(240,'كشف الحساب'!$N$4:$N$353,0),0))),"")</f>
        <v/>
      </c>
      <c r="B244" s="70" t="str">
        <f>IFERROR(IF(IFERROR(MATCH(240,'كشف الحساب'!$N$4:$N$353,0),0)=0,"",INDEX('كشف الحساب'!$B$4:$B$353,IFERROR(MATCH(240,'كشف الحساب'!$N$4:$N$353,0),0))),"")</f>
        <v/>
      </c>
      <c r="C244" s="71" t="str">
        <f>IFERROR(IF(IFERROR(MATCH(240,'كشف الحساب'!$N$4:$N$353,0),0)=0,"",INDEX('كشف الحساب'!$C$4:$C$353,IFERROR(MATCH(240,'كشف الحساب'!$N$4:$N$353,0),0))),"")</f>
        <v/>
      </c>
      <c r="D244" s="72" t="str">
        <f>IFERROR(IF(IFERROR(MATCH(240,'كشف الحساب'!$N$4:$N$353,0),0)=0,"",INDEX('كشف الحساب'!$D$4:$D$353,IFERROR(MATCH(240,'كشف الحساب'!$N$4:$N$353,0),0))),"")</f>
        <v/>
      </c>
      <c r="E244" s="73" t="str">
        <f>IFERROR(IF(IFERROR(MATCH(240,'كشف الحساب'!$N$4:$N$353,0),0)=0,"",INDEX('كشف الحساب'!$E$4:$E$353,IFERROR(MATCH(240,'كشف الحساب'!$N$4:$N$353,0),0))),"")</f>
        <v/>
      </c>
      <c r="F244" s="70" t="str">
        <f>IFERROR(IF(IFERROR(MATCH(240,'كشف الحساب'!$N$4:$N$353,0),0)=0,"",INDEX('كشف الحساب'!$F$4:$F$353,IFERROR(MATCH(240,'كشف الحساب'!$N$4:$N$353,0),0))),"")</f>
        <v/>
      </c>
      <c r="G244" s="70" t="str">
        <f>IFERROR(IF(IFERROR(MATCH(240,'كشف الحساب'!$N$4:$N$353,0),0)=0,"",INDEX('كشف الحساب'!$G$4:$G$353,IFERROR(MATCH(240,'كشف الحساب'!$N$4:$N$353,0),0))),"")</f>
        <v/>
      </c>
      <c r="H244" s="70" t="str">
        <f>IFERROR(IF(IFERROR(MATCH(240,'كشف الحساب'!$N$4:$N$353,0),0)=0,"",INDEX('كشف الحساب'!$H$4:$H$353,IFERROR(MATCH(240,'كشف الحساب'!$N$4:$N$353,0),0))),"")</f>
        <v/>
      </c>
      <c r="I244" s="70" t="str">
        <f>IFERROR(IF(IFERROR(MATCH(240,'كشف الحساب'!$N$4:$N$353,0),0)=0,"",INDEX('كشف الحساب'!$I$4:$I$353,IFERROR(MATCH(240,'كشف الحساب'!$N$4:$N$353,0),0))),"")</f>
        <v/>
      </c>
      <c r="J244" s="74" t="str">
        <f>IFERROR(IF(IFERROR(MATCH(240,'كشف الحساب'!$N$4:$N$353,0),0)=0,"",INDEX('كشف الحساب'!$J$4:$J$353,IFERROR(MATCH(240,'كشف الحساب'!$N$4:$N$353,0),0))),"")</f>
        <v/>
      </c>
      <c r="K244" s="70" t="str">
        <f>IFERROR(IF(IFERROR(MATCH(240,'كشف الحساب'!$N$4:$N$353,0),0)=0,"",INDEX('كشف الحساب'!$K$4:$K$353,IFERROR(MATCH(240,'كشف الحساب'!$N$4:$N$353,0),0))),"")</f>
        <v/>
      </c>
    </row>
    <row r="245" spans="1:11" ht="15" customHeight="1" x14ac:dyDescent="0.25">
      <c r="A245" s="63" t="str">
        <f>IFERROR(IF(IFERROR(MATCH(241,'كشف الحساب'!$N$4:$N$353,0),0)=0,"",INDEX('كشف الحساب'!$A$4:$A$353,IFERROR(MATCH(241,'كشف الحساب'!$N$4:$N$353,0),0))),"")</f>
        <v/>
      </c>
      <c r="B245" s="64" t="str">
        <f>IFERROR(IF(IFERROR(MATCH(241,'كشف الحساب'!$N$4:$N$353,0),0)=0,"",INDEX('كشف الحساب'!$B$4:$B$353,IFERROR(MATCH(241,'كشف الحساب'!$N$4:$N$353,0),0))),"")</f>
        <v/>
      </c>
      <c r="C245" s="65" t="str">
        <f>IFERROR(IF(IFERROR(MATCH(241,'كشف الحساب'!$N$4:$N$353,0),0)=0,"",INDEX('كشف الحساب'!$C$4:$C$353,IFERROR(MATCH(241,'كشف الحساب'!$N$4:$N$353,0),0))),"")</f>
        <v/>
      </c>
      <c r="D245" s="66" t="str">
        <f>IFERROR(IF(IFERROR(MATCH(241,'كشف الحساب'!$N$4:$N$353,0),0)=0,"",INDEX('كشف الحساب'!$D$4:$D$353,IFERROR(MATCH(241,'كشف الحساب'!$N$4:$N$353,0),0))),"")</f>
        <v/>
      </c>
      <c r="E245" s="67" t="str">
        <f>IFERROR(IF(IFERROR(MATCH(241,'كشف الحساب'!$N$4:$N$353,0),0)=0,"",INDEX('كشف الحساب'!$E$4:$E$353,IFERROR(MATCH(241,'كشف الحساب'!$N$4:$N$353,0),0))),"")</f>
        <v/>
      </c>
      <c r="F245" s="64" t="str">
        <f>IFERROR(IF(IFERROR(MATCH(241,'كشف الحساب'!$N$4:$N$353,0),0)=0,"",INDEX('كشف الحساب'!$F$4:$F$353,IFERROR(MATCH(241,'كشف الحساب'!$N$4:$N$353,0),0))),"")</f>
        <v/>
      </c>
      <c r="G245" s="64" t="str">
        <f>IFERROR(IF(IFERROR(MATCH(241,'كشف الحساب'!$N$4:$N$353,0),0)=0,"",INDEX('كشف الحساب'!$G$4:$G$353,IFERROR(MATCH(241,'كشف الحساب'!$N$4:$N$353,0),0))),"")</f>
        <v/>
      </c>
      <c r="H245" s="64" t="str">
        <f>IFERROR(IF(IFERROR(MATCH(241,'كشف الحساب'!$N$4:$N$353,0),0)=0,"",INDEX('كشف الحساب'!$H$4:$H$353,IFERROR(MATCH(241,'كشف الحساب'!$N$4:$N$353,0),0))),"")</f>
        <v/>
      </c>
      <c r="I245" s="64" t="str">
        <f>IFERROR(IF(IFERROR(MATCH(241,'كشف الحساب'!$N$4:$N$353,0),0)=0,"",INDEX('كشف الحساب'!$I$4:$I$353,IFERROR(MATCH(241,'كشف الحساب'!$N$4:$N$353,0),0))),"")</f>
        <v/>
      </c>
      <c r="J245" s="68" t="str">
        <f>IFERROR(IF(IFERROR(MATCH(241,'كشف الحساب'!$N$4:$N$353,0),0)=0,"",INDEX('كشف الحساب'!$J$4:$J$353,IFERROR(MATCH(241,'كشف الحساب'!$N$4:$N$353,0),0))),"")</f>
        <v/>
      </c>
      <c r="K245" s="64" t="str">
        <f>IFERROR(IF(IFERROR(MATCH(241,'كشف الحساب'!$N$4:$N$353,0),0)=0,"",INDEX('كشف الحساب'!$K$4:$K$353,IFERROR(MATCH(241,'كشف الحساب'!$N$4:$N$353,0),0))),"")</f>
        <v/>
      </c>
    </row>
    <row r="246" spans="1:11" ht="15" customHeight="1" x14ac:dyDescent="0.25">
      <c r="A246" s="69" t="str">
        <f>IFERROR(IF(IFERROR(MATCH(242,'كشف الحساب'!$N$4:$N$353,0),0)=0,"",INDEX('كشف الحساب'!$A$4:$A$353,IFERROR(MATCH(242,'كشف الحساب'!$N$4:$N$353,0),0))),"")</f>
        <v/>
      </c>
      <c r="B246" s="70" t="str">
        <f>IFERROR(IF(IFERROR(MATCH(242,'كشف الحساب'!$N$4:$N$353,0),0)=0,"",INDEX('كشف الحساب'!$B$4:$B$353,IFERROR(MATCH(242,'كشف الحساب'!$N$4:$N$353,0),0))),"")</f>
        <v/>
      </c>
      <c r="C246" s="71" t="str">
        <f>IFERROR(IF(IFERROR(MATCH(242,'كشف الحساب'!$N$4:$N$353,0),0)=0,"",INDEX('كشف الحساب'!$C$4:$C$353,IFERROR(MATCH(242,'كشف الحساب'!$N$4:$N$353,0),0))),"")</f>
        <v/>
      </c>
      <c r="D246" s="72" t="str">
        <f>IFERROR(IF(IFERROR(MATCH(242,'كشف الحساب'!$N$4:$N$353,0),0)=0,"",INDEX('كشف الحساب'!$D$4:$D$353,IFERROR(MATCH(242,'كشف الحساب'!$N$4:$N$353,0),0))),"")</f>
        <v/>
      </c>
      <c r="E246" s="73" t="str">
        <f>IFERROR(IF(IFERROR(MATCH(242,'كشف الحساب'!$N$4:$N$353,0),0)=0,"",INDEX('كشف الحساب'!$E$4:$E$353,IFERROR(MATCH(242,'كشف الحساب'!$N$4:$N$353,0),0))),"")</f>
        <v/>
      </c>
      <c r="F246" s="70" t="str">
        <f>IFERROR(IF(IFERROR(MATCH(242,'كشف الحساب'!$N$4:$N$353,0),0)=0,"",INDEX('كشف الحساب'!$F$4:$F$353,IFERROR(MATCH(242,'كشف الحساب'!$N$4:$N$353,0),0))),"")</f>
        <v/>
      </c>
      <c r="G246" s="70" t="str">
        <f>IFERROR(IF(IFERROR(MATCH(242,'كشف الحساب'!$N$4:$N$353,0),0)=0,"",INDEX('كشف الحساب'!$G$4:$G$353,IFERROR(MATCH(242,'كشف الحساب'!$N$4:$N$353,0),0))),"")</f>
        <v/>
      </c>
      <c r="H246" s="70" t="str">
        <f>IFERROR(IF(IFERROR(MATCH(242,'كشف الحساب'!$N$4:$N$353,0),0)=0,"",INDEX('كشف الحساب'!$H$4:$H$353,IFERROR(MATCH(242,'كشف الحساب'!$N$4:$N$353,0),0))),"")</f>
        <v/>
      </c>
      <c r="I246" s="70" t="str">
        <f>IFERROR(IF(IFERROR(MATCH(242,'كشف الحساب'!$N$4:$N$353,0),0)=0,"",INDEX('كشف الحساب'!$I$4:$I$353,IFERROR(MATCH(242,'كشف الحساب'!$N$4:$N$353,0),0))),"")</f>
        <v/>
      </c>
      <c r="J246" s="74" t="str">
        <f>IFERROR(IF(IFERROR(MATCH(242,'كشف الحساب'!$N$4:$N$353,0),0)=0,"",INDEX('كشف الحساب'!$J$4:$J$353,IFERROR(MATCH(242,'كشف الحساب'!$N$4:$N$353,0),0))),"")</f>
        <v/>
      </c>
      <c r="K246" s="70" t="str">
        <f>IFERROR(IF(IFERROR(MATCH(242,'كشف الحساب'!$N$4:$N$353,0),0)=0,"",INDEX('كشف الحساب'!$K$4:$K$353,IFERROR(MATCH(242,'كشف الحساب'!$N$4:$N$353,0),0))),"")</f>
        <v/>
      </c>
    </row>
    <row r="247" spans="1:11" ht="15" customHeight="1" x14ac:dyDescent="0.25">
      <c r="A247" s="63" t="str">
        <f>IFERROR(IF(IFERROR(MATCH(243,'كشف الحساب'!$N$4:$N$353,0),0)=0,"",INDEX('كشف الحساب'!$A$4:$A$353,IFERROR(MATCH(243,'كشف الحساب'!$N$4:$N$353,0),0))),"")</f>
        <v/>
      </c>
      <c r="B247" s="64" t="str">
        <f>IFERROR(IF(IFERROR(MATCH(243,'كشف الحساب'!$N$4:$N$353,0),0)=0,"",INDEX('كشف الحساب'!$B$4:$B$353,IFERROR(MATCH(243,'كشف الحساب'!$N$4:$N$353,0),0))),"")</f>
        <v/>
      </c>
      <c r="C247" s="65" t="str">
        <f>IFERROR(IF(IFERROR(MATCH(243,'كشف الحساب'!$N$4:$N$353,0),0)=0,"",INDEX('كشف الحساب'!$C$4:$C$353,IFERROR(MATCH(243,'كشف الحساب'!$N$4:$N$353,0),0))),"")</f>
        <v/>
      </c>
      <c r="D247" s="66" t="str">
        <f>IFERROR(IF(IFERROR(MATCH(243,'كشف الحساب'!$N$4:$N$353,0),0)=0,"",INDEX('كشف الحساب'!$D$4:$D$353,IFERROR(MATCH(243,'كشف الحساب'!$N$4:$N$353,0),0))),"")</f>
        <v/>
      </c>
      <c r="E247" s="67" t="str">
        <f>IFERROR(IF(IFERROR(MATCH(243,'كشف الحساب'!$N$4:$N$353,0),0)=0,"",INDEX('كشف الحساب'!$E$4:$E$353,IFERROR(MATCH(243,'كشف الحساب'!$N$4:$N$353,0),0))),"")</f>
        <v/>
      </c>
      <c r="F247" s="64" t="str">
        <f>IFERROR(IF(IFERROR(MATCH(243,'كشف الحساب'!$N$4:$N$353,0),0)=0,"",INDEX('كشف الحساب'!$F$4:$F$353,IFERROR(MATCH(243,'كشف الحساب'!$N$4:$N$353,0),0))),"")</f>
        <v/>
      </c>
      <c r="G247" s="64" t="str">
        <f>IFERROR(IF(IFERROR(MATCH(243,'كشف الحساب'!$N$4:$N$353,0),0)=0,"",INDEX('كشف الحساب'!$G$4:$G$353,IFERROR(MATCH(243,'كشف الحساب'!$N$4:$N$353,0),0))),"")</f>
        <v/>
      </c>
      <c r="H247" s="64" t="str">
        <f>IFERROR(IF(IFERROR(MATCH(243,'كشف الحساب'!$N$4:$N$353,0),0)=0,"",INDEX('كشف الحساب'!$H$4:$H$353,IFERROR(MATCH(243,'كشف الحساب'!$N$4:$N$353,0),0))),"")</f>
        <v/>
      </c>
      <c r="I247" s="64" t="str">
        <f>IFERROR(IF(IFERROR(MATCH(243,'كشف الحساب'!$N$4:$N$353,0),0)=0,"",INDEX('كشف الحساب'!$I$4:$I$353,IFERROR(MATCH(243,'كشف الحساب'!$N$4:$N$353,0),0))),"")</f>
        <v/>
      </c>
      <c r="J247" s="68" t="str">
        <f>IFERROR(IF(IFERROR(MATCH(243,'كشف الحساب'!$N$4:$N$353,0),0)=0,"",INDEX('كشف الحساب'!$J$4:$J$353,IFERROR(MATCH(243,'كشف الحساب'!$N$4:$N$353,0),0))),"")</f>
        <v/>
      </c>
      <c r="K247" s="64" t="str">
        <f>IFERROR(IF(IFERROR(MATCH(243,'كشف الحساب'!$N$4:$N$353,0),0)=0,"",INDEX('كشف الحساب'!$K$4:$K$353,IFERROR(MATCH(243,'كشف الحساب'!$N$4:$N$353,0),0))),"")</f>
        <v/>
      </c>
    </row>
    <row r="248" spans="1:11" ht="15" customHeight="1" x14ac:dyDescent="0.25">
      <c r="A248" s="69" t="str">
        <f>IFERROR(IF(IFERROR(MATCH(244,'كشف الحساب'!$N$4:$N$353,0),0)=0,"",INDEX('كشف الحساب'!$A$4:$A$353,IFERROR(MATCH(244,'كشف الحساب'!$N$4:$N$353,0),0))),"")</f>
        <v/>
      </c>
      <c r="B248" s="70" t="str">
        <f>IFERROR(IF(IFERROR(MATCH(244,'كشف الحساب'!$N$4:$N$353,0),0)=0,"",INDEX('كشف الحساب'!$B$4:$B$353,IFERROR(MATCH(244,'كشف الحساب'!$N$4:$N$353,0),0))),"")</f>
        <v/>
      </c>
      <c r="C248" s="71" t="str">
        <f>IFERROR(IF(IFERROR(MATCH(244,'كشف الحساب'!$N$4:$N$353,0),0)=0,"",INDEX('كشف الحساب'!$C$4:$C$353,IFERROR(MATCH(244,'كشف الحساب'!$N$4:$N$353,0),0))),"")</f>
        <v/>
      </c>
      <c r="D248" s="72" t="str">
        <f>IFERROR(IF(IFERROR(MATCH(244,'كشف الحساب'!$N$4:$N$353,0),0)=0,"",INDEX('كشف الحساب'!$D$4:$D$353,IFERROR(MATCH(244,'كشف الحساب'!$N$4:$N$353,0),0))),"")</f>
        <v/>
      </c>
      <c r="E248" s="73" t="str">
        <f>IFERROR(IF(IFERROR(MATCH(244,'كشف الحساب'!$N$4:$N$353,0),0)=0,"",INDEX('كشف الحساب'!$E$4:$E$353,IFERROR(MATCH(244,'كشف الحساب'!$N$4:$N$353,0),0))),"")</f>
        <v/>
      </c>
      <c r="F248" s="70" t="str">
        <f>IFERROR(IF(IFERROR(MATCH(244,'كشف الحساب'!$N$4:$N$353,0),0)=0,"",INDEX('كشف الحساب'!$F$4:$F$353,IFERROR(MATCH(244,'كشف الحساب'!$N$4:$N$353,0),0))),"")</f>
        <v/>
      </c>
      <c r="G248" s="70" t="str">
        <f>IFERROR(IF(IFERROR(MATCH(244,'كشف الحساب'!$N$4:$N$353,0),0)=0,"",INDEX('كشف الحساب'!$G$4:$G$353,IFERROR(MATCH(244,'كشف الحساب'!$N$4:$N$353,0),0))),"")</f>
        <v/>
      </c>
      <c r="H248" s="70" t="str">
        <f>IFERROR(IF(IFERROR(MATCH(244,'كشف الحساب'!$N$4:$N$353,0),0)=0,"",INDEX('كشف الحساب'!$H$4:$H$353,IFERROR(MATCH(244,'كشف الحساب'!$N$4:$N$353,0),0))),"")</f>
        <v/>
      </c>
      <c r="I248" s="70" t="str">
        <f>IFERROR(IF(IFERROR(MATCH(244,'كشف الحساب'!$N$4:$N$353,0),0)=0,"",INDEX('كشف الحساب'!$I$4:$I$353,IFERROR(MATCH(244,'كشف الحساب'!$N$4:$N$353,0),0))),"")</f>
        <v/>
      </c>
      <c r="J248" s="74" t="str">
        <f>IFERROR(IF(IFERROR(MATCH(244,'كشف الحساب'!$N$4:$N$353,0),0)=0,"",INDEX('كشف الحساب'!$J$4:$J$353,IFERROR(MATCH(244,'كشف الحساب'!$N$4:$N$353,0),0))),"")</f>
        <v/>
      </c>
      <c r="K248" s="70" t="str">
        <f>IFERROR(IF(IFERROR(MATCH(244,'كشف الحساب'!$N$4:$N$353,0),0)=0,"",INDEX('كشف الحساب'!$K$4:$K$353,IFERROR(MATCH(244,'كشف الحساب'!$N$4:$N$353,0),0))),"")</f>
        <v/>
      </c>
    </row>
    <row r="249" spans="1:11" ht="15" customHeight="1" x14ac:dyDescent="0.25">
      <c r="A249" s="63" t="str">
        <f>IFERROR(IF(IFERROR(MATCH(245,'كشف الحساب'!$N$4:$N$353,0),0)=0,"",INDEX('كشف الحساب'!$A$4:$A$353,IFERROR(MATCH(245,'كشف الحساب'!$N$4:$N$353,0),0))),"")</f>
        <v/>
      </c>
      <c r="B249" s="64" t="str">
        <f>IFERROR(IF(IFERROR(MATCH(245,'كشف الحساب'!$N$4:$N$353,0),0)=0,"",INDEX('كشف الحساب'!$B$4:$B$353,IFERROR(MATCH(245,'كشف الحساب'!$N$4:$N$353,0),0))),"")</f>
        <v/>
      </c>
      <c r="C249" s="65" t="str">
        <f>IFERROR(IF(IFERROR(MATCH(245,'كشف الحساب'!$N$4:$N$353,0),0)=0,"",INDEX('كشف الحساب'!$C$4:$C$353,IFERROR(MATCH(245,'كشف الحساب'!$N$4:$N$353,0),0))),"")</f>
        <v/>
      </c>
      <c r="D249" s="66" t="str">
        <f>IFERROR(IF(IFERROR(MATCH(245,'كشف الحساب'!$N$4:$N$353,0),0)=0,"",INDEX('كشف الحساب'!$D$4:$D$353,IFERROR(MATCH(245,'كشف الحساب'!$N$4:$N$353,0),0))),"")</f>
        <v/>
      </c>
      <c r="E249" s="67" t="str">
        <f>IFERROR(IF(IFERROR(MATCH(245,'كشف الحساب'!$N$4:$N$353,0),0)=0,"",INDEX('كشف الحساب'!$E$4:$E$353,IFERROR(MATCH(245,'كشف الحساب'!$N$4:$N$353,0),0))),"")</f>
        <v/>
      </c>
      <c r="F249" s="64" t="str">
        <f>IFERROR(IF(IFERROR(MATCH(245,'كشف الحساب'!$N$4:$N$353,0),0)=0,"",INDEX('كشف الحساب'!$F$4:$F$353,IFERROR(MATCH(245,'كشف الحساب'!$N$4:$N$353,0),0))),"")</f>
        <v/>
      </c>
      <c r="G249" s="64" t="str">
        <f>IFERROR(IF(IFERROR(MATCH(245,'كشف الحساب'!$N$4:$N$353,0),0)=0,"",INDEX('كشف الحساب'!$G$4:$G$353,IFERROR(MATCH(245,'كشف الحساب'!$N$4:$N$353,0),0))),"")</f>
        <v/>
      </c>
      <c r="H249" s="64" t="str">
        <f>IFERROR(IF(IFERROR(MATCH(245,'كشف الحساب'!$N$4:$N$353,0),0)=0,"",INDEX('كشف الحساب'!$H$4:$H$353,IFERROR(MATCH(245,'كشف الحساب'!$N$4:$N$353,0),0))),"")</f>
        <v/>
      </c>
      <c r="I249" s="64" t="str">
        <f>IFERROR(IF(IFERROR(MATCH(245,'كشف الحساب'!$N$4:$N$353,0),0)=0,"",INDEX('كشف الحساب'!$I$4:$I$353,IFERROR(MATCH(245,'كشف الحساب'!$N$4:$N$353,0),0))),"")</f>
        <v/>
      </c>
      <c r="J249" s="68" t="str">
        <f>IFERROR(IF(IFERROR(MATCH(245,'كشف الحساب'!$N$4:$N$353,0),0)=0,"",INDEX('كشف الحساب'!$J$4:$J$353,IFERROR(MATCH(245,'كشف الحساب'!$N$4:$N$353,0),0))),"")</f>
        <v/>
      </c>
      <c r="K249" s="64" t="str">
        <f>IFERROR(IF(IFERROR(MATCH(245,'كشف الحساب'!$N$4:$N$353,0),0)=0,"",INDEX('كشف الحساب'!$K$4:$K$353,IFERROR(MATCH(245,'كشف الحساب'!$N$4:$N$353,0),0))),"")</f>
        <v/>
      </c>
    </row>
    <row r="250" spans="1:11" ht="15" customHeight="1" x14ac:dyDescent="0.25">
      <c r="A250" s="69" t="str">
        <f>IFERROR(IF(IFERROR(MATCH(246,'كشف الحساب'!$N$4:$N$353,0),0)=0,"",INDEX('كشف الحساب'!$A$4:$A$353,IFERROR(MATCH(246,'كشف الحساب'!$N$4:$N$353,0),0))),"")</f>
        <v/>
      </c>
      <c r="B250" s="70" t="str">
        <f>IFERROR(IF(IFERROR(MATCH(246,'كشف الحساب'!$N$4:$N$353,0),0)=0,"",INDEX('كشف الحساب'!$B$4:$B$353,IFERROR(MATCH(246,'كشف الحساب'!$N$4:$N$353,0),0))),"")</f>
        <v/>
      </c>
      <c r="C250" s="71" t="str">
        <f>IFERROR(IF(IFERROR(MATCH(246,'كشف الحساب'!$N$4:$N$353,0),0)=0,"",INDEX('كشف الحساب'!$C$4:$C$353,IFERROR(MATCH(246,'كشف الحساب'!$N$4:$N$353,0),0))),"")</f>
        <v/>
      </c>
      <c r="D250" s="72" t="str">
        <f>IFERROR(IF(IFERROR(MATCH(246,'كشف الحساب'!$N$4:$N$353,0),0)=0,"",INDEX('كشف الحساب'!$D$4:$D$353,IFERROR(MATCH(246,'كشف الحساب'!$N$4:$N$353,0),0))),"")</f>
        <v/>
      </c>
      <c r="E250" s="73" t="str">
        <f>IFERROR(IF(IFERROR(MATCH(246,'كشف الحساب'!$N$4:$N$353,0),0)=0,"",INDEX('كشف الحساب'!$E$4:$E$353,IFERROR(MATCH(246,'كشف الحساب'!$N$4:$N$353,0),0))),"")</f>
        <v/>
      </c>
      <c r="F250" s="70" t="str">
        <f>IFERROR(IF(IFERROR(MATCH(246,'كشف الحساب'!$N$4:$N$353,0),0)=0,"",INDEX('كشف الحساب'!$F$4:$F$353,IFERROR(MATCH(246,'كشف الحساب'!$N$4:$N$353,0),0))),"")</f>
        <v/>
      </c>
      <c r="G250" s="70" t="str">
        <f>IFERROR(IF(IFERROR(MATCH(246,'كشف الحساب'!$N$4:$N$353,0),0)=0,"",INDEX('كشف الحساب'!$G$4:$G$353,IFERROR(MATCH(246,'كشف الحساب'!$N$4:$N$353,0),0))),"")</f>
        <v/>
      </c>
      <c r="H250" s="70" t="str">
        <f>IFERROR(IF(IFERROR(MATCH(246,'كشف الحساب'!$N$4:$N$353,0),0)=0,"",INDEX('كشف الحساب'!$H$4:$H$353,IFERROR(MATCH(246,'كشف الحساب'!$N$4:$N$353,0),0))),"")</f>
        <v/>
      </c>
      <c r="I250" s="70" t="str">
        <f>IFERROR(IF(IFERROR(MATCH(246,'كشف الحساب'!$N$4:$N$353,0),0)=0,"",INDEX('كشف الحساب'!$I$4:$I$353,IFERROR(MATCH(246,'كشف الحساب'!$N$4:$N$353,0),0))),"")</f>
        <v/>
      </c>
      <c r="J250" s="74" t="str">
        <f>IFERROR(IF(IFERROR(MATCH(246,'كشف الحساب'!$N$4:$N$353,0),0)=0,"",INDEX('كشف الحساب'!$J$4:$J$353,IFERROR(MATCH(246,'كشف الحساب'!$N$4:$N$353,0),0))),"")</f>
        <v/>
      </c>
      <c r="K250" s="70" t="str">
        <f>IFERROR(IF(IFERROR(MATCH(246,'كشف الحساب'!$N$4:$N$353,0),0)=0,"",INDEX('كشف الحساب'!$K$4:$K$353,IFERROR(MATCH(246,'كشف الحساب'!$N$4:$N$353,0),0))),"")</f>
        <v/>
      </c>
    </row>
    <row r="251" spans="1:11" ht="15" customHeight="1" x14ac:dyDescent="0.25">
      <c r="A251" s="63" t="str">
        <f>IFERROR(IF(IFERROR(MATCH(247,'كشف الحساب'!$N$4:$N$353,0),0)=0,"",INDEX('كشف الحساب'!$A$4:$A$353,IFERROR(MATCH(247,'كشف الحساب'!$N$4:$N$353,0),0))),"")</f>
        <v/>
      </c>
      <c r="B251" s="64" t="str">
        <f>IFERROR(IF(IFERROR(MATCH(247,'كشف الحساب'!$N$4:$N$353,0),0)=0,"",INDEX('كشف الحساب'!$B$4:$B$353,IFERROR(MATCH(247,'كشف الحساب'!$N$4:$N$353,0),0))),"")</f>
        <v/>
      </c>
      <c r="C251" s="65" t="str">
        <f>IFERROR(IF(IFERROR(MATCH(247,'كشف الحساب'!$N$4:$N$353,0),0)=0,"",INDEX('كشف الحساب'!$C$4:$C$353,IFERROR(MATCH(247,'كشف الحساب'!$N$4:$N$353,0),0))),"")</f>
        <v/>
      </c>
      <c r="D251" s="66" t="str">
        <f>IFERROR(IF(IFERROR(MATCH(247,'كشف الحساب'!$N$4:$N$353,0),0)=0,"",INDEX('كشف الحساب'!$D$4:$D$353,IFERROR(MATCH(247,'كشف الحساب'!$N$4:$N$353,0),0))),"")</f>
        <v/>
      </c>
      <c r="E251" s="67" t="str">
        <f>IFERROR(IF(IFERROR(MATCH(247,'كشف الحساب'!$N$4:$N$353,0),0)=0,"",INDEX('كشف الحساب'!$E$4:$E$353,IFERROR(MATCH(247,'كشف الحساب'!$N$4:$N$353,0),0))),"")</f>
        <v/>
      </c>
      <c r="F251" s="64" t="str">
        <f>IFERROR(IF(IFERROR(MATCH(247,'كشف الحساب'!$N$4:$N$353,0),0)=0,"",INDEX('كشف الحساب'!$F$4:$F$353,IFERROR(MATCH(247,'كشف الحساب'!$N$4:$N$353,0),0))),"")</f>
        <v/>
      </c>
      <c r="G251" s="64" t="str">
        <f>IFERROR(IF(IFERROR(MATCH(247,'كشف الحساب'!$N$4:$N$353,0),0)=0,"",INDEX('كشف الحساب'!$G$4:$G$353,IFERROR(MATCH(247,'كشف الحساب'!$N$4:$N$353,0),0))),"")</f>
        <v/>
      </c>
      <c r="H251" s="64" t="str">
        <f>IFERROR(IF(IFERROR(MATCH(247,'كشف الحساب'!$N$4:$N$353,0),0)=0,"",INDEX('كشف الحساب'!$H$4:$H$353,IFERROR(MATCH(247,'كشف الحساب'!$N$4:$N$353,0),0))),"")</f>
        <v/>
      </c>
      <c r="I251" s="64" t="str">
        <f>IFERROR(IF(IFERROR(MATCH(247,'كشف الحساب'!$N$4:$N$353,0),0)=0,"",INDEX('كشف الحساب'!$I$4:$I$353,IFERROR(MATCH(247,'كشف الحساب'!$N$4:$N$353,0),0))),"")</f>
        <v/>
      </c>
      <c r="J251" s="68" t="str">
        <f>IFERROR(IF(IFERROR(MATCH(247,'كشف الحساب'!$N$4:$N$353,0),0)=0,"",INDEX('كشف الحساب'!$J$4:$J$353,IFERROR(MATCH(247,'كشف الحساب'!$N$4:$N$353,0),0))),"")</f>
        <v/>
      </c>
      <c r="K251" s="64" t="str">
        <f>IFERROR(IF(IFERROR(MATCH(247,'كشف الحساب'!$N$4:$N$353,0),0)=0,"",INDEX('كشف الحساب'!$K$4:$K$353,IFERROR(MATCH(247,'كشف الحساب'!$N$4:$N$353,0),0))),"")</f>
        <v/>
      </c>
    </row>
    <row r="252" spans="1:11" ht="15" customHeight="1" x14ac:dyDescent="0.25">
      <c r="A252" s="69" t="str">
        <f>IFERROR(IF(IFERROR(MATCH(248,'كشف الحساب'!$N$4:$N$353,0),0)=0,"",INDEX('كشف الحساب'!$A$4:$A$353,IFERROR(MATCH(248,'كشف الحساب'!$N$4:$N$353,0),0))),"")</f>
        <v/>
      </c>
      <c r="B252" s="70" t="str">
        <f>IFERROR(IF(IFERROR(MATCH(248,'كشف الحساب'!$N$4:$N$353,0),0)=0,"",INDEX('كشف الحساب'!$B$4:$B$353,IFERROR(MATCH(248,'كشف الحساب'!$N$4:$N$353,0),0))),"")</f>
        <v/>
      </c>
      <c r="C252" s="71" t="str">
        <f>IFERROR(IF(IFERROR(MATCH(248,'كشف الحساب'!$N$4:$N$353,0),0)=0,"",INDEX('كشف الحساب'!$C$4:$C$353,IFERROR(MATCH(248,'كشف الحساب'!$N$4:$N$353,0),0))),"")</f>
        <v/>
      </c>
      <c r="D252" s="72" t="str">
        <f>IFERROR(IF(IFERROR(MATCH(248,'كشف الحساب'!$N$4:$N$353,0),0)=0,"",INDEX('كشف الحساب'!$D$4:$D$353,IFERROR(MATCH(248,'كشف الحساب'!$N$4:$N$353,0),0))),"")</f>
        <v/>
      </c>
      <c r="E252" s="73" t="str">
        <f>IFERROR(IF(IFERROR(MATCH(248,'كشف الحساب'!$N$4:$N$353,0),0)=0,"",INDEX('كشف الحساب'!$E$4:$E$353,IFERROR(MATCH(248,'كشف الحساب'!$N$4:$N$353,0),0))),"")</f>
        <v/>
      </c>
      <c r="F252" s="70" t="str">
        <f>IFERROR(IF(IFERROR(MATCH(248,'كشف الحساب'!$N$4:$N$353,0),0)=0,"",INDEX('كشف الحساب'!$F$4:$F$353,IFERROR(MATCH(248,'كشف الحساب'!$N$4:$N$353,0),0))),"")</f>
        <v/>
      </c>
      <c r="G252" s="70" t="str">
        <f>IFERROR(IF(IFERROR(MATCH(248,'كشف الحساب'!$N$4:$N$353,0),0)=0,"",INDEX('كشف الحساب'!$G$4:$G$353,IFERROR(MATCH(248,'كشف الحساب'!$N$4:$N$353,0),0))),"")</f>
        <v/>
      </c>
      <c r="H252" s="70" t="str">
        <f>IFERROR(IF(IFERROR(MATCH(248,'كشف الحساب'!$N$4:$N$353,0),0)=0,"",INDEX('كشف الحساب'!$H$4:$H$353,IFERROR(MATCH(248,'كشف الحساب'!$N$4:$N$353,0),0))),"")</f>
        <v/>
      </c>
      <c r="I252" s="70" t="str">
        <f>IFERROR(IF(IFERROR(MATCH(248,'كشف الحساب'!$N$4:$N$353,0),0)=0,"",INDEX('كشف الحساب'!$I$4:$I$353,IFERROR(MATCH(248,'كشف الحساب'!$N$4:$N$353,0),0))),"")</f>
        <v/>
      </c>
      <c r="J252" s="74" t="str">
        <f>IFERROR(IF(IFERROR(MATCH(248,'كشف الحساب'!$N$4:$N$353,0),0)=0,"",INDEX('كشف الحساب'!$J$4:$J$353,IFERROR(MATCH(248,'كشف الحساب'!$N$4:$N$353,0),0))),"")</f>
        <v/>
      </c>
      <c r="K252" s="70" t="str">
        <f>IFERROR(IF(IFERROR(MATCH(248,'كشف الحساب'!$N$4:$N$353,0),0)=0,"",INDEX('كشف الحساب'!$K$4:$K$353,IFERROR(MATCH(248,'كشف الحساب'!$N$4:$N$353,0),0))),"")</f>
        <v/>
      </c>
    </row>
    <row r="253" spans="1:11" ht="15" customHeight="1" x14ac:dyDescent="0.25">
      <c r="A253" s="63" t="str">
        <f>IFERROR(IF(IFERROR(MATCH(249,'كشف الحساب'!$N$4:$N$353,0),0)=0,"",INDEX('كشف الحساب'!$A$4:$A$353,IFERROR(MATCH(249,'كشف الحساب'!$N$4:$N$353,0),0))),"")</f>
        <v/>
      </c>
      <c r="B253" s="64" t="str">
        <f>IFERROR(IF(IFERROR(MATCH(249,'كشف الحساب'!$N$4:$N$353,0),0)=0,"",INDEX('كشف الحساب'!$B$4:$B$353,IFERROR(MATCH(249,'كشف الحساب'!$N$4:$N$353,0),0))),"")</f>
        <v/>
      </c>
      <c r="C253" s="65" t="str">
        <f>IFERROR(IF(IFERROR(MATCH(249,'كشف الحساب'!$N$4:$N$353,0),0)=0,"",INDEX('كشف الحساب'!$C$4:$C$353,IFERROR(MATCH(249,'كشف الحساب'!$N$4:$N$353,0),0))),"")</f>
        <v/>
      </c>
      <c r="D253" s="66" t="str">
        <f>IFERROR(IF(IFERROR(MATCH(249,'كشف الحساب'!$N$4:$N$353,0),0)=0,"",INDEX('كشف الحساب'!$D$4:$D$353,IFERROR(MATCH(249,'كشف الحساب'!$N$4:$N$353,0),0))),"")</f>
        <v/>
      </c>
      <c r="E253" s="67" t="str">
        <f>IFERROR(IF(IFERROR(MATCH(249,'كشف الحساب'!$N$4:$N$353,0),0)=0,"",INDEX('كشف الحساب'!$E$4:$E$353,IFERROR(MATCH(249,'كشف الحساب'!$N$4:$N$353,0),0))),"")</f>
        <v/>
      </c>
      <c r="F253" s="64" t="str">
        <f>IFERROR(IF(IFERROR(MATCH(249,'كشف الحساب'!$N$4:$N$353,0),0)=0,"",INDEX('كشف الحساب'!$F$4:$F$353,IFERROR(MATCH(249,'كشف الحساب'!$N$4:$N$353,0),0))),"")</f>
        <v/>
      </c>
      <c r="G253" s="64" t="str">
        <f>IFERROR(IF(IFERROR(MATCH(249,'كشف الحساب'!$N$4:$N$353,0),0)=0,"",INDEX('كشف الحساب'!$G$4:$G$353,IFERROR(MATCH(249,'كشف الحساب'!$N$4:$N$353,0),0))),"")</f>
        <v/>
      </c>
      <c r="H253" s="64" t="str">
        <f>IFERROR(IF(IFERROR(MATCH(249,'كشف الحساب'!$N$4:$N$353,0),0)=0,"",INDEX('كشف الحساب'!$H$4:$H$353,IFERROR(MATCH(249,'كشف الحساب'!$N$4:$N$353,0),0))),"")</f>
        <v/>
      </c>
      <c r="I253" s="64" t="str">
        <f>IFERROR(IF(IFERROR(MATCH(249,'كشف الحساب'!$N$4:$N$353,0),0)=0,"",INDEX('كشف الحساب'!$I$4:$I$353,IFERROR(MATCH(249,'كشف الحساب'!$N$4:$N$353,0),0))),"")</f>
        <v/>
      </c>
      <c r="J253" s="68" t="str">
        <f>IFERROR(IF(IFERROR(MATCH(249,'كشف الحساب'!$N$4:$N$353,0),0)=0,"",INDEX('كشف الحساب'!$J$4:$J$353,IFERROR(MATCH(249,'كشف الحساب'!$N$4:$N$353,0),0))),"")</f>
        <v/>
      </c>
      <c r="K253" s="64" t="str">
        <f>IFERROR(IF(IFERROR(MATCH(249,'كشف الحساب'!$N$4:$N$353,0),0)=0,"",INDEX('كشف الحساب'!$K$4:$K$353,IFERROR(MATCH(249,'كشف الحساب'!$N$4:$N$353,0),0))),"")</f>
        <v/>
      </c>
    </row>
    <row r="254" spans="1:11" ht="15" customHeight="1" x14ac:dyDescent="0.25">
      <c r="A254" s="69" t="str">
        <f>IFERROR(IF(IFERROR(MATCH(250,'كشف الحساب'!$N$4:$N$353,0),0)=0,"",INDEX('كشف الحساب'!$A$4:$A$353,IFERROR(MATCH(250,'كشف الحساب'!$N$4:$N$353,0),0))),"")</f>
        <v/>
      </c>
      <c r="B254" s="70" t="str">
        <f>IFERROR(IF(IFERROR(MATCH(250,'كشف الحساب'!$N$4:$N$353,0),0)=0,"",INDEX('كشف الحساب'!$B$4:$B$353,IFERROR(MATCH(250,'كشف الحساب'!$N$4:$N$353,0),0))),"")</f>
        <v/>
      </c>
      <c r="C254" s="71" t="str">
        <f>IFERROR(IF(IFERROR(MATCH(250,'كشف الحساب'!$N$4:$N$353,0),0)=0,"",INDEX('كشف الحساب'!$C$4:$C$353,IFERROR(MATCH(250,'كشف الحساب'!$N$4:$N$353,0),0))),"")</f>
        <v/>
      </c>
      <c r="D254" s="72" t="str">
        <f>IFERROR(IF(IFERROR(MATCH(250,'كشف الحساب'!$N$4:$N$353,0),0)=0,"",INDEX('كشف الحساب'!$D$4:$D$353,IFERROR(MATCH(250,'كشف الحساب'!$N$4:$N$353,0),0))),"")</f>
        <v/>
      </c>
      <c r="E254" s="73" t="str">
        <f>IFERROR(IF(IFERROR(MATCH(250,'كشف الحساب'!$N$4:$N$353,0),0)=0,"",INDEX('كشف الحساب'!$E$4:$E$353,IFERROR(MATCH(250,'كشف الحساب'!$N$4:$N$353,0),0))),"")</f>
        <v/>
      </c>
      <c r="F254" s="70" t="str">
        <f>IFERROR(IF(IFERROR(MATCH(250,'كشف الحساب'!$N$4:$N$353,0),0)=0,"",INDEX('كشف الحساب'!$F$4:$F$353,IFERROR(MATCH(250,'كشف الحساب'!$N$4:$N$353,0),0))),"")</f>
        <v/>
      </c>
      <c r="G254" s="70" t="str">
        <f>IFERROR(IF(IFERROR(MATCH(250,'كشف الحساب'!$N$4:$N$353,0),0)=0,"",INDEX('كشف الحساب'!$G$4:$G$353,IFERROR(MATCH(250,'كشف الحساب'!$N$4:$N$353,0),0))),"")</f>
        <v/>
      </c>
      <c r="H254" s="70" t="str">
        <f>IFERROR(IF(IFERROR(MATCH(250,'كشف الحساب'!$N$4:$N$353,0),0)=0,"",INDEX('كشف الحساب'!$H$4:$H$353,IFERROR(MATCH(250,'كشف الحساب'!$N$4:$N$353,0),0))),"")</f>
        <v/>
      </c>
      <c r="I254" s="70" t="str">
        <f>IFERROR(IF(IFERROR(MATCH(250,'كشف الحساب'!$N$4:$N$353,0),0)=0,"",INDEX('كشف الحساب'!$I$4:$I$353,IFERROR(MATCH(250,'كشف الحساب'!$N$4:$N$353,0),0))),"")</f>
        <v/>
      </c>
      <c r="J254" s="74" t="str">
        <f>IFERROR(IF(IFERROR(MATCH(250,'كشف الحساب'!$N$4:$N$353,0),0)=0,"",INDEX('كشف الحساب'!$J$4:$J$353,IFERROR(MATCH(250,'كشف الحساب'!$N$4:$N$353,0),0))),"")</f>
        <v/>
      </c>
      <c r="K254" s="70" t="str">
        <f>IFERROR(IF(IFERROR(MATCH(250,'كشف الحساب'!$N$4:$N$353,0),0)=0,"",INDEX('كشف الحساب'!$K$4:$K$353,IFERROR(MATCH(250,'كشف الحساب'!$N$4:$N$353,0),0))),"")</f>
        <v/>
      </c>
    </row>
    <row r="255" spans="1:11" ht="15" customHeight="1" x14ac:dyDescent="0.25">
      <c r="A255" s="63" t="str">
        <f>IFERROR(IF(IFERROR(MATCH(251,'كشف الحساب'!$N$4:$N$353,0),0)=0,"",INDEX('كشف الحساب'!$A$4:$A$353,IFERROR(MATCH(251,'كشف الحساب'!$N$4:$N$353,0),0))),"")</f>
        <v/>
      </c>
      <c r="B255" s="64" t="str">
        <f>IFERROR(IF(IFERROR(MATCH(251,'كشف الحساب'!$N$4:$N$353,0),0)=0,"",INDEX('كشف الحساب'!$B$4:$B$353,IFERROR(MATCH(251,'كشف الحساب'!$N$4:$N$353,0),0))),"")</f>
        <v/>
      </c>
      <c r="C255" s="65" t="str">
        <f>IFERROR(IF(IFERROR(MATCH(251,'كشف الحساب'!$N$4:$N$353,0),0)=0,"",INDEX('كشف الحساب'!$C$4:$C$353,IFERROR(MATCH(251,'كشف الحساب'!$N$4:$N$353,0),0))),"")</f>
        <v/>
      </c>
      <c r="D255" s="66" t="str">
        <f>IFERROR(IF(IFERROR(MATCH(251,'كشف الحساب'!$N$4:$N$353,0),0)=0,"",INDEX('كشف الحساب'!$D$4:$D$353,IFERROR(MATCH(251,'كشف الحساب'!$N$4:$N$353,0),0))),"")</f>
        <v/>
      </c>
      <c r="E255" s="67" t="str">
        <f>IFERROR(IF(IFERROR(MATCH(251,'كشف الحساب'!$N$4:$N$353,0),0)=0,"",INDEX('كشف الحساب'!$E$4:$E$353,IFERROR(MATCH(251,'كشف الحساب'!$N$4:$N$353,0),0))),"")</f>
        <v/>
      </c>
      <c r="F255" s="64" t="str">
        <f>IFERROR(IF(IFERROR(MATCH(251,'كشف الحساب'!$N$4:$N$353,0),0)=0,"",INDEX('كشف الحساب'!$F$4:$F$353,IFERROR(MATCH(251,'كشف الحساب'!$N$4:$N$353,0),0))),"")</f>
        <v/>
      </c>
      <c r="G255" s="64" t="str">
        <f>IFERROR(IF(IFERROR(MATCH(251,'كشف الحساب'!$N$4:$N$353,0),0)=0,"",INDEX('كشف الحساب'!$G$4:$G$353,IFERROR(MATCH(251,'كشف الحساب'!$N$4:$N$353,0),0))),"")</f>
        <v/>
      </c>
      <c r="H255" s="64" t="str">
        <f>IFERROR(IF(IFERROR(MATCH(251,'كشف الحساب'!$N$4:$N$353,0),0)=0,"",INDEX('كشف الحساب'!$H$4:$H$353,IFERROR(MATCH(251,'كشف الحساب'!$N$4:$N$353,0),0))),"")</f>
        <v/>
      </c>
      <c r="I255" s="64" t="str">
        <f>IFERROR(IF(IFERROR(MATCH(251,'كشف الحساب'!$N$4:$N$353,0),0)=0,"",INDEX('كشف الحساب'!$I$4:$I$353,IFERROR(MATCH(251,'كشف الحساب'!$N$4:$N$353,0),0))),"")</f>
        <v/>
      </c>
      <c r="J255" s="68" t="str">
        <f>IFERROR(IF(IFERROR(MATCH(251,'كشف الحساب'!$N$4:$N$353,0),0)=0,"",INDEX('كشف الحساب'!$J$4:$J$353,IFERROR(MATCH(251,'كشف الحساب'!$N$4:$N$353,0),0))),"")</f>
        <v/>
      </c>
      <c r="K255" s="64" t="str">
        <f>IFERROR(IF(IFERROR(MATCH(251,'كشف الحساب'!$N$4:$N$353,0),0)=0,"",INDEX('كشف الحساب'!$K$4:$K$353,IFERROR(MATCH(251,'كشف الحساب'!$N$4:$N$353,0),0))),"")</f>
        <v/>
      </c>
    </row>
    <row r="256" spans="1:11" ht="15" customHeight="1" x14ac:dyDescent="0.25">
      <c r="A256" s="69" t="str">
        <f>IFERROR(IF(IFERROR(MATCH(252,'كشف الحساب'!$N$4:$N$353,0),0)=0,"",INDEX('كشف الحساب'!$A$4:$A$353,IFERROR(MATCH(252,'كشف الحساب'!$N$4:$N$353,0),0))),"")</f>
        <v/>
      </c>
      <c r="B256" s="70" t="str">
        <f>IFERROR(IF(IFERROR(MATCH(252,'كشف الحساب'!$N$4:$N$353,0),0)=0,"",INDEX('كشف الحساب'!$B$4:$B$353,IFERROR(MATCH(252,'كشف الحساب'!$N$4:$N$353,0),0))),"")</f>
        <v/>
      </c>
      <c r="C256" s="71" t="str">
        <f>IFERROR(IF(IFERROR(MATCH(252,'كشف الحساب'!$N$4:$N$353,0),0)=0,"",INDEX('كشف الحساب'!$C$4:$C$353,IFERROR(MATCH(252,'كشف الحساب'!$N$4:$N$353,0),0))),"")</f>
        <v/>
      </c>
      <c r="D256" s="72" t="str">
        <f>IFERROR(IF(IFERROR(MATCH(252,'كشف الحساب'!$N$4:$N$353,0),0)=0,"",INDEX('كشف الحساب'!$D$4:$D$353,IFERROR(MATCH(252,'كشف الحساب'!$N$4:$N$353,0),0))),"")</f>
        <v/>
      </c>
      <c r="E256" s="73" t="str">
        <f>IFERROR(IF(IFERROR(MATCH(252,'كشف الحساب'!$N$4:$N$353,0),0)=0,"",INDEX('كشف الحساب'!$E$4:$E$353,IFERROR(MATCH(252,'كشف الحساب'!$N$4:$N$353,0),0))),"")</f>
        <v/>
      </c>
      <c r="F256" s="70" t="str">
        <f>IFERROR(IF(IFERROR(MATCH(252,'كشف الحساب'!$N$4:$N$353,0),0)=0,"",INDEX('كشف الحساب'!$F$4:$F$353,IFERROR(MATCH(252,'كشف الحساب'!$N$4:$N$353,0),0))),"")</f>
        <v/>
      </c>
      <c r="G256" s="70" t="str">
        <f>IFERROR(IF(IFERROR(MATCH(252,'كشف الحساب'!$N$4:$N$353,0),0)=0,"",INDEX('كشف الحساب'!$G$4:$G$353,IFERROR(MATCH(252,'كشف الحساب'!$N$4:$N$353,0),0))),"")</f>
        <v/>
      </c>
      <c r="H256" s="70" t="str">
        <f>IFERROR(IF(IFERROR(MATCH(252,'كشف الحساب'!$N$4:$N$353,0),0)=0,"",INDEX('كشف الحساب'!$H$4:$H$353,IFERROR(MATCH(252,'كشف الحساب'!$N$4:$N$353,0),0))),"")</f>
        <v/>
      </c>
      <c r="I256" s="70" t="str">
        <f>IFERROR(IF(IFERROR(MATCH(252,'كشف الحساب'!$N$4:$N$353,0),0)=0,"",INDEX('كشف الحساب'!$I$4:$I$353,IFERROR(MATCH(252,'كشف الحساب'!$N$4:$N$353,0),0))),"")</f>
        <v/>
      </c>
      <c r="J256" s="74" t="str">
        <f>IFERROR(IF(IFERROR(MATCH(252,'كشف الحساب'!$N$4:$N$353,0),0)=0,"",INDEX('كشف الحساب'!$J$4:$J$353,IFERROR(MATCH(252,'كشف الحساب'!$N$4:$N$353,0),0))),"")</f>
        <v/>
      </c>
      <c r="K256" s="70" t="str">
        <f>IFERROR(IF(IFERROR(MATCH(252,'كشف الحساب'!$N$4:$N$353,0),0)=0,"",INDEX('كشف الحساب'!$K$4:$K$353,IFERROR(MATCH(252,'كشف الحساب'!$N$4:$N$353,0),0))),"")</f>
        <v/>
      </c>
    </row>
    <row r="257" spans="1:11" ht="15" customHeight="1" x14ac:dyDescent="0.25">
      <c r="A257" s="63" t="str">
        <f>IFERROR(IF(IFERROR(MATCH(253,'كشف الحساب'!$N$4:$N$353,0),0)=0,"",INDEX('كشف الحساب'!$A$4:$A$353,IFERROR(MATCH(253,'كشف الحساب'!$N$4:$N$353,0),0))),"")</f>
        <v/>
      </c>
      <c r="B257" s="64" t="str">
        <f>IFERROR(IF(IFERROR(MATCH(253,'كشف الحساب'!$N$4:$N$353,0),0)=0,"",INDEX('كشف الحساب'!$B$4:$B$353,IFERROR(MATCH(253,'كشف الحساب'!$N$4:$N$353,0),0))),"")</f>
        <v/>
      </c>
      <c r="C257" s="65" t="str">
        <f>IFERROR(IF(IFERROR(MATCH(253,'كشف الحساب'!$N$4:$N$353,0),0)=0,"",INDEX('كشف الحساب'!$C$4:$C$353,IFERROR(MATCH(253,'كشف الحساب'!$N$4:$N$353,0),0))),"")</f>
        <v/>
      </c>
      <c r="D257" s="66" t="str">
        <f>IFERROR(IF(IFERROR(MATCH(253,'كشف الحساب'!$N$4:$N$353,0),0)=0,"",INDEX('كشف الحساب'!$D$4:$D$353,IFERROR(MATCH(253,'كشف الحساب'!$N$4:$N$353,0),0))),"")</f>
        <v/>
      </c>
      <c r="E257" s="67" t="str">
        <f>IFERROR(IF(IFERROR(MATCH(253,'كشف الحساب'!$N$4:$N$353,0),0)=0,"",INDEX('كشف الحساب'!$E$4:$E$353,IFERROR(MATCH(253,'كشف الحساب'!$N$4:$N$353,0),0))),"")</f>
        <v/>
      </c>
      <c r="F257" s="64" t="str">
        <f>IFERROR(IF(IFERROR(MATCH(253,'كشف الحساب'!$N$4:$N$353,0),0)=0,"",INDEX('كشف الحساب'!$F$4:$F$353,IFERROR(MATCH(253,'كشف الحساب'!$N$4:$N$353,0),0))),"")</f>
        <v/>
      </c>
      <c r="G257" s="64" t="str">
        <f>IFERROR(IF(IFERROR(MATCH(253,'كشف الحساب'!$N$4:$N$353,0),0)=0,"",INDEX('كشف الحساب'!$G$4:$G$353,IFERROR(MATCH(253,'كشف الحساب'!$N$4:$N$353,0),0))),"")</f>
        <v/>
      </c>
      <c r="H257" s="64" t="str">
        <f>IFERROR(IF(IFERROR(MATCH(253,'كشف الحساب'!$N$4:$N$353,0),0)=0,"",INDEX('كشف الحساب'!$H$4:$H$353,IFERROR(MATCH(253,'كشف الحساب'!$N$4:$N$353,0),0))),"")</f>
        <v/>
      </c>
      <c r="I257" s="64" t="str">
        <f>IFERROR(IF(IFERROR(MATCH(253,'كشف الحساب'!$N$4:$N$353,0),0)=0,"",INDEX('كشف الحساب'!$I$4:$I$353,IFERROR(MATCH(253,'كشف الحساب'!$N$4:$N$353,0),0))),"")</f>
        <v/>
      </c>
      <c r="J257" s="68" t="str">
        <f>IFERROR(IF(IFERROR(MATCH(253,'كشف الحساب'!$N$4:$N$353,0),0)=0,"",INDEX('كشف الحساب'!$J$4:$J$353,IFERROR(MATCH(253,'كشف الحساب'!$N$4:$N$353,0),0))),"")</f>
        <v/>
      </c>
      <c r="K257" s="64" t="str">
        <f>IFERROR(IF(IFERROR(MATCH(253,'كشف الحساب'!$N$4:$N$353,0),0)=0,"",INDEX('كشف الحساب'!$K$4:$K$353,IFERROR(MATCH(253,'كشف الحساب'!$N$4:$N$353,0),0))),"")</f>
        <v/>
      </c>
    </row>
    <row r="258" spans="1:11" ht="15" customHeight="1" x14ac:dyDescent="0.25">
      <c r="A258" s="69" t="str">
        <f>IFERROR(IF(IFERROR(MATCH(254,'كشف الحساب'!$N$4:$N$353,0),0)=0,"",INDEX('كشف الحساب'!$A$4:$A$353,IFERROR(MATCH(254,'كشف الحساب'!$N$4:$N$353,0),0))),"")</f>
        <v/>
      </c>
      <c r="B258" s="70" t="str">
        <f>IFERROR(IF(IFERROR(MATCH(254,'كشف الحساب'!$N$4:$N$353,0),0)=0,"",INDEX('كشف الحساب'!$B$4:$B$353,IFERROR(MATCH(254,'كشف الحساب'!$N$4:$N$353,0),0))),"")</f>
        <v/>
      </c>
      <c r="C258" s="71" t="str">
        <f>IFERROR(IF(IFERROR(MATCH(254,'كشف الحساب'!$N$4:$N$353,0),0)=0,"",INDEX('كشف الحساب'!$C$4:$C$353,IFERROR(MATCH(254,'كشف الحساب'!$N$4:$N$353,0),0))),"")</f>
        <v/>
      </c>
      <c r="D258" s="72" t="str">
        <f>IFERROR(IF(IFERROR(MATCH(254,'كشف الحساب'!$N$4:$N$353,0),0)=0,"",INDEX('كشف الحساب'!$D$4:$D$353,IFERROR(MATCH(254,'كشف الحساب'!$N$4:$N$353,0),0))),"")</f>
        <v/>
      </c>
      <c r="E258" s="73" t="str">
        <f>IFERROR(IF(IFERROR(MATCH(254,'كشف الحساب'!$N$4:$N$353,0),0)=0,"",INDEX('كشف الحساب'!$E$4:$E$353,IFERROR(MATCH(254,'كشف الحساب'!$N$4:$N$353,0),0))),"")</f>
        <v/>
      </c>
      <c r="F258" s="70" t="str">
        <f>IFERROR(IF(IFERROR(MATCH(254,'كشف الحساب'!$N$4:$N$353,0),0)=0,"",INDEX('كشف الحساب'!$F$4:$F$353,IFERROR(MATCH(254,'كشف الحساب'!$N$4:$N$353,0),0))),"")</f>
        <v/>
      </c>
      <c r="G258" s="70" t="str">
        <f>IFERROR(IF(IFERROR(MATCH(254,'كشف الحساب'!$N$4:$N$353,0),0)=0,"",INDEX('كشف الحساب'!$G$4:$G$353,IFERROR(MATCH(254,'كشف الحساب'!$N$4:$N$353,0),0))),"")</f>
        <v/>
      </c>
      <c r="H258" s="70" t="str">
        <f>IFERROR(IF(IFERROR(MATCH(254,'كشف الحساب'!$N$4:$N$353,0),0)=0,"",INDEX('كشف الحساب'!$H$4:$H$353,IFERROR(MATCH(254,'كشف الحساب'!$N$4:$N$353,0),0))),"")</f>
        <v/>
      </c>
      <c r="I258" s="70" t="str">
        <f>IFERROR(IF(IFERROR(MATCH(254,'كشف الحساب'!$N$4:$N$353,0),0)=0,"",INDEX('كشف الحساب'!$I$4:$I$353,IFERROR(MATCH(254,'كشف الحساب'!$N$4:$N$353,0),0))),"")</f>
        <v/>
      </c>
      <c r="J258" s="74" t="str">
        <f>IFERROR(IF(IFERROR(MATCH(254,'كشف الحساب'!$N$4:$N$353,0),0)=0,"",INDEX('كشف الحساب'!$J$4:$J$353,IFERROR(MATCH(254,'كشف الحساب'!$N$4:$N$353,0),0))),"")</f>
        <v/>
      </c>
      <c r="K258" s="70" t="str">
        <f>IFERROR(IF(IFERROR(MATCH(254,'كشف الحساب'!$N$4:$N$353,0),0)=0,"",INDEX('كشف الحساب'!$K$4:$K$353,IFERROR(MATCH(254,'كشف الحساب'!$N$4:$N$353,0),0))),"")</f>
        <v/>
      </c>
    </row>
    <row r="259" spans="1:11" ht="15" customHeight="1" x14ac:dyDescent="0.25">
      <c r="A259" s="63" t="str">
        <f>IFERROR(IF(IFERROR(MATCH(255,'كشف الحساب'!$N$4:$N$353,0),0)=0,"",INDEX('كشف الحساب'!$A$4:$A$353,IFERROR(MATCH(255,'كشف الحساب'!$N$4:$N$353,0),0))),"")</f>
        <v/>
      </c>
      <c r="B259" s="64" t="str">
        <f>IFERROR(IF(IFERROR(MATCH(255,'كشف الحساب'!$N$4:$N$353,0),0)=0,"",INDEX('كشف الحساب'!$B$4:$B$353,IFERROR(MATCH(255,'كشف الحساب'!$N$4:$N$353,0),0))),"")</f>
        <v/>
      </c>
      <c r="C259" s="65" t="str">
        <f>IFERROR(IF(IFERROR(MATCH(255,'كشف الحساب'!$N$4:$N$353,0),0)=0,"",INDEX('كشف الحساب'!$C$4:$C$353,IFERROR(MATCH(255,'كشف الحساب'!$N$4:$N$353,0),0))),"")</f>
        <v/>
      </c>
      <c r="D259" s="66" t="str">
        <f>IFERROR(IF(IFERROR(MATCH(255,'كشف الحساب'!$N$4:$N$353,0),0)=0,"",INDEX('كشف الحساب'!$D$4:$D$353,IFERROR(MATCH(255,'كشف الحساب'!$N$4:$N$353,0),0))),"")</f>
        <v/>
      </c>
      <c r="E259" s="67" t="str">
        <f>IFERROR(IF(IFERROR(MATCH(255,'كشف الحساب'!$N$4:$N$353,0),0)=0,"",INDEX('كشف الحساب'!$E$4:$E$353,IFERROR(MATCH(255,'كشف الحساب'!$N$4:$N$353,0),0))),"")</f>
        <v/>
      </c>
      <c r="F259" s="64" t="str">
        <f>IFERROR(IF(IFERROR(MATCH(255,'كشف الحساب'!$N$4:$N$353,0),0)=0,"",INDEX('كشف الحساب'!$F$4:$F$353,IFERROR(MATCH(255,'كشف الحساب'!$N$4:$N$353,0),0))),"")</f>
        <v/>
      </c>
      <c r="G259" s="64" t="str">
        <f>IFERROR(IF(IFERROR(MATCH(255,'كشف الحساب'!$N$4:$N$353,0),0)=0,"",INDEX('كشف الحساب'!$G$4:$G$353,IFERROR(MATCH(255,'كشف الحساب'!$N$4:$N$353,0),0))),"")</f>
        <v/>
      </c>
      <c r="H259" s="64" t="str">
        <f>IFERROR(IF(IFERROR(MATCH(255,'كشف الحساب'!$N$4:$N$353,0),0)=0,"",INDEX('كشف الحساب'!$H$4:$H$353,IFERROR(MATCH(255,'كشف الحساب'!$N$4:$N$353,0),0))),"")</f>
        <v/>
      </c>
      <c r="I259" s="64" t="str">
        <f>IFERROR(IF(IFERROR(MATCH(255,'كشف الحساب'!$N$4:$N$353,0),0)=0,"",INDEX('كشف الحساب'!$I$4:$I$353,IFERROR(MATCH(255,'كشف الحساب'!$N$4:$N$353,0),0))),"")</f>
        <v/>
      </c>
      <c r="J259" s="68" t="str">
        <f>IFERROR(IF(IFERROR(MATCH(255,'كشف الحساب'!$N$4:$N$353,0),0)=0,"",INDEX('كشف الحساب'!$J$4:$J$353,IFERROR(MATCH(255,'كشف الحساب'!$N$4:$N$353,0),0))),"")</f>
        <v/>
      </c>
      <c r="K259" s="64" t="str">
        <f>IFERROR(IF(IFERROR(MATCH(255,'كشف الحساب'!$N$4:$N$353,0),0)=0,"",INDEX('كشف الحساب'!$K$4:$K$353,IFERROR(MATCH(255,'كشف الحساب'!$N$4:$N$353,0),0))),"")</f>
        <v/>
      </c>
    </row>
    <row r="260" spans="1:11" ht="15" customHeight="1" x14ac:dyDescent="0.25">
      <c r="A260" s="69" t="str">
        <f>IFERROR(IF(IFERROR(MATCH(256,'كشف الحساب'!$N$4:$N$353,0),0)=0,"",INDEX('كشف الحساب'!$A$4:$A$353,IFERROR(MATCH(256,'كشف الحساب'!$N$4:$N$353,0),0))),"")</f>
        <v/>
      </c>
      <c r="B260" s="70" t="str">
        <f>IFERROR(IF(IFERROR(MATCH(256,'كشف الحساب'!$N$4:$N$353,0),0)=0,"",INDEX('كشف الحساب'!$B$4:$B$353,IFERROR(MATCH(256,'كشف الحساب'!$N$4:$N$353,0),0))),"")</f>
        <v/>
      </c>
      <c r="C260" s="71" t="str">
        <f>IFERROR(IF(IFERROR(MATCH(256,'كشف الحساب'!$N$4:$N$353,0),0)=0,"",INDEX('كشف الحساب'!$C$4:$C$353,IFERROR(MATCH(256,'كشف الحساب'!$N$4:$N$353,0),0))),"")</f>
        <v/>
      </c>
      <c r="D260" s="72" t="str">
        <f>IFERROR(IF(IFERROR(MATCH(256,'كشف الحساب'!$N$4:$N$353,0),0)=0,"",INDEX('كشف الحساب'!$D$4:$D$353,IFERROR(MATCH(256,'كشف الحساب'!$N$4:$N$353,0),0))),"")</f>
        <v/>
      </c>
      <c r="E260" s="73" t="str">
        <f>IFERROR(IF(IFERROR(MATCH(256,'كشف الحساب'!$N$4:$N$353,0),0)=0,"",INDEX('كشف الحساب'!$E$4:$E$353,IFERROR(MATCH(256,'كشف الحساب'!$N$4:$N$353,0),0))),"")</f>
        <v/>
      </c>
      <c r="F260" s="70" t="str">
        <f>IFERROR(IF(IFERROR(MATCH(256,'كشف الحساب'!$N$4:$N$353,0),0)=0,"",INDEX('كشف الحساب'!$F$4:$F$353,IFERROR(MATCH(256,'كشف الحساب'!$N$4:$N$353,0),0))),"")</f>
        <v/>
      </c>
      <c r="G260" s="70" t="str">
        <f>IFERROR(IF(IFERROR(MATCH(256,'كشف الحساب'!$N$4:$N$353,0),0)=0,"",INDEX('كشف الحساب'!$G$4:$G$353,IFERROR(MATCH(256,'كشف الحساب'!$N$4:$N$353,0),0))),"")</f>
        <v/>
      </c>
      <c r="H260" s="70" t="str">
        <f>IFERROR(IF(IFERROR(MATCH(256,'كشف الحساب'!$N$4:$N$353,0),0)=0,"",INDEX('كشف الحساب'!$H$4:$H$353,IFERROR(MATCH(256,'كشف الحساب'!$N$4:$N$353,0),0))),"")</f>
        <v/>
      </c>
      <c r="I260" s="70" t="str">
        <f>IFERROR(IF(IFERROR(MATCH(256,'كشف الحساب'!$N$4:$N$353,0),0)=0,"",INDEX('كشف الحساب'!$I$4:$I$353,IFERROR(MATCH(256,'كشف الحساب'!$N$4:$N$353,0),0))),"")</f>
        <v/>
      </c>
      <c r="J260" s="74" t="str">
        <f>IFERROR(IF(IFERROR(MATCH(256,'كشف الحساب'!$N$4:$N$353,0),0)=0,"",INDEX('كشف الحساب'!$J$4:$J$353,IFERROR(MATCH(256,'كشف الحساب'!$N$4:$N$353,0),0))),"")</f>
        <v/>
      </c>
      <c r="K260" s="70" t="str">
        <f>IFERROR(IF(IFERROR(MATCH(256,'كشف الحساب'!$N$4:$N$353,0),0)=0,"",INDEX('كشف الحساب'!$K$4:$K$353,IFERROR(MATCH(256,'كشف الحساب'!$N$4:$N$353,0),0))),"")</f>
        <v/>
      </c>
    </row>
    <row r="261" spans="1:11" ht="15" customHeight="1" x14ac:dyDescent="0.25">
      <c r="A261" s="63" t="str">
        <f>IFERROR(IF(IFERROR(MATCH(257,'كشف الحساب'!$N$4:$N$353,0),0)=0,"",INDEX('كشف الحساب'!$A$4:$A$353,IFERROR(MATCH(257,'كشف الحساب'!$N$4:$N$353,0),0))),"")</f>
        <v/>
      </c>
      <c r="B261" s="64" t="str">
        <f>IFERROR(IF(IFERROR(MATCH(257,'كشف الحساب'!$N$4:$N$353,0),0)=0,"",INDEX('كشف الحساب'!$B$4:$B$353,IFERROR(MATCH(257,'كشف الحساب'!$N$4:$N$353,0),0))),"")</f>
        <v/>
      </c>
      <c r="C261" s="65" t="str">
        <f>IFERROR(IF(IFERROR(MATCH(257,'كشف الحساب'!$N$4:$N$353,0),0)=0,"",INDEX('كشف الحساب'!$C$4:$C$353,IFERROR(MATCH(257,'كشف الحساب'!$N$4:$N$353,0),0))),"")</f>
        <v/>
      </c>
      <c r="D261" s="66" t="str">
        <f>IFERROR(IF(IFERROR(MATCH(257,'كشف الحساب'!$N$4:$N$353,0),0)=0,"",INDEX('كشف الحساب'!$D$4:$D$353,IFERROR(MATCH(257,'كشف الحساب'!$N$4:$N$353,0),0))),"")</f>
        <v/>
      </c>
      <c r="E261" s="67" t="str">
        <f>IFERROR(IF(IFERROR(MATCH(257,'كشف الحساب'!$N$4:$N$353,0),0)=0,"",INDEX('كشف الحساب'!$E$4:$E$353,IFERROR(MATCH(257,'كشف الحساب'!$N$4:$N$353,0),0))),"")</f>
        <v/>
      </c>
      <c r="F261" s="64" t="str">
        <f>IFERROR(IF(IFERROR(MATCH(257,'كشف الحساب'!$N$4:$N$353,0),0)=0,"",INDEX('كشف الحساب'!$F$4:$F$353,IFERROR(MATCH(257,'كشف الحساب'!$N$4:$N$353,0),0))),"")</f>
        <v/>
      </c>
      <c r="G261" s="64" t="str">
        <f>IFERROR(IF(IFERROR(MATCH(257,'كشف الحساب'!$N$4:$N$353,0),0)=0,"",INDEX('كشف الحساب'!$G$4:$G$353,IFERROR(MATCH(257,'كشف الحساب'!$N$4:$N$353,0),0))),"")</f>
        <v/>
      </c>
      <c r="H261" s="64" t="str">
        <f>IFERROR(IF(IFERROR(MATCH(257,'كشف الحساب'!$N$4:$N$353,0),0)=0,"",INDEX('كشف الحساب'!$H$4:$H$353,IFERROR(MATCH(257,'كشف الحساب'!$N$4:$N$353,0),0))),"")</f>
        <v/>
      </c>
      <c r="I261" s="64" t="str">
        <f>IFERROR(IF(IFERROR(MATCH(257,'كشف الحساب'!$N$4:$N$353,0),0)=0,"",INDEX('كشف الحساب'!$I$4:$I$353,IFERROR(MATCH(257,'كشف الحساب'!$N$4:$N$353,0),0))),"")</f>
        <v/>
      </c>
      <c r="J261" s="68" t="str">
        <f>IFERROR(IF(IFERROR(MATCH(257,'كشف الحساب'!$N$4:$N$353,0),0)=0,"",INDEX('كشف الحساب'!$J$4:$J$353,IFERROR(MATCH(257,'كشف الحساب'!$N$4:$N$353,0),0))),"")</f>
        <v/>
      </c>
      <c r="K261" s="64" t="str">
        <f>IFERROR(IF(IFERROR(MATCH(257,'كشف الحساب'!$N$4:$N$353,0),0)=0,"",INDEX('كشف الحساب'!$K$4:$K$353,IFERROR(MATCH(257,'كشف الحساب'!$N$4:$N$353,0),0))),"")</f>
        <v/>
      </c>
    </row>
    <row r="262" spans="1:11" ht="15" customHeight="1" x14ac:dyDescent="0.25">
      <c r="A262" s="69" t="str">
        <f>IFERROR(IF(IFERROR(MATCH(258,'كشف الحساب'!$N$4:$N$353,0),0)=0,"",INDEX('كشف الحساب'!$A$4:$A$353,IFERROR(MATCH(258,'كشف الحساب'!$N$4:$N$353,0),0))),"")</f>
        <v/>
      </c>
      <c r="B262" s="70" t="str">
        <f>IFERROR(IF(IFERROR(MATCH(258,'كشف الحساب'!$N$4:$N$353,0),0)=0,"",INDEX('كشف الحساب'!$B$4:$B$353,IFERROR(MATCH(258,'كشف الحساب'!$N$4:$N$353,0),0))),"")</f>
        <v/>
      </c>
      <c r="C262" s="71" t="str">
        <f>IFERROR(IF(IFERROR(MATCH(258,'كشف الحساب'!$N$4:$N$353,0),0)=0,"",INDEX('كشف الحساب'!$C$4:$C$353,IFERROR(MATCH(258,'كشف الحساب'!$N$4:$N$353,0),0))),"")</f>
        <v/>
      </c>
      <c r="D262" s="72" t="str">
        <f>IFERROR(IF(IFERROR(MATCH(258,'كشف الحساب'!$N$4:$N$353,0),0)=0,"",INDEX('كشف الحساب'!$D$4:$D$353,IFERROR(MATCH(258,'كشف الحساب'!$N$4:$N$353,0),0))),"")</f>
        <v/>
      </c>
      <c r="E262" s="73" t="str">
        <f>IFERROR(IF(IFERROR(MATCH(258,'كشف الحساب'!$N$4:$N$353,0),0)=0,"",INDEX('كشف الحساب'!$E$4:$E$353,IFERROR(MATCH(258,'كشف الحساب'!$N$4:$N$353,0),0))),"")</f>
        <v/>
      </c>
      <c r="F262" s="70" t="str">
        <f>IFERROR(IF(IFERROR(MATCH(258,'كشف الحساب'!$N$4:$N$353,0),0)=0,"",INDEX('كشف الحساب'!$F$4:$F$353,IFERROR(MATCH(258,'كشف الحساب'!$N$4:$N$353,0),0))),"")</f>
        <v/>
      </c>
      <c r="G262" s="70" t="str">
        <f>IFERROR(IF(IFERROR(MATCH(258,'كشف الحساب'!$N$4:$N$353,0),0)=0,"",INDEX('كشف الحساب'!$G$4:$G$353,IFERROR(MATCH(258,'كشف الحساب'!$N$4:$N$353,0),0))),"")</f>
        <v/>
      </c>
      <c r="H262" s="70" t="str">
        <f>IFERROR(IF(IFERROR(MATCH(258,'كشف الحساب'!$N$4:$N$353,0),0)=0,"",INDEX('كشف الحساب'!$H$4:$H$353,IFERROR(MATCH(258,'كشف الحساب'!$N$4:$N$353,0),0))),"")</f>
        <v/>
      </c>
      <c r="I262" s="70" t="str">
        <f>IFERROR(IF(IFERROR(MATCH(258,'كشف الحساب'!$N$4:$N$353,0),0)=0,"",INDEX('كشف الحساب'!$I$4:$I$353,IFERROR(MATCH(258,'كشف الحساب'!$N$4:$N$353,0),0))),"")</f>
        <v/>
      </c>
      <c r="J262" s="74" t="str">
        <f>IFERROR(IF(IFERROR(MATCH(258,'كشف الحساب'!$N$4:$N$353,0),0)=0,"",INDEX('كشف الحساب'!$J$4:$J$353,IFERROR(MATCH(258,'كشف الحساب'!$N$4:$N$353,0),0))),"")</f>
        <v/>
      </c>
      <c r="K262" s="70" t="str">
        <f>IFERROR(IF(IFERROR(MATCH(258,'كشف الحساب'!$N$4:$N$353,0),0)=0,"",INDEX('كشف الحساب'!$K$4:$K$353,IFERROR(MATCH(258,'كشف الحساب'!$N$4:$N$353,0),0))),"")</f>
        <v/>
      </c>
    </row>
    <row r="263" spans="1:11" ht="15" customHeight="1" x14ac:dyDescent="0.25">
      <c r="A263" s="63" t="str">
        <f>IFERROR(IF(IFERROR(MATCH(259,'كشف الحساب'!$N$4:$N$353,0),0)=0,"",INDEX('كشف الحساب'!$A$4:$A$353,IFERROR(MATCH(259,'كشف الحساب'!$N$4:$N$353,0),0))),"")</f>
        <v/>
      </c>
      <c r="B263" s="64" t="str">
        <f>IFERROR(IF(IFERROR(MATCH(259,'كشف الحساب'!$N$4:$N$353,0),0)=0,"",INDEX('كشف الحساب'!$B$4:$B$353,IFERROR(MATCH(259,'كشف الحساب'!$N$4:$N$353,0),0))),"")</f>
        <v/>
      </c>
      <c r="C263" s="65" t="str">
        <f>IFERROR(IF(IFERROR(MATCH(259,'كشف الحساب'!$N$4:$N$353,0),0)=0,"",INDEX('كشف الحساب'!$C$4:$C$353,IFERROR(MATCH(259,'كشف الحساب'!$N$4:$N$353,0),0))),"")</f>
        <v/>
      </c>
      <c r="D263" s="66" t="str">
        <f>IFERROR(IF(IFERROR(MATCH(259,'كشف الحساب'!$N$4:$N$353,0),0)=0,"",INDEX('كشف الحساب'!$D$4:$D$353,IFERROR(MATCH(259,'كشف الحساب'!$N$4:$N$353,0),0))),"")</f>
        <v/>
      </c>
      <c r="E263" s="67" t="str">
        <f>IFERROR(IF(IFERROR(MATCH(259,'كشف الحساب'!$N$4:$N$353,0),0)=0,"",INDEX('كشف الحساب'!$E$4:$E$353,IFERROR(MATCH(259,'كشف الحساب'!$N$4:$N$353,0),0))),"")</f>
        <v/>
      </c>
      <c r="F263" s="64" t="str">
        <f>IFERROR(IF(IFERROR(MATCH(259,'كشف الحساب'!$N$4:$N$353,0),0)=0,"",INDEX('كشف الحساب'!$F$4:$F$353,IFERROR(MATCH(259,'كشف الحساب'!$N$4:$N$353,0),0))),"")</f>
        <v/>
      </c>
      <c r="G263" s="64" t="str">
        <f>IFERROR(IF(IFERROR(MATCH(259,'كشف الحساب'!$N$4:$N$353,0),0)=0,"",INDEX('كشف الحساب'!$G$4:$G$353,IFERROR(MATCH(259,'كشف الحساب'!$N$4:$N$353,0),0))),"")</f>
        <v/>
      </c>
      <c r="H263" s="64" t="str">
        <f>IFERROR(IF(IFERROR(MATCH(259,'كشف الحساب'!$N$4:$N$353,0),0)=0,"",INDEX('كشف الحساب'!$H$4:$H$353,IFERROR(MATCH(259,'كشف الحساب'!$N$4:$N$353,0),0))),"")</f>
        <v/>
      </c>
      <c r="I263" s="64" t="str">
        <f>IFERROR(IF(IFERROR(MATCH(259,'كشف الحساب'!$N$4:$N$353,0),0)=0,"",INDEX('كشف الحساب'!$I$4:$I$353,IFERROR(MATCH(259,'كشف الحساب'!$N$4:$N$353,0),0))),"")</f>
        <v/>
      </c>
      <c r="J263" s="68" t="str">
        <f>IFERROR(IF(IFERROR(MATCH(259,'كشف الحساب'!$N$4:$N$353,0),0)=0,"",INDEX('كشف الحساب'!$J$4:$J$353,IFERROR(MATCH(259,'كشف الحساب'!$N$4:$N$353,0),0))),"")</f>
        <v/>
      </c>
      <c r="K263" s="64" t="str">
        <f>IFERROR(IF(IFERROR(MATCH(259,'كشف الحساب'!$N$4:$N$353,0),0)=0,"",INDEX('كشف الحساب'!$K$4:$K$353,IFERROR(MATCH(259,'كشف الحساب'!$N$4:$N$353,0),0))),"")</f>
        <v/>
      </c>
    </row>
    <row r="264" spans="1:11" ht="15" customHeight="1" x14ac:dyDescent="0.25">
      <c r="A264" s="69" t="str">
        <f>IFERROR(IF(IFERROR(MATCH(260,'كشف الحساب'!$N$4:$N$353,0),0)=0,"",INDEX('كشف الحساب'!$A$4:$A$353,IFERROR(MATCH(260,'كشف الحساب'!$N$4:$N$353,0),0))),"")</f>
        <v/>
      </c>
      <c r="B264" s="70" t="str">
        <f>IFERROR(IF(IFERROR(MATCH(260,'كشف الحساب'!$N$4:$N$353,0),0)=0,"",INDEX('كشف الحساب'!$B$4:$B$353,IFERROR(MATCH(260,'كشف الحساب'!$N$4:$N$353,0),0))),"")</f>
        <v/>
      </c>
      <c r="C264" s="71" t="str">
        <f>IFERROR(IF(IFERROR(MATCH(260,'كشف الحساب'!$N$4:$N$353,0),0)=0,"",INDEX('كشف الحساب'!$C$4:$C$353,IFERROR(MATCH(260,'كشف الحساب'!$N$4:$N$353,0),0))),"")</f>
        <v/>
      </c>
      <c r="D264" s="72" t="str">
        <f>IFERROR(IF(IFERROR(MATCH(260,'كشف الحساب'!$N$4:$N$353,0),0)=0,"",INDEX('كشف الحساب'!$D$4:$D$353,IFERROR(MATCH(260,'كشف الحساب'!$N$4:$N$353,0),0))),"")</f>
        <v/>
      </c>
      <c r="E264" s="73" t="str">
        <f>IFERROR(IF(IFERROR(MATCH(260,'كشف الحساب'!$N$4:$N$353,0),0)=0,"",INDEX('كشف الحساب'!$E$4:$E$353,IFERROR(MATCH(260,'كشف الحساب'!$N$4:$N$353,0),0))),"")</f>
        <v/>
      </c>
      <c r="F264" s="70" t="str">
        <f>IFERROR(IF(IFERROR(MATCH(260,'كشف الحساب'!$N$4:$N$353,0),0)=0,"",INDEX('كشف الحساب'!$F$4:$F$353,IFERROR(MATCH(260,'كشف الحساب'!$N$4:$N$353,0),0))),"")</f>
        <v/>
      </c>
      <c r="G264" s="70" t="str">
        <f>IFERROR(IF(IFERROR(MATCH(260,'كشف الحساب'!$N$4:$N$353,0),0)=0,"",INDEX('كشف الحساب'!$G$4:$G$353,IFERROR(MATCH(260,'كشف الحساب'!$N$4:$N$353,0),0))),"")</f>
        <v/>
      </c>
      <c r="H264" s="70" t="str">
        <f>IFERROR(IF(IFERROR(MATCH(260,'كشف الحساب'!$N$4:$N$353,0),0)=0,"",INDEX('كشف الحساب'!$H$4:$H$353,IFERROR(MATCH(260,'كشف الحساب'!$N$4:$N$353,0),0))),"")</f>
        <v/>
      </c>
      <c r="I264" s="70" t="str">
        <f>IFERROR(IF(IFERROR(MATCH(260,'كشف الحساب'!$N$4:$N$353,0),0)=0,"",INDEX('كشف الحساب'!$I$4:$I$353,IFERROR(MATCH(260,'كشف الحساب'!$N$4:$N$353,0),0))),"")</f>
        <v/>
      </c>
      <c r="J264" s="74" t="str">
        <f>IFERROR(IF(IFERROR(MATCH(260,'كشف الحساب'!$N$4:$N$353,0),0)=0,"",INDEX('كشف الحساب'!$J$4:$J$353,IFERROR(MATCH(260,'كشف الحساب'!$N$4:$N$353,0),0))),"")</f>
        <v/>
      </c>
      <c r="K264" s="70" t="str">
        <f>IFERROR(IF(IFERROR(MATCH(260,'كشف الحساب'!$N$4:$N$353,0),0)=0,"",INDEX('كشف الحساب'!$K$4:$K$353,IFERROR(MATCH(260,'كشف الحساب'!$N$4:$N$353,0),0))),"")</f>
        <v/>
      </c>
    </row>
    <row r="265" spans="1:11" ht="15" customHeight="1" x14ac:dyDescent="0.25">
      <c r="A265" s="63" t="str">
        <f>IFERROR(IF(IFERROR(MATCH(261,'كشف الحساب'!$N$4:$N$353,0),0)=0,"",INDEX('كشف الحساب'!$A$4:$A$353,IFERROR(MATCH(261,'كشف الحساب'!$N$4:$N$353,0),0))),"")</f>
        <v/>
      </c>
      <c r="B265" s="64" t="str">
        <f>IFERROR(IF(IFERROR(MATCH(261,'كشف الحساب'!$N$4:$N$353,0),0)=0,"",INDEX('كشف الحساب'!$B$4:$B$353,IFERROR(MATCH(261,'كشف الحساب'!$N$4:$N$353,0),0))),"")</f>
        <v/>
      </c>
      <c r="C265" s="65" t="str">
        <f>IFERROR(IF(IFERROR(MATCH(261,'كشف الحساب'!$N$4:$N$353,0),0)=0,"",INDEX('كشف الحساب'!$C$4:$C$353,IFERROR(MATCH(261,'كشف الحساب'!$N$4:$N$353,0),0))),"")</f>
        <v/>
      </c>
      <c r="D265" s="66" t="str">
        <f>IFERROR(IF(IFERROR(MATCH(261,'كشف الحساب'!$N$4:$N$353,0),0)=0,"",INDEX('كشف الحساب'!$D$4:$D$353,IFERROR(MATCH(261,'كشف الحساب'!$N$4:$N$353,0),0))),"")</f>
        <v/>
      </c>
      <c r="E265" s="67" t="str">
        <f>IFERROR(IF(IFERROR(MATCH(261,'كشف الحساب'!$N$4:$N$353,0),0)=0,"",INDEX('كشف الحساب'!$E$4:$E$353,IFERROR(MATCH(261,'كشف الحساب'!$N$4:$N$353,0),0))),"")</f>
        <v/>
      </c>
      <c r="F265" s="64" t="str">
        <f>IFERROR(IF(IFERROR(MATCH(261,'كشف الحساب'!$N$4:$N$353,0),0)=0,"",INDEX('كشف الحساب'!$F$4:$F$353,IFERROR(MATCH(261,'كشف الحساب'!$N$4:$N$353,0),0))),"")</f>
        <v/>
      </c>
      <c r="G265" s="64" t="str">
        <f>IFERROR(IF(IFERROR(MATCH(261,'كشف الحساب'!$N$4:$N$353,0),0)=0,"",INDEX('كشف الحساب'!$G$4:$G$353,IFERROR(MATCH(261,'كشف الحساب'!$N$4:$N$353,0),0))),"")</f>
        <v/>
      </c>
      <c r="H265" s="64" t="str">
        <f>IFERROR(IF(IFERROR(MATCH(261,'كشف الحساب'!$N$4:$N$353,0),0)=0,"",INDEX('كشف الحساب'!$H$4:$H$353,IFERROR(MATCH(261,'كشف الحساب'!$N$4:$N$353,0),0))),"")</f>
        <v/>
      </c>
      <c r="I265" s="64" t="str">
        <f>IFERROR(IF(IFERROR(MATCH(261,'كشف الحساب'!$N$4:$N$353,0),0)=0,"",INDEX('كشف الحساب'!$I$4:$I$353,IFERROR(MATCH(261,'كشف الحساب'!$N$4:$N$353,0),0))),"")</f>
        <v/>
      </c>
      <c r="J265" s="68" t="str">
        <f>IFERROR(IF(IFERROR(MATCH(261,'كشف الحساب'!$N$4:$N$353,0),0)=0,"",INDEX('كشف الحساب'!$J$4:$J$353,IFERROR(MATCH(261,'كشف الحساب'!$N$4:$N$353,0),0))),"")</f>
        <v/>
      </c>
      <c r="K265" s="64" t="str">
        <f>IFERROR(IF(IFERROR(MATCH(261,'كشف الحساب'!$N$4:$N$353,0),0)=0,"",INDEX('كشف الحساب'!$K$4:$K$353,IFERROR(MATCH(261,'كشف الحساب'!$N$4:$N$353,0),0))),"")</f>
        <v/>
      </c>
    </row>
    <row r="266" spans="1:11" ht="15" customHeight="1" x14ac:dyDescent="0.25">
      <c r="A266" s="69" t="str">
        <f>IFERROR(IF(IFERROR(MATCH(262,'كشف الحساب'!$N$4:$N$353,0),0)=0,"",INDEX('كشف الحساب'!$A$4:$A$353,IFERROR(MATCH(262,'كشف الحساب'!$N$4:$N$353,0),0))),"")</f>
        <v/>
      </c>
      <c r="B266" s="70" t="str">
        <f>IFERROR(IF(IFERROR(MATCH(262,'كشف الحساب'!$N$4:$N$353,0),0)=0,"",INDEX('كشف الحساب'!$B$4:$B$353,IFERROR(MATCH(262,'كشف الحساب'!$N$4:$N$353,0),0))),"")</f>
        <v/>
      </c>
      <c r="C266" s="71" t="str">
        <f>IFERROR(IF(IFERROR(MATCH(262,'كشف الحساب'!$N$4:$N$353,0),0)=0,"",INDEX('كشف الحساب'!$C$4:$C$353,IFERROR(MATCH(262,'كشف الحساب'!$N$4:$N$353,0),0))),"")</f>
        <v/>
      </c>
      <c r="D266" s="72" t="str">
        <f>IFERROR(IF(IFERROR(MATCH(262,'كشف الحساب'!$N$4:$N$353,0),0)=0,"",INDEX('كشف الحساب'!$D$4:$D$353,IFERROR(MATCH(262,'كشف الحساب'!$N$4:$N$353,0),0))),"")</f>
        <v/>
      </c>
      <c r="E266" s="73" t="str">
        <f>IFERROR(IF(IFERROR(MATCH(262,'كشف الحساب'!$N$4:$N$353,0),0)=0,"",INDEX('كشف الحساب'!$E$4:$E$353,IFERROR(MATCH(262,'كشف الحساب'!$N$4:$N$353,0),0))),"")</f>
        <v/>
      </c>
      <c r="F266" s="70" t="str">
        <f>IFERROR(IF(IFERROR(MATCH(262,'كشف الحساب'!$N$4:$N$353,0),0)=0,"",INDEX('كشف الحساب'!$F$4:$F$353,IFERROR(MATCH(262,'كشف الحساب'!$N$4:$N$353,0),0))),"")</f>
        <v/>
      </c>
      <c r="G266" s="70" t="str">
        <f>IFERROR(IF(IFERROR(MATCH(262,'كشف الحساب'!$N$4:$N$353,0),0)=0,"",INDEX('كشف الحساب'!$G$4:$G$353,IFERROR(MATCH(262,'كشف الحساب'!$N$4:$N$353,0),0))),"")</f>
        <v/>
      </c>
      <c r="H266" s="70" t="str">
        <f>IFERROR(IF(IFERROR(MATCH(262,'كشف الحساب'!$N$4:$N$353,0),0)=0,"",INDEX('كشف الحساب'!$H$4:$H$353,IFERROR(MATCH(262,'كشف الحساب'!$N$4:$N$353,0),0))),"")</f>
        <v/>
      </c>
      <c r="I266" s="70" t="str">
        <f>IFERROR(IF(IFERROR(MATCH(262,'كشف الحساب'!$N$4:$N$353,0),0)=0,"",INDEX('كشف الحساب'!$I$4:$I$353,IFERROR(MATCH(262,'كشف الحساب'!$N$4:$N$353,0),0))),"")</f>
        <v/>
      </c>
      <c r="J266" s="74" t="str">
        <f>IFERROR(IF(IFERROR(MATCH(262,'كشف الحساب'!$N$4:$N$353,0),0)=0,"",INDEX('كشف الحساب'!$J$4:$J$353,IFERROR(MATCH(262,'كشف الحساب'!$N$4:$N$353,0),0))),"")</f>
        <v/>
      </c>
      <c r="K266" s="70" t="str">
        <f>IFERROR(IF(IFERROR(MATCH(262,'كشف الحساب'!$N$4:$N$353,0),0)=0,"",INDEX('كشف الحساب'!$K$4:$K$353,IFERROR(MATCH(262,'كشف الحساب'!$N$4:$N$353,0),0))),"")</f>
        <v/>
      </c>
    </row>
    <row r="267" spans="1:11" ht="15" customHeight="1" x14ac:dyDescent="0.25">
      <c r="A267" s="63" t="str">
        <f>IFERROR(IF(IFERROR(MATCH(263,'كشف الحساب'!$N$4:$N$353,0),0)=0,"",INDEX('كشف الحساب'!$A$4:$A$353,IFERROR(MATCH(263,'كشف الحساب'!$N$4:$N$353,0),0))),"")</f>
        <v/>
      </c>
      <c r="B267" s="64" t="str">
        <f>IFERROR(IF(IFERROR(MATCH(263,'كشف الحساب'!$N$4:$N$353,0),0)=0,"",INDEX('كشف الحساب'!$B$4:$B$353,IFERROR(MATCH(263,'كشف الحساب'!$N$4:$N$353,0),0))),"")</f>
        <v/>
      </c>
      <c r="C267" s="65" t="str">
        <f>IFERROR(IF(IFERROR(MATCH(263,'كشف الحساب'!$N$4:$N$353,0),0)=0,"",INDEX('كشف الحساب'!$C$4:$C$353,IFERROR(MATCH(263,'كشف الحساب'!$N$4:$N$353,0),0))),"")</f>
        <v/>
      </c>
      <c r="D267" s="66" t="str">
        <f>IFERROR(IF(IFERROR(MATCH(263,'كشف الحساب'!$N$4:$N$353,0),0)=0,"",INDEX('كشف الحساب'!$D$4:$D$353,IFERROR(MATCH(263,'كشف الحساب'!$N$4:$N$353,0),0))),"")</f>
        <v/>
      </c>
      <c r="E267" s="67" t="str">
        <f>IFERROR(IF(IFERROR(MATCH(263,'كشف الحساب'!$N$4:$N$353,0),0)=0,"",INDEX('كشف الحساب'!$E$4:$E$353,IFERROR(MATCH(263,'كشف الحساب'!$N$4:$N$353,0),0))),"")</f>
        <v/>
      </c>
      <c r="F267" s="64" t="str">
        <f>IFERROR(IF(IFERROR(MATCH(263,'كشف الحساب'!$N$4:$N$353,0),0)=0,"",INDEX('كشف الحساب'!$F$4:$F$353,IFERROR(MATCH(263,'كشف الحساب'!$N$4:$N$353,0),0))),"")</f>
        <v/>
      </c>
      <c r="G267" s="64" t="str">
        <f>IFERROR(IF(IFERROR(MATCH(263,'كشف الحساب'!$N$4:$N$353,0),0)=0,"",INDEX('كشف الحساب'!$G$4:$G$353,IFERROR(MATCH(263,'كشف الحساب'!$N$4:$N$353,0),0))),"")</f>
        <v/>
      </c>
      <c r="H267" s="64" t="str">
        <f>IFERROR(IF(IFERROR(MATCH(263,'كشف الحساب'!$N$4:$N$353,0),0)=0,"",INDEX('كشف الحساب'!$H$4:$H$353,IFERROR(MATCH(263,'كشف الحساب'!$N$4:$N$353,0),0))),"")</f>
        <v/>
      </c>
      <c r="I267" s="64" t="str">
        <f>IFERROR(IF(IFERROR(MATCH(263,'كشف الحساب'!$N$4:$N$353,0),0)=0,"",INDEX('كشف الحساب'!$I$4:$I$353,IFERROR(MATCH(263,'كشف الحساب'!$N$4:$N$353,0),0))),"")</f>
        <v/>
      </c>
      <c r="J267" s="68" t="str">
        <f>IFERROR(IF(IFERROR(MATCH(263,'كشف الحساب'!$N$4:$N$353,0),0)=0,"",INDEX('كشف الحساب'!$J$4:$J$353,IFERROR(MATCH(263,'كشف الحساب'!$N$4:$N$353,0),0))),"")</f>
        <v/>
      </c>
      <c r="K267" s="64" t="str">
        <f>IFERROR(IF(IFERROR(MATCH(263,'كشف الحساب'!$N$4:$N$353,0),0)=0,"",INDEX('كشف الحساب'!$K$4:$K$353,IFERROR(MATCH(263,'كشف الحساب'!$N$4:$N$353,0),0))),"")</f>
        <v/>
      </c>
    </row>
    <row r="268" spans="1:11" ht="15" customHeight="1" x14ac:dyDescent="0.25">
      <c r="A268" s="69" t="str">
        <f>IFERROR(IF(IFERROR(MATCH(264,'كشف الحساب'!$N$4:$N$353,0),0)=0,"",INDEX('كشف الحساب'!$A$4:$A$353,IFERROR(MATCH(264,'كشف الحساب'!$N$4:$N$353,0),0))),"")</f>
        <v/>
      </c>
      <c r="B268" s="70" t="str">
        <f>IFERROR(IF(IFERROR(MATCH(264,'كشف الحساب'!$N$4:$N$353,0),0)=0,"",INDEX('كشف الحساب'!$B$4:$B$353,IFERROR(MATCH(264,'كشف الحساب'!$N$4:$N$353,0),0))),"")</f>
        <v/>
      </c>
      <c r="C268" s="71" t="str">
        <f>IFERROR(IF(IFERROR(MATCH(264,'كشف الحساب'!$N$4:$N$353,0),0)=0,"",INDEX('كشف الحساب'!$C$4:$C$353,IFERROR(MATCH(264,'كشف الحساب'!$N$4:$N$353,0),0))),"")</f>
        <v/>
      </c>
      <c r="D268" s="72" t="str">
        <f>IFERROR(IF(IFERROR(MATCH(264,'كشف الحساب'!$N$4:$N$353,0),0)=0,"",INDEX('كشف الحساب'!$D$4:$D$353,IFERROR(MATCH(264,'كشف الحساب'!$N$4:$N$353,0),0))),"")</f>
        <v/>
      </c>
      <c r="E268" s="73" t="str">
        <f>IFERROR(IF(IFERROR(MATCH(264,'كشف الحساب'!$N$4:$N$353,0),0)=0,"",INDEX('كشف الحساب'!$E$4:$E$353,IFERROR(MATCH(264,'كشف الحساب'!$N$4:$N$353,0),0))),"")</f>
        <v/>
      </c>
      <c r="F268" s="70" t="str">
        <f>IFERROR(IF(IFERROR(MATCH(264,'كشف الحساب'!$N$4:$N$353,0),0)=0,"",INDEX('كشف الحساب'!$F$4:$F$353,IFERROR(MATCH(264,'كشف الحساب'!$N$4:$N$353,0),0))),"")</f>
        <v/>
      </c>
      <c r="G268" s="70" t="str">
        <f>IFERROR(IF(IFERROR(MATCH(264,'كشف الحساب'!$N$4:$N$353,0),0)=0,"",INDEX('كشف الحساب'!$G$4:$G$353,IFERROR(MATCH(264,'كشف الحساب'!$N$4:$N$353,0),0))),"")</f>
        <v/>
      </c>
      <c r="H268" s="70" t="str">
        <f>IFERROR(IF(IFERROR(MATCH(264,'كشف الحساب'!$N$4:$N$353,0),0)=0,"",INDEX('كشف الحساب'!$H$4:$H$353,IFERROR(MATCH(264,'كشف الحساب'!$N$4:$N$353,0),0))),"")</f>
        <v/>
      </c>
      <c r="I268" s="70" t="str">
        <f>IFERROR(IF(IFERROR(MATCH(264,'كشف الحساب'!$N$4:$N$353,0),0)=0,"",INDEX('كشف الحساب'!$I$4:$I$353,IFERROR(MATCH(264,'كشف الحساب'!$N$4:$N$353,0),0))),"")</f>
        <v/>
      </c>
      <c r="J268" s="74" t="str">
        <f>IFERROR(IF(IFERROR(MATCH(264,'كشف الحساب'!$N$4:$N$353,0),0)=0,"",INDEX('كشف الحساب'!$J$4:$J$353,IFERROR(MATCH(264,'كشف الحساب'!$N$4:$N$353,0),0))),"")</f>
        <v/>
      </c>
      <c r="K268" s="70" t="str">
        <f>IFERROR(IF(IFERROR(MATCH(264,'كشف الحساب'!$N$4:$N$353,0),0)=0,"",INDEX('كشف الحساب'!$K$4:$K$353,IFERROR(MATCH(264,'كشف الحساب'!$N$4:$N$353,0),0))),"")</f>
        <v/>
      </c>
    </row>
    <row r="269" spans="1:11" ht="15" customHeight="1" x14ac:dyDescent="0.25">
      <c r="A269" s="63" t="str">
        <f>IFERROR(IF(IFERROR(MATCH(265,'كشف الحساب'!$N$4:$N$353,0),0)=0,"",INDEX('كشف الحساب'!$A$4:$A$353,IFERROR(MATCH(265,'كشف الحساب'!$N$4:$N$353,0),0))),"")</f>
        <v/>
      </c>
      <c r="B269" s="64" t="str">
        <f>IFERROR(IF(IFERROR(MATCH(265,'كشف الحساب'!$N$4:$N$353,0),0)=0,"",INDEX('كشف الحساب'!$B$4:$B$353,IFERROR(MATCH(265,'كشف الحساب'!$N$4:$N$353,0),0))),"")</f>
        <v/>
      </c>
      <c r="C269" s="65" t="str">
        <f>IFERROR(IF(IFERROR(MATCH(265,'كشف الحساب'!$N$4:$N$353,0),0)=0,"",INDEX('كشف الحساب'!$C$4:$C$353,IFERROR(MATCH(265,'كشف الحساب'!$N$4:$N$353,0),0))),"")</f>
        <v/>
      </c>
      <c r="D269" s="66" t="str">
        <f>IFERROR(IF(IFERROR(MATCH(265,'كشف الحساب'!$N$4:$N$353,0),0)=0,"",INDEX('كشف الحساب'!$D$4:$D$353,IFERROR(MATCH(265,'كشف الحساب'!$N$4:$N$353,0),0))),"")</f>
        <v/>
      </c>
      <c r="E269" s="67" t="str">
        <f>IFERROR(IF(IFERROR(MATCH(265,'كشف الحساب'!$N$4:$N$353,0),0)=0,"",INDEX('كشف الحساب'!$E$4:$E$353,IFERROR(MATCH(265,'كشف الحساب'!$N$4:$N$353,0),0))),"")</f>
        <v/>
      </c>
      <c r="F269" s="64" t="str">
        <f>IFERROR(IF(IFERROR(MATCH(265,'كشف الحساب'!$N$4:$N$353,0),0)=0,"",INDEX('كشف الحساب'!$F$4:$F$353,IFERROR(MATCH(265,'كشف الحساب'!$N$4:$N$353,0),0))),"")</f>
        <v/>
      </c>
      <c r="G269" s="64" t="str">
        <f>IFERROR(IF(IFERROR(MATCH(265,'كشف الحساب'!$N$4:$N$353,0),0)=0,"",INDEX('كشف الحساب'!$G$4:$G$353,IFERROR(MATCH(265,'كشف الحساب'!$N$4:$N$353,0),0))),"")</f>
        <v/>
      </c>
      <c r="H269" s="64" t="str">
        <f>IFERROR(IF(IFERROR(MATCH(265,'كشف الحساب'!$N$4:$N$353,0),0)=0,"",INDEX('كشف الحساب'!$H$4:$H$353,IFERROR(MATCH(265,'كشف الحساب'!$N$4:$N$353,0),0))),"")</f>
        <v/>
      </c>
      <c r="I269" s="64" t="str">
        <f>IFERROR(IF(IFERROR(MATCH(265,'كشف الحساب'!$N$4:$N$353,0),0)=0,"",INDEX('كشف الحساب'!$I$4:$I$353,IFERROR(MATCH(265,'كشف الحساب'!$N$4:$N$353,0),0))),"")</f>
        <v/>
      </c>
      <c r="J269" s="68" t="str">
        <f>IFERROR(IF(IFERROR(MATCH(265,'كشف الحساب'!$N$4:$N$353,0),0)=0,"",INDEX('كشف الحساب'!$J$4:$J$353,IFERROR(MATCH(265,'كشف الحساب'!$N$4:$N$353,0),0))),"")</f>
        <v/>
      </c>
      <c r="K269" s="64" t="str">
        <f>IFERROR(IF(IFERROR(MATCH(265,'كشف الحساب'!$N$4:$N$353,0),0)=0,"",INDEX('كشف الحساب'!$K$4:$K$353,IFERROR(MATCH(265,'كشف الحساب'!$N$4:$N$353,0),0))),"")</f>
        <v/>
      </c>
    </row>
    <row r="270" spans="1:11" ht="15" customHeight="1" x14ac:dyDescent="0.25">
      <c r="A270" s="69" t="str">
        <f>IFERROR(IF(IFERROR(MATCH(266,'كشف الحساب'!$N$4:$N$353,0),0)=0,"",INDEX('كشف الحساب'!$A$4:$A$353,IFERROR(MATCH(266,'كشف الحساب'!$N$4:$N$353,0),0))),"")</f>
        <v/>
      </c>
      <c r="B270" s="70" t="str">
        <f>IFERROR(IF(IFERROR(MATCH(266,'كشف الحساب'!$N$4:$N$353,0),0)=0,"",INDEX('كشف الحساب'!$B$4:$B$353,IFERROR(MATCH(266,'كشف الحساب'!$N$4:$N$353,0),0))),"")</f>
        <v/>
      </c>
      <c r="C270" s="71" t="str">
        <f>IFERROR(IF(IFERROR(MATCH(266,'كشف الحساب'!$N$4:$N$353,0),0)=0,"",INDEX('كشف الحساب'!$C$4:$C$353,IFERROR(MATCH(266,'كشف الحساب'!$N$4:$N$353,0),0))),"")</f>
        <v/>
      </c>
      <c r="D270" s="72" t="str">
        <f>IFERROR(IF(IFERROR(MATCH(266,'كشف الحساب'!$N$4:$N$353,0),0)=0,"",INDEX('كشف الحساب'!$D$4:$D$353,IFERROR(MATCH(266,'كشف الحساب'!$N$4:$N$353,0),0))),"")</f>
        <v/>
      </c>
      <c r="E270" s="73" t="str">
        <f>IFERROR(IF(IFERROR(MATCH(266,'كشف الحساب'!$N$4:$N$353,0),0)=0,"",INDEX('كشف الحساب'!$E$4:$E$353,IFERROR(MATCH(266,'كشف الحساب'!$N$4:$N$353,0),0))),"")</f>
        <v/>
      </c>
      <c r="F270" s="70" t="str">
        <f>IFERROR(IF(IFERROR(MATCH(266,'كشف الحساب'!$N$4:$N$353,0),0)=0,"",INDEX('كشف الحساب'!$F$4:$F$353,IFERROR(MATCH(266,'كشف الحساب'!$N$4:$N$353,0),0))),"")</f>
        <v/>
      </c>
      <c r="G270" s="70" t="str">
        <f>IFERROR(IF(IFERROR(MATCH(266,'كشف الحساب'!$N$4:$N$353,0),0)=0,"",INDEX('كشف الحساب'!$G$4:$G$353,IFERROR(MATCH(266,'كشف الحساب'!$N$4:$N$353,0),0))),"")</f>
        <v/>
      </c>
      <c r="H270" s="70" t="str">
        <f>IFERROR(IF(IFERROR(MATCH(266,'كشف الحساب'!$N$4:$N$353,0),0)=0,"",INDEX('كشف الحساب'!$H$4:$H$353,IFERROR(MATCH(266,'كشف الحساب'!$N$4:$N$353,0),0))),"")</f>
        <v/>
      </c>
      <c r="I270" s="70" t="str">
        <f>IFERROR(IF(IFERROR(MATCH(266,'كشف الحساب'!$N$4:$N$353,0),0)=0,"",INDEX('كشف الحساب'!$I$4:$I$353,IFERROR(MATCH(266,'كشف الحساب'!$N$4:$N$353,0),0))),"")</f>
        <v/>
      </c>
      <c r="J270" s="74" t="str">
        <f>IFERROR(IF(IFERROR(MATCH(266,'كشف الحساب'!$N$4:$N$353,0),0)=0,"",INDEX('كشف الحساب'!$J$4:$J$353,IFERROR(MATCH(266,'كشف الحساب'!$N$4:$N$353,0),0))),"")</f>
        <v/>
      </c>
      <c r="K270" s="70" t="str">
        <f>IFERROR(IF(IFERROR(MATCH(266,'كشف الحساب'!$N$4:$N$353,0),0)=0,"",INDEX('كشف الحساب'!$K$4:$K$353,IFERROR(MATCH(266,'كشف الحساب'!$N$4:$N$353,0),0))),"")</f>
        <v/>
      </c>
    </row>
    <row r="271" spans="1:11" ht="15" customHeight="1" x14ac:dyDescent="0.25">
      <c r="A271" s="63" t="str">
        <f>IFERROR(IF(IFERROR(MATCH(267,'كشف الحساب'!$N$4:$N$353,0),0)=0,"",INDEX('كشف الحساب'!$A$4:$A$353,IFERROR(MATCH(267,'كشف الحساب'!$N$4:$N$353,0),0))),"")</f>
        <v/>
      </c>
      <c r="B271" s="64" t="str">
        <f>IFERROR(IF(IFERROR(MATCH(267,'كشف الحساب'!$N$4:$N$353,0),0)=0,"",INDEX('كشف الحساب'!$B$4:$B$353,IFERROR(MATCH(267,'كشف الحساب'!$N$4:$N$353,0),0))),"")</f>
        <v/>
      </c>
      <c r="C271" s="65" t="str">
        <f>IFERROR(IF(IFERROR(MATCH(267,'كشف الحساب'!$N$4:$N$353,0),0)=0,"",INDEX('كشف الحساب'!$C$4:$C$353,IFERROR(MATCH(267,'كشف الحساب'!$N$4:$N$353,0),0))),"")</f>
        <v/>
      </c>
      <c r="D271" s="66" t="str">
        <f>IFERROR(IF(IFERROR(MATCH(267,'كشف الحساب'!$N$4:$N$353,0),0)=0,"",INDEX('كشف الحساب'!$D$4:$D$353,IFERROR(MATCH(267,'كشف الحساب'!$N$4:$N$353,0),0))),"")</f>
        <v/>
      </c>
      <c r="E271" s="67" t="str">
        <f>IFERROR(IF(IFERROR(MATCH(267,'كشف الحساب'!$N$4:$N$353,0),0)=0,"",INDEX('كشف الحساب'!$E$4:$E$353,IFERROR(MATCH(267,'كشف الحساب'!$N$4:$N$353,0),0))),"")</f>
        <v/>
      </c>
      <c r="F271" s="64" t="str">
        <f>IFERROR(IF(IFERROR(MATCH(267,'كشف الحساب'!$N$4:$N$353,0),0)=0,"",INDEX('كشف الحساب'!$F$4:$F$353,IFERROR(MATCH(267,'كشف الحساب'!$N$4:$N$353,0),0))),"")</f>
        <v/>
      </c>
      <c r="G271" s="64" t="str">
        <f>IFERROR(IF(IFERROR(MATCH(267,'كشف الحساب'!$N$4:$N$353,0),0)=0,"",INDEX('كشف الحساب'!$G$4:$G$353,IFERROR(MATCH(267,'كشف الحساب'!$N$4:$N$353,0),0))),"")</f>
        <v/>
      </c>
      <c r="H271" s="64" t="str">
        <f>IFERROR(IF(IFERROR(MATCH(267,'كشف الحساب'!$N$4:$N$353,0),0)=0,"",INDEX('كشف الحساب'!$H$4:$H$353,IFERROR(MATCH(267,'كشف الحساب'!$N$4:$N$353,0),0))),"")</f>
        <v/>
      </c>
      <c r="I271" s="64" t="str">
        <f>IFERROR(IF(IFERROR(MATCH(267,'كشف الحساب'!$N$4:$N$353,0),0)=0,"",INDEX('كشف الحساب'!$I$4:$I$353,IFERROR(MATCH(267,'كشف الحساب'!$N$4:$N$353,0),0))),"")</f>
        <v/>
      </c>
      <c r="J271" s="68" t="str">
        <f>IFERROR(IF(IFERROR(MATCH(267,'كشف الحساب'!$N$4:$N$353,0),0)=0,"",INDEX('كشف الحساب'!$J$4:$J$353,IFERROR(MATCH(267,'كشف الحساب'!$N$4:$N$353,0),0))),"")</f>
        <v/>
      </c>
      <c r="K271" s="64" t="str">
        <f>IFERROR(IF(IFERROR(MATCH(267,'كشف الحساب'!$N$4:$N$353,0),0)=0,"",INDEX('كشف الحساب'!$K$4:$K$353,IFERROR(MATCH(267,'كشف الحساب'!$N$4:$N$353,0),0))),"")</f>
        <v/>
      </c>
    </row>
    <row r="272" spans="1:11" ht="15" customHeight="1" x14ac:dyDescent="0.25">
      <c r="A272" s="69" t="str">
        <f>IFERROR(IF(IFERROR(MATCH(268,'كشف الحساب'!$N$4:$N$353,0),0)=0,"",INDEX('كشف الحساب'!$A$4:$A$353,IFERROR(MATCH(268,'كشف الحساب'!$N$4:$N$353,0),0))),"")</f>
        <v/>
      </c>
      <c r="B272" s="70" t="str">
        <f>IFERROR(IF(IFERROR(MATCH(268,'كشف الحساب'!$N$4:$N$353,0),0)=0,"",INDEX('كشف الحساب'!$B$4:$B$353,IFERROR(MATCH(268,'كشف الحساب'!$N$4:$N$353,0),0))),"")</f>
        <v/>
      </c>
      <c r="C272" s="71" t="str">
        <f>IFERROR(IF(IFERROR(MATCH(268,'كشف الحساب'!$N$4:$N$353,0),0)=0,"",INDEX('كشف الحساب'!$C$4:$C$353,IFERROR(MATCH(268,'كشف الحساب'!$N$4:$N$353,0),0))),"")</f>
        <v/>
      </c>
      <c r="D272" s="72" t="str">
        <f>IFERROR(IF(IFERROR(MATCH(268,'كشف الحساب'!$N$4:$N$353,0),0)=0,"",INDEX('كشف الحساب'!$D$4:$D$353,IFERROR(MATCH(268,'كشف الحساب'!$N$4:$N$353,0),0))),"")</f>
        <v/>
      </c>
      <c r="E272" s="73" t="str">
        <f>IFERROR(IF(IFERROR(MATCH(268,'كشف الحساب'!$N$4:$N$353,0),0)=0,"",INDEX('كشف الحساب'!$E$4:$E$353,IFERROR(MATCH(268,'كشف الحساب'!$N$4:$N$353,0),0))),"")</f>
        <v/>
      </c>
      <c r="F272" s="70" t="str">
        <f>IFERROR(IF(IFERROR(MATCH(268,'كشف الحساب'!$N$4:$N$353,0),0)=0,"",INDEX('كشف الحساب'!$F$4:$F$353,IFERROR(MATCH(268,'كشف الحساب'!$N$4:$N$353,0),0))),"")</f>
        <v/>
      </c>
      <c r="G272" s="70" t="str">
        <f>IFERROR(IF(IFERROR(MATCH(268,'كشف الحساب'!$N$4:$N$353,0),0)=0,"",INDEX('كشف الحساب'!$G$4:$G$353,IFERROR(MATCH(268,'كشف الحساب'!$N$4:$N$353,0),0))),"")</f>
        <v/>
      </c>
      <c r="H272" s="70" t="str">
        <f>IFERROR(IF(IFERROR(MATCH(268,'كشف الحساب'!$N$4:$N$353,0),0)=0,"",INDEX('كشف الحساب'!$H$4:$H$353,IFERROR(MATCH(268,'كشف الحساب'!$N$4:$N$353,0),0))),"")</f>
        <v/>
      </c>
      <c r="I272" s="70" t="str">
        <f>IFERROR(IF(IFERROR(MATCH(268,'كشف الحساب'!$N$4:$N$353,0),0)=0,"",INDEX('كشف الحساب'!$I$4:$I$353,IFERROR(MATCH(268,'كشف الحساب'!$N$4:$N$353,0),0))),"")</f>
        <v/>
      </c>
      <c r="J272" s="74" t="str">
        <f>IFERROR(IF(IFERROR(MATCH(268,'كشف الحساب'!$N$4:$N$353,0),0)=0,"",INDEX('كشف الحساب'!$J$4:$J$353,IFERROR(MATCH(268,'كشف الحساب'!$N$4:$N$353,0),0))),"")</f>
        <v/>
      </c>
      <c r="K272" s="70" t="str">
        <f>IFERROR(IF(IFERROR(MATCH(268,'كشف الحساب'!$N$4:$N$353,0),0)=0,"",INDEX('كشف الحساب'!$K$4:$K$353,IFERROR(MATCH(268,'كشف الحساب'!$N$4:$N$353,0),0))),"")</f>
        <v/>
      </c>
    </row>
    <row r="273" spans="1:11" ht="15" customHeight="1" x14ac:dyDescent="0.25">
      <c r="A273" s="63" t="str">
        <f>IFERROR(IF(IFERROR(MATCH(269,'كشف الحساب'!$N$4:$N$353,0),0)=0,"",INDEX('كشف الحساب'!$A$4:$A$353,IFERROR(MATCH(269,'كشف الحساب'!$N$4:$N$353,0),0))),"")</f>
        <v/>
      </c>
      <c r="B273" s="64" t="str">
        <f>IFERROR(IF(IFERROR(MATCH(269,'كشف الحساب'!$N$4:$N$353,0),0)=0,"",INDEX('كشف الحساب'!$B$4:$B$353,IFERROR(MATCH(269,'كشف الحساب'!$N$4:$N$353,0),0))),"")</f>
        <v/>
      </c>
      <c r="C273" s="65" t="str">
        <f>IFERROR(IF(IFERROR(MATCH(269,'كشف الحساب'!$N$4:$N$353,0),0)=0,"",INDEX('كشف الحساب'!$C$4:$C$353,IFERROR(MATCH(269,'كشف الحساب'!$N$4:$N$353,0),0))),"")</f>
        <v/>
      </c>
      <c r="D273" s="66" t="str">
        <f>IFERROR(IF(IFERROR(MATCH(269,'كشف الحساب'!$N$4:$N$353,0),0)=0,"",INDEX('كشف الحساب'!$D$4:$D$353,IFERROR(MATCH(269,'كشف الحساب'!$N$4:$N$353,0),0))),"")</f>
        <v/>
      </c>
      <c r="E273" s="67" t="str">
        <f>IFERROR(IF(IFERROR(MATCH(269,'كشف الحساب'!$N$4:$N$353,0),0)=0,"",INDEX('كشف الحساب'!$E$4:$E$353,IFERROR(MATCH(269,'كشف الحساب'!$N$4:$N$353,0),0))),"")</f>
        <v/>
      </c>
      <c r="F273" s="64" t="str">
        <f>IFERROR(IF(IFERROR(MATCH(269,'كشف الحساب'!$N$4:$N$353,0),0)=0,"",INDEX('كشف الحساب'!$F$4:$F$353,IFERROR(MATCH(269,'كشف الحساب'!$N$4:$N$353,0),0))),"")</f>
        <v/>
      </c>
      <c r="G273" s="64" t="str">
        <f>IFERROR(IF(IFERROR(MATCH(269,'كشف الحساب'!$N$4:$N$353,0),0)=0,"",INDEX('كشف الحساب'!$G$4:$G$353,IFERROR(MATCH(269,'كشف الحساب'!$N$4:$N$353,0),0))),"")</f>
        <v/>
      </c>
      <c r="H273" s="64" t="str">
        <f>IFERROR(IF(IFERROR(MATCH(269,'كشف الحساب'!$N$4:$N$353,0),0)=0,"",INDEX('كشف الحساب'!$H$4:$H$353,IFERROR(MATCH(269,'كشف الحساب'!$N$4:$N$353,0),0))),"")</f>
        <v/>
      </c>
      <c r="I273" s="64" t="str">
        <f>IFERROR(IF(IFERROR(MATCH(269,'كشف الحساب'!$N$4:$N$353,0),0)=0,"",INDEX('كشف الحساب'!$I$4:$I$353,IFERROR(MATCH(269,'كشف الحساب'!$N$4:$N$353,0),0))),"")</f>
        <v/>
      </c>
      <c r="J273" s="68" t="str">
        <f>IFERROR(IF(IFERROR(MATCH(269,'كشف الحساب'!$N$4:$N$353,0),0)=0,"",INDEX('كشف الحساب'!$J$4:$J$353,IFERROR(MATCH(269,'كشف الحساب'!$N$4:$N$353,0),0))),"")</f>
        <v/>
      </c>
      <c r="K273" s="64" t="str">
        <f>IFERROR(IF(IFERROR(MATCH(269,'كشف الحساب'!$N$4:$N$353,0),0)=0,"",INDEX('كشف الحساب'!$K$4:$K$353,IFERROR(MATCH(269,'كشف الحساب'!$N$4:$N$353,0),0))),"")</f>
        <v/>
      </c>
    </row>
    <row r="274" spans="1:11" ht="15" customHeight="1" x14ac:dyDescent="0.25">
      <c r="A274" s="69" t="str">
        <f>IFERROR(IF(IFERROR(MATCH(270,'كشف الحساب'!$N$4:$N$353,0),0)=0,"",INDEX('كشف الحساب'!$A$4:$A$353,IFERROR(MATCH(270,'كشف الحساب'!$N$4:$N$353,0),0))),"")</f>
        <v/>
      </c>
      <c r="B274" s="70" t="str">
        <f>IFERROR(IF(IFERROR(MATCH(270,'كشف الحساب'!$N$4:$N$353,0),0)=0,"",INDEX('كشف الحساب'!$B$4:$B$353,IFERROR(MATCH(270,'كشف الحساب'!$N$4:$N$353,0),0))),"")</f>
        <v/>
      </c>
      <c r="C274" s="71" t="str">
        <f>IFERROR(IF(IFERROR(MATCH(270,'كشف الحساب'!$N$4:$N$353,0),0)=0,"",INDEX('كشف الحساب'!$C$4:$C$353,IFERROR(MATCH(270,'كشف الحساب'!$N$4:$N$353,0),0))),"")</f>
        <v/>
      </c>
      <c r="D274" s="72" t="str">
        <f>IFERROR(IF(IFERROR(MATCH(270,'كشف الحساب'!$N$4:$N$353,0),0)=0,"",INDEX('كشف الحساب'!$D$4:$D$353,IFERROR(MATCH(270,'كشف الحساب'!$N$4:$N$353,0),0))),"")</f>
        <v/>
      </c>
      <c r="E274" s="73" t="str">
        <f>IFERROR(IF(IFERROR(MATCH(270,'كشف الحساب'!$N$4:$N$353,0),0)=0,"",INDEX('كشف الحساب'!$E$4:$E$353,IFERROR(MATCH(270,'كشف الحساب'!$N$4:$N$353,0),0))),"")</f>
        <v/>
      </c>
      <c r="F274" s="70" t="str">
        <f>IFERROR(IF(IFERROR(MATCH(270,'كشف الحساب'!$N$4:$N$353,0),0)=0,"",INDEX('كشف الحساب'!$F$4:$F$353,IFERROR(MATCH(270,'كشف الحساب'!$N$4:$N$353,0),0))),"")</f>
        <v/>
      </c>
      <c r="G274" s="70" t="str">
        <f>IFERROR(IF(IFERROR(MATCH(270,'كشف الحساب'!$N$4:$N$353,0),0)=0,"",INDEX('كشف الحساب'!$G$4:$G$353,IFERROR(MATCH(270,'كشف الحساب'!$N$4:$N$353,0),0))),"")</f>
        <v/>
      </c>
      <c r="H274" s="70" t="str">
        <f>IFERROR(IF(IFERROR(MATCH(270,'كشف الحساب'!$N$4:$N$353,0),0)=0,"",INDEX('كشف الحساب'!$H$4:$H$353,IFERROR(MATCH(270,'كشف الحساب'!$N$4:$N$353,0),0))),"")</f>
        <v/>
      </c>
      <c r="I274" s="70" t="str">
        <f>IFERROR(IF(IFERROR(MATCH(270,'كشف الحساب'!$N$4:$N$353,0),0)=0,"",INDEX('كشف الحساب'!$I$4:$I$353,IFERROR(MATCH(270,'كشف الحساب'!$N$4:$N$353,0),0))),"")</f>
        <v/>
      </c>
      <c r="J274" s="74" t="str">
        <f>IFERROR(IF(IFERROR(MATCH(270,'كشف الحساب'!$N$4:$N$353,0),0)=0,"",INDEX('كشف الحساب'!$J$4:$J$353,IFERROR(MATCH(270,'كشف الحساب'!$N$4:$N$353,0),0))),"")</f>
        <v/>
      </c>
      <c r="K274" s="70" t="str">
        <f>IFERROR(IF(IFERROR(MATCH(270,'كشف الحساب'!$N$4:$N$353,0),0)=0,"",INDEX('كشف الحساب'!$K$4:$K$353,IFERROR(MATCH(270,'كشف الحساب'!$N$4:$N$353,0),0))),"")</f>
        <v/>
      </c>
    </row>
    <row r="275" spans="1:11" ht="15" customHeight="1" x14ac:dyDescent="0.25">
      <c r="A275" s="63" t="str">
        <f>IFERROR(IF(IFERROR(MATCH(271,'كشف الحساب'!$N$4:$N$353,0),0)=0,"",INDEX('كشف الحساب'!$A$4:$A$353,IFERROR(MATCH(271,'كشف الحساب'!$N$4:$N$353,0),0))),"")</f>
        <v/>
      </c>
      <c r="B275" s="64" t="str">
        <f>IFERROR(IF(IFERROR(MATCH(271,'كشف الحساب'!$N$4:$N$353,0),0)=0,"",INDEX('كشف الحساب'!$B$4:$B$353,IFERROR(MATCH(271,'كشف الحساب'!$N$4:$N$353,0),0))),"")</f>
        <v/>
      </c>
      <c r="C275" s="65" t="str">
        <f>IFERROR(IF(IFERROR(MATCH(271,'كشف الحساب'!$N$4:$N$353,0),0)=0,"",INDEX('كشف الحساب'!$C$4:$C$353,IFERROR(MATCH(271,'كشف الحساب'!$N$4:$N$353,0),0))),"")</f>
        <v/>
      </c>
      <c r="D275" s="66" t="str">
        <f>IFERROR(IF(IFERROR(MATCH(271,'كشف الحساب'!$N$4:$N$353,0),0)=0,"",INDEX('كشف الحساب'!$D$4:$D$353,IFERROR(MATCH(271,'كشف الحساب'!$N$4:$N$353,0),0))),"")</f>
        <v/>
      </c>
      <c r="E275" s="67" t="str">
        <f>IFERROR(IF(IFERROR(MATCH(271,'كشف الحساب'!$N$4:$N$353,0),0)=0,"",INDEX('كشف الحساب'!$E$4:$E$353,IFERROR(MATCH(271,'كشف الحساب'!$N$4:$N$353,0),0))),"")</f>
        <v/>
      </c>
      <c r="F275" s="64" t="str">
        <f>IFERROR(IF(IFERROR(MATCH(271,'كشف الحساب'!$N$4:$N$353,0),0)=0,"",INDEX('كشف الحساب'!$F$4:$F$353,IFERROR(MATCH(271,'كشف الحساب'!$N$4:$N$353,0),0))),"")</f>
        <v/>
      </c>
      <c r="G275" s="64" t="str">
        <f>IFERROR(IF(IFERROR(MATCH(271,'كشف الحساب'!$N$4:$N$353,0),0)=0,"",INDEX('كشف الحساب'!$G$4:$G$353,IFERROR(MATCH(271,'كشف الحساب'!$N$4:$N$353,0),0))),"")</f>
        <v/>
      </c>
      <c r="H275" s="64" t="str">
        <f>IFERROR(IF(IFERROR(MATCH(271,'كشف الحساب'!$N$4:$N$353,0),0)=0,"",INDEX('كشف الحساب'!$H$4:$H$353,IFERROR(MATCH(271,'كشف الحساب'!$N$4:$N$353,0),0))),"")</f>
        <v/>
      </c>
      <c r="I275" s="64" t="str">
        <f>IFERROR(IF(IFERROR(MATCH(271,'كشف الحساب'!$N$4:$N$353,0),0)=0,"",INDEX('كشف الحساب'!$I$4:$I$353,IFERROR(MATCH(271,'كشف الحساب'!$N$4:$N$353,0),0))),"")</f>
        <v/>
      </c>
      <c r="J275" s="68" t="str">
        <f>IFERROR(IF(IFERROR(MATCH(271,'كشف الحساب'!$N$4:$N$353,0),0)=0,"",INDEX('كشف الحساب'!$J$4:$J$353,IFERROR(MATCH(271,'كشف الحساب'!$N$4:$N$353,0),0))),"")</f>
        <v/>
      </c>
      <c r="K275" s="64" t="str">
        <f>IFERROR(IF(IFERROR(MATCH(271,'كشف الحساب'!$N$4:$N$353,0),0)=0,"",INDEX('كشف الحساب'!$K$4:$K$353,IFERROR(MATCH(271,'كشف الحساب'!$N$4:$N$353,0),0))),"")</f>
        <v/>
      </c>
    </row>
    <row r="276" spans="1:11" ht="15" customHeight="1" x14ac:dyDescent="0.25">
      <c r="A276" s="69" t="str">
        <f>IFERROR(IF(IFERROR(MATCH(272,'كشف الحساب'!$N$4:$N$353,0),0)=0,"",INDEX('كشف الحساب'!$A$4:$A$353,IFERROR(MATCH(272,'كشف الحساب'!$N$4:$N$353,0),0))),"")</f>
        <v/>
      </c>
      <c r="B276" s="70" t="str">
        <f>IFERROR(IF(IFERROR(MATCH(272,'كشف الحساب'!$N$4:$N$353,0),0)=0,"",INDEX('كشف الحساب'!$B$4:$B$353,IFERROR(MATCH(272,'كشف الحساب'!$N$4:$N$353,0),0))),"")</f>
        <v/>
      </c>
      <c r="C276" s="71" t="str">
        <f>IFERROR(IF(IFERROR(MATCH(272,'كشف الحساب'!$N$4:$N$353,0),0)=0,"",INDEX('كشف الحساب'!$C$4:$C$353,IFERROR(MATCH(272,'كشف الحساب'!$N$4:$N$353,0),0))),"")</f>
        <v/>
      </c>
      <c r="D276" s="72" t="str">
        <f>IFERROR(IF(IFERROR(MATCH(272,'كشف الحساب'!$N$4:$N$353,0),0)=0,"",INDEX('كشف الحساب'!$D$4:$D$353,IFERROR(MATCH(272,'كشف الحساب'!$N$4:$N$353,0),0))),"")</f>
        <v/>
      </c>
      <c r="E276" s="73" t="str">
        <f>IFERROR(IF(IFERROR(MATCH(272,'كشف الحساب'!$N$4:$N$353,0),0)=0,"",INDEX('كشف الحساب'!$E$4:$E$353,IFERROR(MATCH(272,'كشف الحساب'!$N$4:$N$353,0),0))),"")</f>
        <v/>
      </c>
      <c r="F276" s="70" t="str">
        <f>IFERROR(IF(IFERROR(MATCH(272,'كشف الحساب'!$N$4:$N$353,0),0)=0,"",INDEX('كشف الحساب'!$F$4:$F$353,IFERROR(MATCH(272,'كشف الحساب'!$N$4:$N$353,0),0))),"")</f>
        <v/>
      </c>
      <c r="G276" s="70" t="str">
        <f>IFERROR(IF(IFERROR(MATCH(272,'كشف الحساب'!$N$4:$N$353,0),0)=0,"",INDEX('كشف الحساب'!$G$4:$G$353,IFERROR(MATCH(272,'كشف الحساب'!$N$4:$N$353,0),0))),"")</f>
        <v/>
      </c>
      <c r="H276" s="70" t="str">
        <f>IFERROR(IF(IFERROR(MATCH(272,'كشف الحساب'!$N$4:$N$353,0),0)=0,"",INDEX('كشف الحساب'!$H$4:$H$353,IFERROR(MATCH(272,'كشف الحساب'!$N$4:$N$353,0),0))),"")</f>
        <v/>
      </c>
      <c r="I276" s="70" t="str">
        <f>IFERROR(IF(IFERROR(MATCH(272,'كشف الحساب'!$N$4:$N$353,0),0)=0,"",INDEX('كشف الحساب'!$I$4:$I$353,IFERROR(MATCH(272,'كشف الحساب'!$N$4:$N$353,0),0))),"")</f>
        <v/>
      </c>
      <c r="J276" s="74" t="str">
        <f>IFERROR(IF(IFERROR(MATCH(272,'كشف الحساب'!$N$4:$N$353,0),0)=0,"",INDEX('كشف الحساب'!$J$4:$J$353,IFERROR(MATCH(272,'كشف الحساب'!$N$4:$N$353,0),0))),"")</f>
        <v/>
      </c>
      <c r="K276" s="70" t="str">
        <f>IFERROR(IF(IFERROR(MATCH(272,'كشف الحساب'!$N$4:$N$353,0),0)=0,"",INDEX('كشف الحساب'!$K$4:$K$353,IFERROR(MATCH(272,'كشف الحساب'!$N$4:$N$353,0),0))),"")</f>
        <v/>
      </c>
    </row>
    <row r="277" spans="1:11" ht="15" customHeight="1" x14ac:dyDescent="0.25">
      <c r="A277" s="63" t="str">
        <f>IFERROR(IF(IFERROR(MATCH(273,'كشف الحساب'!$N$4:$N$353,0),0)=0,"",INDEX('كشف الحساب'!$A$4:$A$353,IFERROR(MATCH(273,'كشف الحساب'!$N$4:$N$353,0),0))),"")</f>
        <v/>
      </c>
      <c r="B277" s="64" t="str">
        <f>IFERROR(IF(IFERROR(MATCH(273,'كشف الحساب'!$N$4:$N$353,0),0)=0,"",INDEX('كشف الحساب'!$B$4:$B$353,IFERROR(MATCH(273,'كشف الحساب'!$N$4:$N$353,0),0))),"")</f>
        <v/>
      </c>
      <c r="C277" s="65" t="str">
        <f>IFERROR(IF(IFERROR(MATCH(273,'كشف الحساب'!$N$4:$N$353,0),0)=0,"",INDEX('كشف الحساب'!$C$4:$C$353,IFERROR(MATCH(273,'كشف الحساب'!$N$4:$N$353,0),0))),"")</f>
        <v/>
      </c>
      <c r="D277" s="66" t="str">
        <f>IFERROR(IF(IFERROR(MATCH(273,'كشف الحساب'!$N$4:$N$353,0),0)=0,"",INDEX('كشف الحساب'!$D$4:$D$353,IFERROR(MATCH(273,'كشف الحساب'!$N$4:$N$353,0),0))),"")</f>
        <v/>
      </c>
      <c r="E277" s="67" t="str">
        <f>IFERROR(IF(IFERROR(MATCH(273,'كشف الحساب'!$N$4:$N$353,0),0)=0,"",INDEX('كشف الحساب'!$E$4:$E$353,IFERROR(MATCH(273,'كشف الحساب'!$N$4:$N$353,0),0))),"")</f>
        <v/>
      </c>
      <c r="F277" s="64" t="str">
        <f>IFERROR(IF(IFERROR(MATCH(273,'كشف الحساب'!$N$4:$N$353,0),0)=0,"",INDEX('كشف الحساب'!$F$4:$F$353,IFERROR(MATCH(273,'كشف الحساب'!$N$4:$N$353,0),0))),"")</f>
        <v/>
      </c>
      <c r="G277" s="64" t="str">
        <f>IFERROR(IF(IFERROR(MATCH(273,'كشف الحساب'!$N$4:$N$353,0),0)=0,"",INDEX('كشف الحساب'!$G$4:$G$353,IFERROR(MATCH(273,'كشف الحساب'!$N$4:$N$353,0),0))),"")</f>
        <v/>
      </c>
      <c r="H277" s="64" t="str">
        <f>IFERROR(IF(IFERROR(MATCH(273,'كشف الحساب'!$N$4:$N$353,0),0)=0,"",INDEX('كشف الحساب'!$H$4:$H$353,IFERROR(MATCH(273,'كشف الحساب'!$N$4:$N$353,0),0))),"")</f>
        <v/>
      </c>
      <c r="I277" s="64" t="str">
        <f>IFERROR(IF(IFERROR(MATCH(273,'كشف الحساب'!$N$4:$N$353,0),0)=0,"",INDEX('كشف الحساب'!$I$4:$I$353,IFERROR(MATCH(273,'كشف الحساب'!$N$4:$N$353,0),0))),"")</f>
        <v/>
      </c>
      <c r="J277" s="68" t="str">
        <f>IFERROR(IF(IFERROR(MATCH(273,'كشف الحساب'!$N$4:$N$353,0),0)=0,"",INDEX('كشف الحساب'!$J$4:$J$353,IFERROR(MATCH(273,'كشف الحساب'!$N$4:$N$353,0),0))),"")</f>
        <v/>
      </c>
      <c r="K277" s="64" t="str">
        <f>IFERROR(IF(IFERROR(MATCH(273,'كشف الحساب'!$N$4:$N$353,0),0)=0,"",INDEX('كشف الحساب'!$K$4:$K$353,IFERROR(MATCH(273,'كشف الحساب'!$N$4:$N$353,0),0))),"")</f>
        <v/>
      </c>
    </row>
    <row r="278" spans="1:11" ht="15" customHeight="1" x14ac:dyDescent="0.25">
      <c r="A278" s="69" t="str">
        <f>IFERROR(IF(IFERROR(MATCH(274,'كشف الحساب'!$N$4:$N$353,0),0)=0,"",INDEX('كشف الحساب'!$A$4:$A$353,IFERROR(MATCH(274,'كشف الحساب'!$N$4:$N$353,0),0))),"")</f>
        <v/>
      </c>
      <c r="B278" s="70" t="str">
        <f>IFERROR(IF(IFERROR(MATCH(274,'كشف الحساب'!$N$4:$N$353,0),0)=0,"",INDEX('كشف الحساب'!$B$4:$B$353,IFERROR(MATCH(274,'كشف الحساب'!$N$4:$N$353,0),0))),"")</f>
        <v/>
      </c>
      <c r="C278" s="71" t="str">
        <f>IFERROR(IF(IFERROR(MATCH(274,'كشف الحساب'!$N$4:$N$353,0),0)=0,"",INDEX('كشف الحساب'!$C$4:$C$353,IFERROR(MATCH(274,'كشف الحساب'!$N$4:$N$353,0),0))),"")</f>
        <v/>
      </c>
      <c r="D278" s="72" t="str">
        <f>IFERROR(IF(IFERROR(MATCH(274,'كشف الحساب'!$N$4:$N$353,0),0)=0,"",INDEX('كشف الحساب'!$D$4:$D$353,IFERROR(MATCH(274,'كشف الحساب'!$N$4:$N$353,0),0))),"")</f>
        <v/>
      </c>
      <c r="E278" s="73" t="str">
        <f>IFERROR(IF(IFERROR(MATCH(274,'كشف الحساب'!$N$4:$N$353,0),0)=0,"",INDEX('كشف الحساب'!$E$4:$E$353,IFERROR(MATCH(274,'كشف الحساب'!$N$4:$N$353,0),0))),"")</f>
        <v/>
      </c>
      <c r="F278" s="70" t="str">
        <f>IFERROR(IF(IFERROR(MATCH(274,'كشف الحساب'!$N$4:$N$353,0),0)=0,"",INDEX('كشف الحساب'!$F$4:$F$353,IFERROR(MATCH(274,'كشف الحساب'!$N$4:$N$353,0),0))),"")</f>
        <v/>
      </c>
      <c r="G278" s="70" t="str">
        <f>IFERROR(IF(IFERROR(MATCH(274,'كشف الحساب'!$N$4:$N$353,0),0)=0,"",INDEX('كشف الحساب'!$G$4:$G$353,IFERROR(MATCH(274,'كشف الحساب'!$N$4:$N$353,0),0))),"")</f>
        <v/>
      </c>
      <c r="H278" s="70" t="str">
        <f>IFERROR(IF(IFERROR(MATCH(274,'كشف الحساب'!$N$4:$N$353,0),0)=0,"",INDEX('كشف الحساب'!$H$4:$H$353,IFERROR(MATCH(274,'كشف الحساب'!$N$4:$N$353,0),0))),"")</f>
        <v/>
      </c>
      <c r="I278" s="70" t="str">
        <f>IFERROR(IF(IFERROR(MATCH(274,'كشف الحساب'!$N$4:$N$353,0),0)=0,"",INDEX('كشف الحساب'!$I$4:$I$353,IFERROR(MATCH(274,'كشف الحساب'!$N$4:$N$353,0),0))),"")</f>
        <v/>
      </c>
      <c r="J278" s="74" t="str">
        <f>IFERROR(IF(IFERROR(MATCH(274,'كشف الحساب'!$N$4:$N$353,0),0)=0,"",INDEX('كشف الحساب'!$J$4:$J$353,IFERROR(MATCH(274,'كشف الحساب'!$N$4:$N$353,0),0))),"")</f>
        <v/>
      </c>
      <c r="K278" s="70" t="str">
        <f>IFERROR(IF(IFERROR(MATCH(274,'كشف الحساب'!$N$4:$N$353,0),0)=0,"",INDEX('كشف الحساب'!$K$4:$K$353,IFERROR(MATCH(274,'كشف الحساب'!$N$4:$N$353,0),0))),"")</f>
        <v/>
      </c>
    </row>
    <row r="279" spans="1:11" ht="15" customHeight="1" x14ac:dyDescent="0.25">
      <c r="A279" s="63" t="str">
        <f>IFERROR(IF(IFERROR(MATCH(275,'كشف الحساب'!$N$4:$N$353,0),0)=0,"",INDEX('كشف الحساب'!$A$4:$A$353,IFERROR(MATCH(275,'كشف الحساب'!$N$4:$N$353,0),0))),"")</f>
        <v/>
      </c>
      <c r="B279" s="64" t="str">
        <f>IFERROR(IF(IFERROR(MATCH(275,'كشف الحساب'!$N$4:$N$353,0),0)=0,"",INDEX('كشف الحساب'!$B$4:$B$353,IFERROR(MATCH(275,'كشف الحساب'!$N$4:$N$353,0),0))),"")</f>
        <v/>
      </c>
      <c r="C279" s="65" t="str">
        <f>IFERROR(IF(IFERROR(MATCH(275,'كشف الحساب'!$N$4:$N$353,0),0)=0,"",INDEX('كشف الحساب'!$C$4:$C$353,IFERROR(MATCH(275,'كشف الحساب'!$N$4:$N$353,0),0))),"")</f>
        <v/>
      </c>
      <c r="D279" s="66" t="str">
        <f>IFERROR(IF(IFERROR(MATCH(275,'كشف الحساب'!$N$4:$N$353,0),0)=0,"",INDEX('كشف الحساب'!$D$4:$D$353,IFERROR(MATCH(275,'كشف الحساب'!$N$4:$N$353,0),0))),"")</f>
        <v/>
      </c>
      <c r="E279" s="67" t="str">
        <f>IFERROR(IF(IFERROR(MATCH(275,'كشف الحساب'!$N$4:$N$353,0),0)=0,"",INDEX('كشف الحساب'!$E$4:$E$353,IFERROR(MATCH(275,'كشف الحساب'!$N$4:$N$353,0),0))),"")</f>
        <v/>
      </c>
      <c r="F279" s="64" t="str">
        <f>IFERROR(IF(IFERROR(MATCH(275,'كشف الحساب'!$N$4:$N$353,0),0)=0,"",INDEX('كشف الحساب'!$F$4:$F$353,IFERROR(MATCH(275,'كشف الحساب'!$N$4:$N$353,0),0))),"")</f>
        <v/>
      </c>
      <c r="G279" s="64" t="str">
        <f>IFERROR(IF(IFERROR(MATCH(275,'كشف الحساب'!$N$4:$N$353,0),0)=0,"",INDEX('كشف الحساب'!$G$4:$G$353,IFERROR(MATCH(275,'كشف الحساب'!$N$4:$N$353,0),0))),"")</f>
        <v/>
      </c>
      <c r="H279" s="64" t="str">
        <f>IFERROR(IF(IFERROR(MATCH(275,'كشف الحساب'!$N$4:$N$353,0),0)=0,"",INDEX('كشف الحساب'!$H$4:$H$353,IFERROR(MATCH(275,'كشف الحساب'!$N$4:$N$353,0),0))),"")</f>
        <v/>
      </c>
      <c r="I279" s="64" t="str">
        <f>IFERROR(IF(IFERROR(MATCH(275,'كشف الحساب'!$N$4:$N$353,0),0)=0,"",INDEX('كشف الحساب'!$I$4:$I$353,IFERROR(MATCH(275,'كشف الحساب'!$N$4:$N$353,0),0))),"")</f>
        <v/>
      </c>
      <c r="J279" s="68" t="str">
        <f>IFERROR(IF(IFERROR(MATCH(275,'كشف الحساب'!$N$4:$N$353,0),0)=0,"",INDEX('كشف الحساب'!$J$4:$J$353,IFERROR(MATCH(275,'كشف الحساب'!$N$4:$N$353,0),0))),"")</f>
        <v/>
      </c>
      <c r="K279" s="64" t="str">
        <f>IFERROR(IF(IFERROR(MATCH(275,'كشف الحساب'!$N$4:$N$353,0),0)=0,"",INDEX('كشف الحساب'!$K$4:$K$353,IFERROR(MATCH(275,'كشف الحساب'!$N$4:$N$353,0),0))),"")</f>
        <v/>
      </c>
    </row>
    <row r="280" spans="1:11" ht="15" customHeight="1" x14ac:dyDescent="0.25">
      <c r="A280" s="69" t="str">
        <f>IFERROR(IF(IFERROR(MATCH(276,'كشف الحساب'!$N$4:$N$353,0),0)=0,"",INDEX('كشف الحساب'!$A$4:$A$353,IFERROR(MATCH(276,'كشف الحساب'!$N$4:$N$353,0),0))),"")</f>
        <v/>
      </c>
      <c r="B280" s="70" t="str">
        <f>IFERROR(IF(IFERROR(MATCH(276,'كشف الحساب'!$N$4:$N$353,0),0)=0,"",INDEX('كشف الحساب'!$B$4:$B$353,IFERROR(MATCH(276,'كشف الحساب'!$N$4:$N$353,0),0))),"")</f>
        <v/>
      </c>
      <c r="C280" s="71" t="str">
        <f>IFERROR(IF(IFERROR(MATCH(276,'كشف الحساب'!$N$4:$N$353,0),0)=0,"",INDEX('كشف الحساب'!$C$4:$C$353,IFERROR(MATCH(276,'كشف الحساب'!$N$4:$N$353,0),0))),"")</f>
        <v/>
      </c>
      <c r="D280" s="72" t="str">
        <f>IFERROR(IF(IFERROR(MATCH(276,'كشف الحساب'!$N$4:$N$353,0),0)=0,"",INDEX('كشف الحساب'!$D$4:$D$353,IFERROR(MATCH(276,'كشف الحساب'!$N$4:$N$353,0),0))),"")</f>
        <v/>
      </c>
      <c r="E280" s="73" t="str">
        <f>IFERROR(IF(IFERROR(MATCH(276,'كشف الحساب'!$N$4:$N$353,0),0)=0,"",INDEX('كشف الحساب'!$E$4:$E$353,IFERROR(MATCH(276,'كشف الحساب'!$N$4:$N$353,0),0))),"")</f>
        <v/>
      </c>
      <c r="F280" s="70" t="str">
        <f>IFERROR(IF(IFERROR(MATCH(276,'كشف الحساب'!$N$4:$N$353,0),0)=0,"",INDEX('كشف الحساب'!$F$4:$F$353,IFERROR(MATCH(276,'كشف الحساب'!$N$4:$N$353,0),0))),"")</f>
        <v/>
      </c>
      <c r="G280" s="70" t="str">
        <f>IFERROR(IF(IFERROR(MATCH(276,'كشف الحساب'!$N$4:$N$353,0),0)=0,"",INDEX('كشف الحساب'!$G$4:$G$353,IFERROR(MATCH(276,'كشف الحساب'!$N$4:$N$353,0),0))),"")</f>
        <v/>
      </c>
      <c r="H280" s="70" t="str">
        <f>IFERROR(IF(IFERROR(MATCH(276,'كشف الحساب'!$N$4:$N$353,0),0)=0,"",INDEX('كشف الحساب'!$H$4:$H$353,IFERROR(MATCH(276,'كشف الحساب'!$N$4:$N$353,0),0))),"")</f>
        <v/>
      </c>
      <c r="I280" s="70" t="str">
        <f>IFERROR(IF(IFERROR(MATCH(276,'كشف الحساب'!$N$4:$N$353,0),0)=0,"",INDEX('كشف الحساب'!$I$4:$I$353,IFERROR(MATCH(276,'كشف الحساب'!$N$4:$N$353,0),0))),"")</f>
        <v/>
      </c>
      <c r="J280" s="74" t="str">
        <f>IFERROR(IF(IFERROR(MATCH(276,'كشف الحساب'!$N$4:$N$353,0),0)=0,"",INDEX('كشف الحساب'!$J$4:$J$353,IFERROR(MATCH(276,'كشف الحساب'!$N$4:$N$353,0),0))),"")</f>
        <v/>
      </c>
      <c r="K280" s="70" t="str">
        <f>IFERROR(IF(IFERROR(MATCH(276,'كشف الحساب'!$N$4:$N$353,0),0)=0,"",INDEX('كشف الحساب'!$K$4:$K$353,IFERROR(MATCH(276,'كشف الحساب'!$N$4:$N$353,0),0))),"")</f>
        <v/>
      </c>
    </row>
    <row r="281" spans="1:11" ht="15" customHeight="1" x14ac:dyDescent="0.25">
      <c r="A281" s="63" t="str">
        <f>IFERROR(IF(IFERROR(MATCH(277,'كشف الحساب'!$N$4:$N$353,0),0)=0,"",INDEX('كشف الحساب'!$A$4:$A$353,IFERROR(MATCH(277,'كشف الحساب'!$N$4:$N$353,0),0))),"")</f>
        <v/>
      </c>
      <c r="B281" s="64" t="str">
        <f>IFERROR(IF(IFERROR(MATCH(277,'كشف الحساب'!$N$4:$N$353,0),0)=0,"",INDEX('كشف الحساب'!$B$4:$B$353,IFERROR(MATCH(277,'كشف الحساب'!$N$4:$N$353,0),0))),"")</f>
        <v/>
      </c>
      <c r="C281" s="65" t="str">
        <f>IFERROR(IF(IFERROR(MATCH(277,'كشف الحساب'!$N$4:$N$353,0),0)=0,"",INDEX('كشف الحساب'!$C$4:$C$353,IFERROR(MATCH(277,'كشف الحساب'!$N$4:$N$353,0),0))),"")</f>
        <v/>
      </c>
      <c r="D281" s="66" t="str">
        <f>IFERROR(IF(IFERROR(MATCH(277,'كشف الحساب'!$N$4:$N$353,0),0)=0,"",INDEX('كشف الحساب'!$D$4:$D$353,IFERROR(MATCH(277,'كشف الحساب'!$N$4:$N$353,0),0))),"")</f>
        <v/>
      </c>
      <c r="E281" s="67" t="str">
        <f>IFERROR(IF(IFERROR(MATCH(277,'كشف الحساب'!$N$4:$N$353,0),0)=0,"",INDEX('كشف الحساب'!$E$4:$E$353,IFERROR(MATCH(277,'كشف الحساب'!$N$4:$N$353,0),0))),"")</f>
        <v/>
      </c>
      <c r="F281" s="64" t="str">
        <f>IFERROR(IF(IFERROR(MATCH(277,'كشف الحساب'!$N$4:$N$353,0),0)=0,"",INDEX('كشف الحساب'!$F$4:$F$353,IFERROR(MATCH(277,'كشف الحساب'!$N$4:$N$353,0),0))),"")</f>
        <v/>
      </c>
      <c r="G281" s="64" t="str">
        <f>IFERROR(IF(IFERROR(MATCH(277,'كشف الحساب'!$N$4:$N$353,0),0)=0,"",INDEX('كشف الحساب'!$G$4:$G$353,IFERROR(MATCH(277,'كشف الحساب'!$N$4:$N$353,0),0))),"")</f>
        <v/>
      </c>
      <c r="H281" s="64" t="str">
        <f>IFERROR(IF(IFERROR(MATCH(277,'كشف الحساب'!$N$4:$N$353,0),0)=0,"",INDEX('كشف الحساب'!$H$4:$H$353,IFERROR(MATCH(277,'كشف الحساب'!$N$4:$N$353,0),0))),"")</f>
        <v/>
      </c>
      <c r="I281" s="64" t="str">
        <f>IFERROR(IF(IFERROR(MATCH(277,'كشف الحساب'!$N$4:$N$353,0),0)=0,"",INDEX('كشف الحساب'!$I$4:$I$353,IFERROR(MATCH(277,'كشف الحساب'!$N$4:$N$353,0),0))),"")</f>
        <v/>
      </c>
      <c r="J281" s="68" t="str">
        <f>IFERROR(IF(IFERROR(MATCH(277,'كشف الحساب'!$N$4:$N$353,0),0)=0,"",INDEX('كشف الحساب'!$J$4:$J$353,IFERROR(MATCH(277,'كشف الحساب'!$N$4:$N$353,0),0))),"")</f>
        <v/>
      </c>
      <c r="K281" s="64" t="str">
        <f>IFERROR(IF(IFERROR(MATCH(277,'كشف الحساب'!$N$4:$N$353,0),0)=0,"",INDEX('كشف الحساب'!$K$4:$K$353,IFERROR(MATCH(277,'كشف الحساب'!$N$4:$N$353,0),0))),"")</f>
        <v/>
      </c>
    </row>
    <row r="282" spans="1:11" ht="15" customHeight="1" x14ac:dyDescent="0.25">
      <c r="A282" s="69" t="str">
        <f>IFERROR(IF(IFERROR(MATCH(278,'كشف الحساب'!$N$4:$N$353,0),0)=0,"",INDEX('كشف الحساب'!$A$4:$A$353,IFERROR(MATCH(278,'كشف الحساب'!$N$4:$N$353,0),0))),"")</f>
        <v/>
      </c>
      <c r="B282" s="70" t="str">
        <f>IFERROR(IF(IFERROR(MATCH(278,'كشف الحساب'!$N$4:$N$353,0),0)=0,"",INDEX('كشف الحساب'!$B$4:$B$353,IFERROR(MATCH(278,'كشف الحساب'!$N$4:$N$353,0),0))),"")</f>
        <v/>
      </c>
      <c r="C282" s="71" t="str">
        <f>IFERROR(IF(IFERROR(MATCH(278,'كشف الحساب'!$N$4:$N$353,0),0)=0,"",INDEX('كشف الحساب'!$C$4:$C$353,IFERROR(MATCH(278,'كشف الحساب'!$N$4:$N$353,0),0))),"")</f>
        <v/>
      </c>
      <c r="D282" s="72" t="str">
        <f>IFERROR(IF(IFERROR(MATCH(278,'كشف الحساب'!$N$4:$N$353,0),0)=0,"",INDEX('كشف الحساب'!$D$4:$D$353,IFERROR(MATCH(278,'كشف الحساب'!$N$4:$N$353,0),0))),"")</f>
        <v/>
      </c>
      <c r="E282" s="73" t="str">
        <f>IFERROR(IF(IFERROR(MATCH(278,'كشف الحساب'!$N$4:$N$353,0),0)=0,"",INDEX('كشف الحساب'!$E$4:$E$353,IFERROR(MATCH(278,'كشف الحساب'!$N$4:$N$353,0),0))),"")</f>
        <v/>
      </c>
      <c r="F282" s="70" t="str">
        <f>IFERROR(IF(IFERROR(MATCH(278,'كشف الحساب'!$N$4:$N$353,0),0)=0,"",INDEX('كشف الحساب'!$F$4:$F$353,IFERROR(MATCH(278,'كشف الحساب'!$N$4:$N$353,0),0))),"")</f>
        <v/>
      </c>
      <c r="G282" s="70" t="str">
        <f>IFERROR(IF(IFERROR(MATCH(278,'كشف الحساب'!$N$4:$N$353,0),0)=0,"",INDEX('كشف الحساب'!$G$4:$G$353,IFERROR(MATCH(278,'كشف الحساب'!$N$4:$N$353,0),0))),"")</f>
        <v/>
      </c>
      <c r="H282" s="70" t="str">
        <f>IFERROR(IF(IFERROR(MATCH(278,'كشف الحساب'!$N$4:$N$353,0),0)=0,"",INDEX('كشف الحساب'!$H$4:$H$353,IFERROR(MATCH(278,'كشف الحساب'!$N$4:$N$353,0),0))),"")</f>
        <v/>
      </c>
      <c r="I282" s="70" t="str">
        <f>IFERROR(IF(IFERROR(MATCH(278,'كشف الحساب'!$N$4:$N$353,0),0)=0,"",INDEX('كشف الحساب'!$I$4:$I$353,IFERROR(MATCH(278,'كشف الحساب'!$N$4:$N$353,0),0))),"")</f>
        <v/>
      </c>
      <c r="J282" s="74" t="str">
        <f>IFERROR(IF(IFERROR(MATCH(278,'كشف الحساب'!$N$4:$N$353,0),0)=0,"",INDEX('كشف الحساب'!$J$4:$J$353,IFERROR(MATCH(278,'كشف الحساب'!$N$4:$N$353,0),0))),"")</f>
        <v/>
      </c>
      <c r="K282" s="70" t="str">
        <f>IFERROR(IF(IFERROR(MATCH(278,'كشف الحساب'!$N$4:$N$353,0),0)=0,"",INDEX('كشف الحساب'!$K$4:$K$353,IFERROR(MATCH(278,'كشف الحساب'!$N$4:$N$353,0),0))),"")</f>
        <v/>
      </c>
    </row>
    <row r="283" spans="1:11" ht="15" customHeight="1" x14ac:dyDescent="0.25">
      <c r="A283" s="63" t="str">
        <f>IFERROR(IF(IFERROR(MATCH(279,'كشف الحساب'!$N$4:$N$353,0),0)=0,"",INDEX('كشف الحساب'!$A$4:$A$353,IFERROR(MATCH(279,'كشف الحساب'!$N$4:$N$353,0),0))),"")</f>
        <v/>
      </c>
      <c r="B283" s="64" t="str">
        <f>IFERROR(IF(IFERROR(MATCH(279,'كشف الحساب'!$N$4:$N$353,0),0)=0,"",INDEX('كشف الحساب'!$B$4:$B$353,IFERROR(MATCH(279,'كشف الحساب'!$N$4:$N$353,0),0))),"")</f>
        <v/>
      </c>
      <c r="C283" s="65" t="str">
        <f>IFERROR(IF(IFERROR(MATCH(279,'كشف الحساب'!$N$4:$N$353,0),0)=0,"",INDEX('كشف الحساب'!$C$4:$C$353,IFERROR(MATCH(279,'كشف الحساب'!$N$4:$N$353,0),0))),"")</f>
        <v/>
      </c>
      <c r="D283" s="66" t="str">
        <f>IFERROR(IF(IFERROR(MATCH(279,'كشف الحساب'!$N$4:$N$353,0),0)=0,"",INDEX('كشف الحساب'!$D$4:$D$353,IFERROR(MATCH(279,'كشف الحساب'!$N$4:$N$353,0),0))),"")</f>
        <v/>
      </c>
      <c r="E283" s="67" t="str">
        <f>IFERROR(IF(IFERROR(MATCH(279,'كشف الحساب'!$N$4:$N$353,0),0)=0,"",INDEX('كشف الحساب'!$E$4:$E$353,IFERROR(MATCH(279,'كشف الحساب'!$N$4:$N$353,0),0))),"")</f>
        <v/>
      </c>
      <c r="F283" s="64" t="str">
        <f>IFERROR(IF(IFERROR(MATCH(279,'كشف الحساب'!$N$4:$N$353,0),0)=0,"",INDEX('كشف الحساب'!$F$4:$F$353,IFERROR(MATCH(279,'كشف الحساب'!$N$4:$N$353,0),0))),"")</f>
        <v/>
      </c>
      <c r="G283" s="64" t="str">
        <f>IFERROR(IF(IFERROR(MATCH(279,'كشف الحساب'!$N$4:$N$353,0),0)=0,"",INDEX('كشف الحساب'!$G$4:$G$353,IFERROR(MATCH(279,'كشف الحساب'!$N$4:$N$353,0),0))),"")</f>
        <v/>
      </c>
      <c r="H283" s="64" t="str">
        <f>IFERROR(IF(IFERROR(MATCH(279,'كشف الحساب'!$N$4:$N$353,0),0)=0,"",INDEX('كشف الحساب'!$H$4:$H$353,IFERROR(MATCH(279,'كشف الحساب'!$N$4:$N$353,0),0))),"")</f>
        <v/>
      </c>
      <c r="I283" s="64" t="str">
        <f>IFERROR(IF(IFERROR(MATCH(279,'كشف الحساب'!$N$4:$N$353,0),0)=0,"",INDEX('كشف الحساب'!$I$4:$I$353,IFERROR(MATCH(279,'كشف الحساب'!$N$4:$N$353,0),0))),"")</f>
        <v/>
      </c>
      <c r="J283" s="68" t="str">
        <f>IFERROR(IF(IFERROR(MATCH(279,'كشف الحساب'!$N$4:$N$353,0),0)=0,"",INDEX('كشف الحساب'!$J$4:$J$353,IFERROR(MATCH(279,'كشف الحساب'!$N$4:$N$353,0),0))),"")</f>
        <v/>
      </c>
      <c r="K283" s="64" t="str">
        <f>IFERROR(IF(IFERROR(MATCH(279,'كشف الحساب'!$N$4:$N$353,0),0)=0,"",INDEX('كشف الحساب'!$K$4:$K$353,IFERROR(MATCH(279,'كشف الحساب'!$N$4:$N$353,0),0))),"")</f>
        <v/>
      </c>
    </row>
    <row r="284" spans="1:11" ht="15" customHeight="1" x14ac:dyDescent="0.25">
      <c r="A284" s="69" t="str">
        <f>IFERROR(IF(IFERROR(MATCH(280,'كشف الحساب'!$N$4:$N$353,0),0)=0,"",INDEX('كشف الحساب'!$A$4:$A$353,IFERROR(MATCH(280,'كشف الحساب'!$N$4:$N$353,0),0))),"")</f>
        <v/>
      </c>
      <c r="B284" s="70" t="str">
        <f>IFERROR(IF(IFERROR(MATCH(280,'كشف الحساب'!$N$4:$N$353,0),0)=0,"",INDEX('كشف الحساب'!$B$4:$B$353,IFERROR(MATCH(280,'كشف الحساب'!$N$4:$N$353,0),0))),"")</f>
        <v/>
      </c>
      <c r="C284" s="71" t="str">
        <f>IFERROR(IF(IFERROR(MATCH(280,'كشف الحساب'!$N$4:$N$353,0),0)=0,"",INDEX('كشف الحساب'!$C$4:$C$353,IFERROR(MATCH(280,'كشف الحساب'!$N$4:$N$353,0),0))),"")</f>
        <v/>
      </c>
      <c r="D284" s="72" t="str">
        <f>IFERROR(IF(IFERROR(MATCH(280,'كشف الحساب'!$N$4:$N$353,0),0)=0,"",INDEX('كشف الحساب'!$D$4:$D$353,IFERROR(MATCH(280,'كشف الحساب'!$N$4:$N$353,0),0))),"")</f>
        <v/>
      </c>
      <c r="E284" s="73" t="str">
        <f>IFERROR(IF(IFERROR(MATCH(280,'كشف الحساب'!$N$4:$N$353,0),0)=0,"",INDEX('كشف الحساب'!$E$4:$E$353,IFERROR(MATCH(280,'كشف الحساب'!$N$4:$N$353,0),0))),"")</f>
        <v/>
      </c>
      <c r="F284" s="70" t="str">
        <f>IFERROR(IF(IFERROR(MATCH(280,'كشف الحساب'!$N$4:$N$353,0),0)=0,"",INDEX('كشف الحساب'!$F$4:$F$353,IFERROR(MATCH(280,'كشف الحساب'!$N$4:$N$353,0),0))),"")</f>
        <v/>
      </c>
      <c r="G284" s="70" t="str">
        <f>IFERROR(IF(IFERROR(MATCH(280,'كشف الحساب'!$N$4:$N$353,0),0)=0,"",INDEX('كشف الحساب'!$G$4:$G$353,IFERROR(MATCH(280,'كشف الحساب'!$N$4:$N$353,0),0))),"")</f>
        <v/>
      </c>
      <c r="H284" s="70" t="str">
        <f>IFERROR(IF(IFERROR(MATCH(280,'كشف الحساب'!$N$4:$N$353,0),0)=0,"",INDEX('كشف الحساب'!$H$4:$H$353,IFERROR(MATCH(280,'كشف الحساب'!$N$4:$N$353,0),0))),"")</f>
        <v/>
      </c>
      <c r="I284" s="70" t="str">
        <f>IFERROR(IF(IFERROR(MATCH(280,'كشف الحساب'!$N$4:$N$353,0),0)=0,"",INDEX('كشف الحساب'!$I$4:$I$353,IFERROR(MATCH(280,'كشف الحساب'!$N$4:$N$353,0),0))),"")</f>
        <v/>
      </c>
      <c r="J284" s="74" t="str">
        <f>IFERROR(IF(IFERROR(MATCH(280,'كشف الحساب'!$N$4:$N$353,0),0)=0,"",INDEX('كشف الحساب'!$J$4:$J$353,IFERROR(MATCH(280,'كشف الحساب'!$N$4:$N$353,0),0))),"")</f>
        <v/>
      </c>
      <c r="K284" s="70" t="str">
        <f>IFERROR(IF(IFERROR(MATCH(280,'كشف الحساب'!$N$4:$N$353,0),0)=0,"",INDEX('كشف الحساب'!$K$4:$K$353,IFERROR(MATCH(280,'كشف الحساب'!$N$4:$N$353,0),0))),"")</f>
        <v/>
      </c>
    </row>
    <row r="285" spans="1:11" ht="15" customHeight="1" x14ac:dyDescent="0.25">
      <c r="A285" s="63" t="str">
        <f>IFERROR(IF(IFERROR(MATCH(281,'كشف الحساب'!$N$4:$N$353,0),0)=0,"",INDEX('كشف الحساب'!$A$4:$A$353,IFERROR(MATCH(281,'كشف الحساب'!$N$4:$N$353,0),0))),"")</f>
        <v/>
      </c>
      <c r="B285" s="64" t="str">
        <f>IFERROR(IF(IFERROR(MATCH(281,'كشف الحساب'!$N$4:$N$353,0),0)=0,"",INDEX('كشف الحساب'!$B$4:$B$353,IFERROR(MATCH(281,'كشف الحساب'!$N$4:$N$353,0),0))),"")</f>
        <v/>
      </c>
      <c r="C285" s="65" t="str">
        <f>IFERROR(IF(IFERROR(MATCH(281,'كشف الحساب'!$N$4:$N$353,0),0)=0,"",INDEX('كشف الحساب'!$C$4:$C$353,IFERROR(MATCH(281,'كشف الحساب'!$N$4:$N$353,0),0))),"")</f>
        <v/>
      </c>
      <c r="D285" s="66" t="str">
        <f>IFERROR(IF(IFERROR(MATCH(281,'كشف الحساب'!$N$4:$N$353,0),0)=0,"",INDEX('كشف الحساب'!$D$4:$D$353,IFERROR(MATCH(281,'كشف الحساب'!$N$4:$N$353,0),0))),"")</f>
        <v/>
      </c>
      <c r="E285" s="67" t="str">
        <f>IFERROR(IF(IFERROR(MATCH(281,'كشف الحساب'!$N$4:$N$353,0),0)=0,"",INDEX('كشف الحساب'!$E$4:$E$353,IFERROR(MATCH(281,'كشف الحساب'!$N$4:$N$353,0),0))),"")</f>
        <v/>
      </c>
      <c r="F285" s="64" t="str">
        <f>IFERROR(IF(IFERROR(MATCH(281,'كشف الحساب'!$N$4:$N$353,0),0)=0,"",INDEX('كشف الحساب'!$F$4:$F$353,IFERROR(MATCH(281,'كشف الحساب'!$N$4:$N$353,0),0))),"")</f>
        <v/>
      </c>
      <c r="G285" s="64" t="str">
        <f>IFERROR(IF(IFERROR(MATCH(281,'كشف الحساب'!$N$4:$N$353,0),0)=0,"",INDEX('كشف الحساب'!$G$4:$G$353,IFERROR(MATCH(281,'كشف الحساب'!$N$4:$N$353,0),0))),"")</f>
        <v/>
      </c>
      <c r="H285" s="64" t="str">
        <f>IFERROR(IF(IFERROR(MATCH(281,'كشف الحساب'!$N$4:$N$353,0),0)=0,"",INDEX('كشف الحساب'!$H$4:$H$353,IFERROR(MATCH(281,'كشف الحساب'!$N$4:$N$353,0),0))),"")</f>
        <v/>
      </c>
      <c r="I285" s="64" t="str">
        <f>IFERROR(IF(IFERROR(MATCH(281,'كشف الحساب'!$N$4:$N$353,0),0)=0,"",INDEX('كشف الحساب'!$I$4:$I$353,IFERROR(MATCH(281,'كشف الحساب'!$N$4:$N$353,0),0))),"")</f>
        <v/>
      </c>
      <c r="J285" s="68" t="str">
        <f>IFERROR(IF(IFERROR(MATCH(281,'كشف الحساب'!$N$4:$N$353,0),0)=0,"",INDEX('كشف الحساب'!$J$4:$J$353,IFERROR(MATCH(281,'كشف الحساب'!$N$4:$N$353,0),0))),"")</f>
        <v/>
      </c>
      <c r="K285" s="64" t="str">
        <f>IFERROR(IF(IFERROR(MATCH(281,'كشف الحساب'!$N$4:$N$353,0),0)=0,"",INDEX('كشف الحساب'!$K$4:$K$353,IFERROR(MATCH(281,'كشف الحساب'!$N$4:$N$353,0),0))),"")</f>
        <v/>
      </c>
    </row>
    <row r="286" spans="1:11" ht="15" customHeight="1" x14ac:dyDescent="0.25">
      <c r="A286" s="69" t="str">
        <f>IFERROR(IF(IFERROR(MATCH(282,'كشف الحساب'!$N$4:$N$353,0),0)=0,"",INDEX('كشف الحساب'!$A$4:$A$353,IFERROR(MATCH(282,'كشف الحساب'!$N$4:$N$353,0),0))),"")</f>
        <v/>
      </c>
      <c r="B286" s="70" t="str">
        <f>IFERROR(IF(IFERROR(MATCH(282,'كشف الحساب'!$N$4:$N$353,0),0)=0,"",INDEX('كشف الحساب'!$B$4:$B$353,IFERROR(MATCH(282,'كشف الحساب'!$N$4:$N$353,0),0))),"")</f>
        <v/>
      </c>
      <c r="C286" s="71" t="str">
        <f>IFERROR(IF(IFERROR(MATCH(282,'كشف الحساب'!$N$4:$N$353,0),0)=0,"",INDEX('كشف الحساب'!$C$4:$C$353,IFERROR(MATCH(282,'كشف الحساب'!$N$4:$N$353,0),0))),"")</f>
        <v/>
      </c>
      <c r="D286" s="72" t="str">
        <f>IFERROR(IF(IFERROR(MATCH(282,'كشف الحساب'!$N$4:$N$353,0),0)=0,"",INDEX('كشف الحساب'!$D$4:$D$353,IFERROR(MATCH(282,'كشف الحساب'!$N$4:$N$353,0),0))),"")</f>
        <v/>
      </c>
      <c r="E286" s="73" t="str">
        <f>IFERROR(IF(IFERROR(MATCH(282,'كشف الحساب'!$N$4:$N$353,0),0)=0,"",INDEX('كشف الحساب'!$E$4:$E$353,IFERROR(MATCH(282,'كشف الحساب'!$N$4:$N$353,0),0))),"")</f>
        <v/>
      </c>
      <c r="F286" s="70" t="str">
        <f>IFERROR(IF(IFERROR(MATCH(282,'كشف الحساب'!$N$4:$N$353,0),0)=0,"",INDEX('كشف الحساب'!$F$4:$F$353,IFERROR(MATCH(282,'كشف الحساب'!$N$4:$N$353,0),0))),"")</f>
        <v/>
      </c>
      <c r="G286" s="70" t="str">
        <f>IFERROR(IF(IFERROR(MATCH(282,'كشف الحساب'!$N$4:$N$353,0),0)=0,"",INDEX('كشف الحساب'!$G$4:$G$353,IFERROR(MATCH(282,'كشف الحساب'!$N$4:$N$353,0),0))),"")</f>
        <v/>
      </c>
      <c r="H286" s="70" t="str">
        <f>IFERROR(IF(IFERROR(MATCH(282,'كشف الحساب'!$N$4:$N$353,0),0)=0,"",INDEX('كشف الحساب'!$H$4:$H$353,IFERROR(MATCH(282,'كشف الحساب'!$N$4:$N$353,0),0))),"")</f>
        <v/>
      </c>
      <c r="I286" s="70" t="str">
        <f>IFERROR(IF(IFERROR(MATCH(282,'كشف الحساب'!$N$4:$N$353,0),0)=0,"",INDEX('كشف الحساب'!$I$4:$I$353,IFERROR(MATCH(282,'كشف الحساب'!$N$4:$N$353,0),0))),"")</f>
        <v/>
      </c>
      <c r="J286" s="74" t="str">
        <f>IFERROR(IF(IFERROR(MATCH(282,'كشف الحساب'!$N$4:$N$353,0),0)=0,"",INDEX('كشف الحساب'!$J$4:$J$353,IFERROR(MATCH(282,'كشف الحساب'!$N$4:$N$353,0),0))),"")</f>
        <v/>
      </c>
      <c r="K286" s="70" t="str">
        <f>IFERROR(IF(IFERROR(MATCH(282,'كشف الحساب'!$N$4:$N$353,0),0)=0,"",INDEX('كشف الحساب'!$K$4:$K$353,IFERROR(MATCH(282,'كشف الحساب'!$N$4:$N$353,0),0))),"")</f>
        <v/>
      </c>
    </row>
    <row r="287" spans="1:11" ht="15" customHeight="1" x14ac:dyDescent="0.25">
      <c r="A287" s="63" t="str">
        <f>IFERROR(IF(IFERROR(MATCH(283,'كشف الحساب'!$N$4:$N$353,0),0)=0,"",INDEX('كشف الحساب'!$A$4:$A$353,IFERROR(MATCH(283,'كشف الحساب'!$N$4:$N$353,0),0))),"")</f>
        <v/>
      </c>
      <c r="B287" s="64" t="str">
        <f>IFERROR(IF(IFERROR(MATCH(283,'كشف الحساب'!$N$4:$N$353,0),0)=0,"",INDEX('كشف الحساب'!$B$4:$B$353,IFERROR(MATCH(283,'كشف الحساب'!$N$4:$N$353,0),0))),"")</f>
        <v/>
      </c>
      <c r="C287" s="65" t="str">
        <f>IFERROR(IF(IFERROR(MATCH(283,'كشف الحساب'!$N$4:$N$353,0),0)=0,"",INDEX('كشف الحساب'!$C$4:$C$353,IFERROR(MATCH(283,'كشف الحساب'!$N$4:$N$353,0),0))),"")</f>
        <v/>
      </c>
      <c r="D287" s="66" t="str">
        <f>IFERROR(IF(IFERROR(MATCH(283,'كشف الحساب'!$N$4:$N$353,0),0)=0,"",INDEX('كشف الحساب'!$D$4:$D$353,IFERROR(MATCH(283,'كشف الحساب'!$N$4:$N$353,0),0))),"")</f>
        <v/>
      </c>
      <c r="E287" s="67" t="str">
        <f>IFERROR(IF(IFERROR(MATCH(283,'كشف الحساب'!$N$4:$N$353,0),0)=0,"",INDEX('كشف الحساب'!$E$4:$E$353,IFERROR(MATCH(283,'كشف الحساب'!$N$4:$N$353,0),0))),"")</f>
        <v/>
      </c>
      <c r="F287" s="64" t="str">
        <f>IFERROR(IF(IFERROR(MATCH(283,'كشف الحساب'!$N$4:$N$353,0),0)=0,"",INDEX('كشف الحساب'!$F$4:$F$353,IFERROR(MATCH(283,'كشف الحساب'!$N$4:$N$353,0),0))),"")</f>
        <v/>
      </c>
      <c r="G287" s="64" t="str">
        <f>IFERROR(IF(IFERROR(MATCH(283,'كشف الحساب'!$N$4:$N$353,0),0)=0,"",INDEX('كشف الحساب'!$G$4:$G$353,IFERROR(MATCH(283,'كشف الحساب'!$N$4:$N$353,0),0))),"")</f>
        <v/>
      </c>
      <c r="H287" s="64" t="str">
        <f>IFERROR(IF(IFERROR(MATCH(283,'كشف الحساب'!$N$4:$N$353,0),0)=0,"",INDEX('كشف الحساب'!$H$4:$H$353,IFERROR(MATCH(283,'كشف الحساب'!$N$4:$N$353,0),0))),"")</f>
        <v/>
      </c>
      <c r="I287" s="64" t="str">
        <f>IFERROR(IF(IFERROR(MATCH(283,'كشف الحساب'!$N$4:$N$353,0),0)=0,"",INDEX('كشف الحساب'!$I$4:$I$353,IFERROR(MATCH(283,'كشف الحساب'!$N$4:$N$353,0),0))),"")</f>
        <v/>
      </c>
      <c r="J287" s="68" t="str">
        <f>IFERROR(IF(IFERROR(MATCH(283,'كشف الحساب'!$N$4:$N$353,0),0)=0,"",INDEX('كشف الحساب'!$J$4:$J$353,IFERROR(MATCH(283,'كشف الحساب'!$N$4:$N$353,0),0))),"")</f>
        <v/>
      </c>
      <c r="K287" s="64" t="str">
        <f>IFERROR(IF(IFERROR(MATCH(283,'كشف الحساب'!$N$4:$N$353,0),0)=0,"",INDEX('كشف الحساب'!$K$4:$K$353,IFERROR(MATCH(283,'كشف الحساب'!$N$4:$N$353,0),0))),"")</f>
        <v/>
      </c>
    </row>
    <row r="288" spans="1:11" ht="15" customHeight="1" x14ac:dyDescent="0.25">
      <c r="A288" s="69" t="str">
        <f>IFERROR(IF(IFERROR(MATCH(284,'كشف الحساب'!$N$4:$N$353,0),0)=0,"",INDEX('كشف الحساب'!$A$4:$A$353,IFERROR(MATCH(284,'كشف الحساب'!$N$4:$N$353,0),0))),"")</f>
        <v/>
      </c>
      <c r="B288" s="70" t="str">
        <f>IFERROR(IF(IFERROR(MATCH(284,'كشف الحساب'!$N$4:$N$353,0),0)=0,"",INDEX('كشف الحساب'!$B$4:$B$353,IFERROR(MATCH(284,'كشف الحساب'!$N$4:$N$353,0),0))),"")</f>
        <v/>
      </c>
      <c r="C288" s="71" t="str">
        <f>IFERROR(IF(IFERROR(MATCH(284,'كشف الحساب'!$N$4:$N$353,0),0)=0,"",INDEX('كشف الحساب'!$C$4:$C$353,IFERROR(MATCH(284,'كشف الحساب'!$N$4:$N$353,0),0))),"")</f>
        <v/>
      </c>
      <c r="D288" s="72" t="str">
        <f>IFERROR(IF(IFERROR(MATCH(284,'كشف الحساب'!$N$4:$N$353,0),0)=0,"",INDEX('كشف الحساب'!$D$4:$D$353,IFERROR(MATCH(284,'كشف الحساب'!$N$4:$N$353,0),0))),"")</f>
        <v/>
      </c>
      <c r="E288" s="73" t="str">
        <f>IFERROR(IF(IFERROR(MATCH(284,'كشف الحساب'!$N$4:$N$353,0),0)=0,"",INDEX('كشف الحساب'!$E$4:$E$353,IFERROR(MATCH(284,'كشف الحساب'!$N$4:$N$353,0),0))),"")</f>
        <v/>
      </c>
      <c r="F288" s="70" t="str">
        <f>IFERROR(IF(IFERROR(MATCH(284,'كشف الحساب'!$N$4:$N$353,0),0)=0,"",INDEX('كشف الحساب'!$F$4:$F$353,IFERROR(MATCH(284,'كشف الحساب'!$N$4:$N$353,0),0))),"")</f>
        <v/>
      </c>
      <c r="G288" s="70" t="str">
        <f>IFERROR(IF(IFERROR(MATCH(284,'كشف الحساب'!$N$4:$N$353,0),0)=0,"",INDEX('كشف الحساب'!$G$4:$G$353,IFERROR(MATCH(284,'كشف الحساب'!$N$4:$N$353,0),0))),"")</f>
        <v/>
      </c>
      <c r="H288" s="70" t="str">
        <f>IFERROR(IF(IFERROR(MATCH(284,'كشف الحساب'!$N$4:$N$353,0),0)=0,"",INDEX('كشف الحساب'!$H$4:$H$353,IFERROR(MATCH(284,'كشف الحساب'!$N$4:$N$353,0),0))),"")</f>
        <v/>
      </c>
      <c r="I288" s="70" t="str">
        <f>IFERROR(IF(IFERROR(MATCH(284,'كشف الحساب'!$N$4:$N$353,0),0)=0,"",INDEX('كشف الحساب'!$I$4:$I$353,IFERROR(MATCH(284,'كشف الحساب'!$N$4:$N$353,0),0))),"")</f>
        <v/>
      </c>
      <c r="J288" s="74" t="str">
        <f>IFERROR(IF(IFERROR(MATCH(284,'كشف الحساب'!$N$4:$N$353,0),0)=0,"",INDEX('كشف الحساب'!$J$4:$J$353,IFERROR(MATCH(284,'كشف الحساب'!$N$4:$N$353,0),0))),"")</f>
        <v/>
      </c>
      <c r="K288" s="70" t="str">
        <f>IFERROR(IF(IFERROR(MATCH(284,'كشف الحساب'!$N$4:$N$353,0),0)=0,"",INDEX('كشف الحساب'!$K$4:$K$353,IFERROR(MATCH(284,'كشف الحساب'!$N$4:$N$353,0),0))),"")</f>
        <v/>
      </c>
    </row>
    <row r="289" spans="1:11" ht="15" customHeight="1" x14ac:dyDescent="0.25">
      <c r="A289" s="63" t="str">
        <f>IFERROR(IF(IFERROR(MATCH(285,'كشف الحساب'!$N$4:$N$353,0),0)=0,"",INDEX('كشف الحساب'!$A$4:$A$353,IFERROR(MATCH(285,'كشف الحساب'!$N$4:$N$353,0),0))),"")</f>
        <v/>
      </c>
      <c r="B289" s="64" t="str">
        <f>IFERROR(IF(IFERROR(MATCH(285,'كشف الحساب'!$N$4:$N$353,0),0)=0,"",INDEX('كشف الحساب'!$B$4:$B$353,IFERROR(MATCH(285,'كشف الحساب'!$N$4:$N$353,0),0))),"")</f>
        <v/>
      </c>
      <c r="C289" s="65" t="str">
        <f>IFERROR(IF(IFERROR(MATCH(285,'كشف الحساب'!$N$4:$N$353,0),0)=0,"",INDEX('كشف الحساب'!$C$4:$C$353,IFERROR(MATCH(285,'كشف الحساب'!$N$4:$N$353,0),0))),"")</f>
        <v/>
      </c>
      <c r="D289" s="66" t="str">
        <f>IFERROR(IF(IFERROR(MATCH(285,'كشف الحساب'!$N$4:$N$353,0),0)=0,"",INDEX('كشف الحساب'!$D$4:$D$353,IFERROR(MATCH(285,'كشف الحساب'!$N$4:$N$353,0),0))),"")</f>
        <v/>
      </c>
      <c r="E289" s="67" t="str">
        <f>IFERROR(IF(IFERROR(MATCH(285,'كشف الحساب'!$N$4:$N$353,0),0)=0,"",INDEX('كشف الحساب'!$E$4:$E$353,IFERROR(MATCH(285,'كشف الحساب'!$N$4:$N$353,0),0))),"")</f>
        <v/>
      </c>
      <c r="F289" s="64" t="str">
        <f>IFERROR(IF(IFERROR(MATCH(285,'كشف الحساب'!$N$4:$N$353,0),0)=0,"",INDEX('كشف الحساب'!$F$4:$F$353,IFERROR(MATCH(285,'كشف الحساب'!$N$4:$N$353,0),0))),"")</f>
        <v/>
      </c>
      <c r="G289" s="64" t="str">
        <f>IFERROR(IF(IFERROR(MATCH(285,'كشف الحساب'!$N$4:$N$353,0),0)=0,"",INDEX('كشف الحساب'!$G$4:$G$353,IFERROR(MATCH(285,'كشف الحساب'!$N$4:$N$353,0),0))),"")</f>
        <v/>
      </c>
      <c r="H289" s="64" t="str">
        <f>IFERROR(IF(IFERROR(MATCH(285,'كشف الحساب'!$N$4:$N$353,0),0)=0,"",INDEX('كشف الحساب'!$H$4:$H$353,IFERROR(MATCH(285,'كشف الحساب'!$N$4:$N$353,0),0))),"")</f>
        <v/>
      </c>
      <c r="I289" s="64" t="str">
        <f>IFERROR(IF(IFERROR(MATCH(285,'كشف الحساب'!$N$4:$N$353,0),0)=0,"",INDEX('كشف الحساب'!$I$4:$I$353,IFERROR(MATCH(285,'كشف الحساب'!$N$4:$N$353,0),0))),"")</f>
        <v/>
      </c>
      <c r="J289" s="68" t="str">
        <f>IFERROR(IF(IFERROR(MATCH(285,'كشف الحساب'!$N$4:$N$353,0),0)=0,"",INDEX('كشف الحساب'!$J$4:$J$353,IFERROR(MATCH(285,'كشف الحساب'!$N$4:$N$353,0),0))),"")</f>
        <v/>
      </c>
      <c r="K289" s="64" t="str">
        <f>IFERROR(IF(IFERROR(MATCH(285,'كشف الحساب'!$N$4:$N$353,0),0)=0,"",INDEX('كشف الحساب'!$K$4:$K$353,IFERROR(MATCH(285,'كشف الحساب'!$N$4:$N$353,0),0))),"")</f>
        <v/>
      </c>
    </row>
    <row r="290" spans="1:11" ht="15" customHeight="1" x14ac:dyDescent="0.25">
      <c r="A290" s="69" t="str">
        <f>IFERROR(IF(IFERROR(MATCH(286,'كشف الحساب'!$N$4:$N$353,0),0)=0,"",INDEX('كشف الحساب'!$A$4:$A$353,IFERROR(MATCH(286,'كشف الحساب'!$N$4:$N$353,0),0))),"")</f>
        <v/>
      </c>
      <c r="B290" s="70" t="str">
        <f>IFERROR(IF(IFERROR(MATCH(286,'كشف الحساب'!$N$4:$N$353,0),0)=0,"",INDEX('كشف الحساب'!$B$4:$B$353,IFERROR(MATCH(286,'كشف الحساب'!$N$4:$N$353,0),0))),"")</f>
        <v/>
      </c>
      <c r="C290" s="71" t="str">
        <f>IFERROR(IF(IFERROR(MATCH(286,'كشف الحساب'!$N$4:$N$353,0),0)=0,"",INDEX('كشف الحساب'!$C$4:$C$353,IFERROR(MATCH(286,'كشف الحساب'!$N$4:$N$353,0),0))),"")</f>
        <v/>
      </c>
      <c r="D290" s="72" t="str">
        <f>IFERROR(IF(IFERROR(MATCH(286,'كشف الحساب'!$N$4:$N$353,0),0)=0,"",INDEX('كشف الحساب'!$D$4:$D$353,IFERROR(MATCH(286,'كشف الحساب'!$N$4:$N$353,0),0))),"")</f>
        <v/>
      </c>
      <c r="E290" s="73" t="str">
        <f>IFERROR(IF(IFERROR(MATCH(286,'كشف الحساب'!$N$4:$N$353,0),0)=0,"",INDEX('كشف الحساب'!$E$4:$E$353,IFERROR(MATCH(286,'كشف الحساب'!$N$4:$N$353,0),0))),"")</f>
        <v/>
      </c>
      <c r="F290" s="70" t="str">
        <f>IFERROR(IF(IFERROR(MATCH(286,'كشف الحساب'!$N$4:$N$353,0),0)=0,"",INDEX('كشف الحساب'!$F$4:$F$353,IFERROR(MATCH(286,'كشف الحساب'!$N$4:$N$353,0),0))),"")</f>
        <v/>
      </c>
      <c r="G290" s="70" t="str">
        <f>IFERROR(IF(IFERROR(MATCH(286,'كشف الحساب'!$N$4:$N$353,0),0)=0,"",INDEX('كشف الحساب'!$G$4:$G$353,IFERROR(MATCH(286,'كشف الحساب'!$N$4:$N$353,0),0))),"")</f>
        <v/>
      </c>
      <c r="H290" s="70" t="str">
        <f>IFERROR(IF(IFERROR(MATCH(286,'كشف الحساب'!$N$4:$N$353,0),0)=0,"",INDEX('كشف الحساب'!$H$4:$H$353,IFERROR(MATCH(286,'كشف الحساب'!$N$4:$N$353,0),0))),"")</f>
        <v/>
      </c>
      <c r="I290" s="70" t="str">
        <f>IFERROR(IF(IFERROR(MATCH(286,'كشف الحساب'!$N$4:$N$353,0),0)=0,"",INDEX('كشف الحساب'!$I$4:$I$353,IFERROR(MATCH(286,'كشف الحساب'!$N$4:$N$353,0),0))),"")</f>
        <v/>
      </c>
      <c r="J290" s="74" t="str">
        <f>IFERROR(IF(IFERROR(MATCH(286,'كشف الحساب'!$N$4:$N$353,0),0)=0,"",INDEX('كشف الحساب'!$J$4:$J$353,IFERROR(MATCH(286,'كشف الحساب'!$N$4:$N$353,0),0))),"")</f>
        <v/>
      </c>
      <c r="K290" s="70" t="str">
        <f>IFERROR(IF(IFERROR(MATCH(286,'كشف الحساب'!$N$4:$N$353,0),0)=0,"",INDEX('كشف الحساب'!$K$4:$K$353,IFERROR(MATCH(286,'كشف الحساب'!$N$4:$N$353,0),0))),"")</f>
        <v/>
      </c>
    </row>
    <row r="291" spans="1:11" ht="15" customHeight="1" x14ac:dyDescent="0.25">
      <c r="A291" s="63" t="str">
        <f>IFERROR(IF(IFERROR(MATCH(287,'كشف الحساب'!$N$4:$N$353,0),0)=0,"",INDEX('كشف الحساب'!$A$4:$A$353,IFERROR(MATCH(287,'كشف الحساب'!$N$4:$N$353,0),0))),"")</f>
        <v/>
      </c>
      <c r="B291" s="64" t="str">
        <f>IFERROR(IF(IFERROR(MATCH(287,'كشف الحساب'!$N$4:$N$353,0),0)=0,"",INDEX('كشف الحساب'!$B$4:$B$353,IFERROR(MATCH(287,'كشف الحساب'!$N$4:$N$353,0),0))),"")</f>
        <v/>
      </c>
      <c r="C291" s="65" t="str">
        <f>IFERROR(IF(IFERROR(MATCH(287,'كشف الحساب'!$N$4:$N$353,0),0)=0,"",INDEX('كشف الحساب'!$C$4:$C$353,IFERROR(MATCH(287,'كشف الحساب'!$N$4:$N$353,0),0))),"")</f>
        <v/>
      </c>
      <c r="D291" s="66" t="str">
        <f>IFERROR(IF(IFERROR(MATCH(287,'كشف الحساب'!$N$4:$N$353,0),0)=0,"",INDEX('كشف الحساب'!$D$4:$D$353,IFERROR(MATCH(287,'كشف الحساب'!$N$4:$N$353,0),0))),"")</f>
        <v/>
      </c>
      <c r="E291" s="67" t="str">
        <f>IFERROR(IF(IFERROR(MATCH(287,'كشف الحساب'!$N$4:$N$353,0),0)=0,"",INDEX('كشف الحساب'!$E$4:$E$353,IFERROR(MATCH(287,'كشف الحساب'!$N$4:$N$353,0),0))),"")</f>
        <v/>
      </c>
      <c r="F291" s="64" t="str">
        <f>IFERROR(IF(IFERROR(MATCH(287,'كشف الحساب'!$N$4:$N$353,0),0)=0,"",INDEX('كشف الحساب'!$F$4:$F$353,IFERROR(MATCH(287,'كشف الحساب'!$N$4:$N$353,0),0))),"")</f>
        <v/>
      </c>
      <c r="G291" s="64" t="str">
        <f>IFERROR(IF(IFERROR(MATCH(287,'كشف الحساب'!$N$4:$N$353,0),0)=0,"",INDEX('كشف الحساب'!$G$4:$G$353,IFERROR(MATCH(287,'كشف الحساب'!$N$4:$N$353,0),0))),"")</f>
        <v/>
      </c>
      <c r="H291" s="64" t="str">
        <f>IFERROR(IF(IFERROR(MATCH(287,'كشف الحساب'!$N$4:$N$353,0),0)=0,"",INDEX('كشف الحساب'!$H$4:$H$353,IFERROR(MATCH(287,'كشف الحساب'!$N$4:$N$353,0),0))),"")</f>
        <v/>
      </c>
      <c r="I291" s="64" t="str">
        <f>IFERROR(IF(IFERROR(MATCH(287,'كشف الحساب'!$N$4:$N$353,0),0)=0,"",INDEX('كشف الحساب'!$I$4:$I$353,IFERROR(MATCH(287,'كشف الحساب'!$N$4:$N$353,0),0))),"")</f>
        <v/>
      </c>
      <c r="J291" s="68" t="str">
        <f>IFERROR(IF(IFERROR(MATCH(287,'كشف الحساب'!$N$4:$N$353,0),0)=0,"",INDEX('كشف الحساب'!$J$4:$J$353,IFERROR(MATCH(287,'كشف الحساب'!$N$4:$N$353,0),0))),"")</f>
        <v/>
      </c>
      <c r="K291" s="64" t="str">
        <f>IFERROR(IF(IFERROR(MATCH(287,'كشف الحساب'!$N$4:$N$353,0),0)=0,"",INDEX('كشف الحساب'!$K$4:$K$353,IFERROR(MATCH(287,'كشف الحساب'!$N$4:$N$353,0),0))),"")</f>
        <v/>
      </c>
    </row>
    <row r="292" spans="1:11" ht="15" customHeight="1" x14ac:dyDescent="0.25">
      <c r="A292" s="69" t="str">
        <f>IFERROR(IF(IFERROR(MATCH(288,'كشف الحساب'!$N$4:$N$353,0),0)=0,"",INDEX('كشف الحساب'!$A$4:$A$353,IFERROR(MATCH(288,'كشف الحساب'!$N$4:$N$353,0),0))),"")</f>
        <v/>
      </c>
      <c r="B292" s="70" t="str">
        <f>IFERROR(IF(IFERROR(MATCH(288,'كشف الحساب'!$N$4:$N$353,0),0)=0,"",INDEX('كشف الحساب'!$B$4:$B$353,IFERROR(MATCH(288,'كشف الحساب'!$N$4:$N$353,0),0))),"")</f>
        <v/>
      </c>
      <c r="C292" s="71" t="str">
        <f>IFERROR(IF(IFERROR(MATCH(288,'كشف الحساب'!$N$4:$N$353,0),0)=0,"",INDEX('كشف الحساب'!$C$4:$C$353,IFERROR(MATCH(288,'كشف الحساب'!$N$4:$N$353,0),0))),"")</f>
        <v/>
      </c>
      <c r="D292" s="72" t="str">
        <f>IFERROR(IF(IFERROR(MATCH(288,'كشف الحساب'!$N$4:$N$353,0),0)=0,"",INDEX('كشف الحساب'!$D$4:$D$353,IFERROR(MATCH(288,'كشف الحساب'!$N$4:$N$353,0),0))),"")</f>
        <v/>
      </c>
      <c r="E292" s="73" t="str">
        <f>IFERROR(IF(IFERROR(MATCH(288,'كشف الحساب'!$N$4:$N$353,0),0)=0,"",INDEX('كشف الحساب'!$E$4:$E$353,IFERROR(MATCH(288,'كشف الحساب'!$N$4:$N$353,0),0))),"")</f>
        <v/>
      </c>
      <c r="F292" s="70" t="str">
        <f>IFERROR(IF(IFERROR(MATCH(288,'كشف الحساب'!$N$4:$N$353,0),0)=0,"",INDEX('كشف الحساب'!$F$4:$F$353,IFERROR(MATCH(288,'كشف الحساب'!$N$4:$N$353,0),0))),"")</f>
        <v/>
      </c>
      <c r="G292" s="70" t="str">
        <f>IFERROR(IF(IFERROR(MATCH(288,'كشف الحساب'!$N$4:$N$353,0),0)=0,"",INDEX('كشف الحساب'!$G$4:$G$353,IFERROR(MATCH(288,'كشف الحساب'!$N$4:$N$353,0),0))),"")</f>
        <v/>
      </c>
      <c r="H292" s="70" t="str">
        <f>IFERROR(IF(IFERROR(MATCH(288,'كشف الحساب'!$N$4:$N$353,0),0)=0,"",INDEX('كشف الحساب'!$H$4:$H$353,IFERROR(MATCH(288,'كشف الحساب'!$N$4:$N$353,0),0))),"")</f>
        <v/>
      </c>
      <c r="I292" s="70" t="str">
        <f>IFERROR(IF(IFERROR(MATCH(288,'كشف الحساب'!$N$4:$N$353,0),0)=0,"",INDEX('كشف الحساب'!$I$4:$I$353,IFERROR(MATCH(288,'كشف الحساب'!$N$4:$N$353,0),0))),"")</f>
        <v/>
      </c>
      <c r="J292" s="74" t="str">
        <f>IFERROR(IF(IFERROR(MATCH(288,'كشف الحساب'!$N$4:$N$353,0),0)=0,"",INDEX('كشف الحساب'!$J$4:$J$353,IFERROR(MATCH(288,'كشف الحساب'!$N$4:$N$353,0),0))),"")</f>
        <v/>
      </c>
      <c r="K292" s="70" t="str">
        <f>IFERROR(IF(IFERROR(MATCH(288,'كشف الحساب'!$N$4:$N$353,0),0)=0,"",INDEX('كشف الحساب'!$K$4:$K$353,IFERROR(MATCH(288,'كشف الحساب'!$N$4:$N$353,0),0))),"")</f>
        <v/>
      </c>
    </row>
    <row r="293" spans="1:11" ht="15" customHeight="1" x14ac:dyDescent="0.25">
      <c r="A293" s="63" t="str">
        <f>IFERROR(IF(IFERROR(MATCH(289,'كشف الحساب'!$N$4:$N$353,0),0)=0,"",INDEX('كشف الحساب'!$A$4:$A$353,IFERROR(MATCH(289,'كشف الحساب'!$N$4:$N$353,0),0))),"")</f>
        <v/>
      </c>
      <c r="B293" s="64" t="str">
        <f>IFERROR(IF(IFERROR(MATCH(289,'كشف الحساب'!$N$4:$N$353,0),0)=0,"",INDEX('كشف الحساب'!$B$4:$B$353,IFERROR(MATCH(289,'كشف الحساب'!$N$4:$N$353,0),0))),"")</f>
        <v/>
      </c>
      <c r="C293" s="65" t="str">
        <f>IFERROR(IF(IFERROR(MATCH(289,'كشف الحساب'!$N$4:$N$353,0),0)=0,"",INDEX('كشف الحساب'!$C$4:$C$353,IFERROR(MATCH(289,'كشف الحساب'!$N$4:$N$353,0),0))),"")</f>
        <v/>
      </c>
      <c r="D293" s="66" t="str">
        <f>IFERROR(IF(IFERROR(MATCH(289,'كشف الحساب'!$N$4:$N$353,0),0)=0,"",INDEX('كشف الحساب'!$D$4:$D$353,IFERROR(MATCH(289,'كشف الحساب'!$N$4:$N$353,0),0))),"")</f>
        <v/>
      </c>
      <c r="E293" s="67" t="str">
        <f>IFERROR(IF(IFERROR(MATCH(289,'كشف الحساب'!$N$4:$N$353,0),0)=0,"",INDEX('كشف الحساب'!$E$4:$E$353,IFERROR(MATCH(289,'كشف الحساب'!$N$4:$N$353,0),0))),"")</f>
        <v/>
      </c>
      <c r="F293" s="64" t="str">
        <f>IFERROR(IF(IFERROR(MATCH(289,'كشف الحساب'!$N$4:$N$353,0),0)=0,"",INDEX('كشف الحساب'!$F$4:$F$353,IFERROR(MATCH(289,'كشف الحساب'!$N$4:$N$353,0),0))),"")</f>
        <v/>
      </c>
      <c r="G293" s="64" t="str">
        <f>IFERROR(IF(IFERROR(MATCH(289,'كشف الحساب'!$N$4:$N$353,0),0)=0,"",INDEX('كشف الحساب'!$G$4:$G$353,IFERROR(MATCH(289,'كشف الحساب'!$N$4:$N$353,0),0))),"")</f>
        <v/>
      </c>
      <c r="H293" s="64" t="str">
        <f>IFERROR(IF(IFERROR(MATCH(289,'كشف الحساب'!$N$4:$N$353,0),0)=0,"",INDEX('كشف الحساب'!$H$4:$H$353,IFERROR(MATCH(289,'كشف الحساب'!$N$4:$N$353,0),0))),"")</f>
        <v/>
      </c>
      <c r="I293" s="64" t="str">
        <f>IFERROR(IF(IFERROR(MATCH(289,'كشف الحساب'!$N$4:$N$353,0),0)=0,"",INDEX('كشف الحساب'!$I$4:$I$353,IFERROR(MATCH(289,'كشف الحساب'!$N$4:$N$353,0),0))),"")</f>
        <v/>
      </c>
      <c r="J293" s="68" t="str">
        <f>IFERROR(IF(IFERROR(MATCH(289,'كشف الحساب'!$N$4:$N$353,0),0)=0,"",INDEX('كشف الحساب'!$J$4:$J$353,IFERROR(MATCH(289,'كشف الحساب'!$N$4:$N$353,0),0))),"")</f>
        <v/>
      </c>
      <c r="K293" s="64" t="str">
        <f>IFERROR(IF(IFERROR(MATCH(289,'كشف الحساب'!$N$4:$N$353,0),0)=0,"",INDEX('كشف الحساب'!$K$4:$K$353,IFERROR(MATCH(289,'كشف الحساب'!$N$4:$N$353,0),0))),"")</f>
        <v/>
      </c>
    </row>
    <row r="294" spans="1:11" ht="15" customHeight="1" x14ac:dyDescent="0.25">
      <c r="A294" s="69" t="str">
        <f>IFERROR(IF(IFERROR(MATCH(290,'كشف الحساب'!$N$4:$N$353,0),0)=0,"",INDEX('كشف الحساب'!$A$4:$A$353,IFERROR(MATCH(290,'كشف الحساب'!$N$4:$N$353,0),0))),"")</f>
        <v/>
      </c>
      <c r="B294" s="70" t="str">
        <f>IFERROR(IF(IFERROR(MATCH(290,'كشف الحساب'!$N$4:$N$353,0),0)=0,"",INDEX('كشف الحساب'!$B$4:$B$353,IFERROR(MATCH(290,'كشف الحساب'!$N$4:$N$353,0),0))),"")</f>
        <v/>
      </c>
      <c r="C294" s="71" t="str">
        <f>IFERROR(IF(IFERROR(MATCH(290,'كشف الحساب'!$N$4:$N$353,0),0)=0,"",INDEX('كشف الحساب'!$C$4:$C$353,IFERROR(MATCH(290,'كشف الحساب'!$N$4:$N$353,0),0))),"")</f>
        <v/>
      </c>
      <c r="D294" s="72" t="str">
        <f>IFERROR(IF(IFERROR(MATCH(290,'كشف الحساب'!$N$4:$N$353,0),0)=0,"",INDEX('كشف الحساب'!$D$4:$D$353,IFERROR(MATCH(290,'كشف الحساب'!$N$4:$N$353,0),0))),"")</f>
        <v/>
      </c>
      <c r="E294" s="73" t="str">
        <f>IFERROR(IF(IFERROR(MATCH(290,'كشف الحساب'!$N$4:$N$353,0),0)=0,"",INDEX('كشف الحساب'!$E$4:$E$353,IFERROR(MATCH(290,'كشف الحساب'!$N$4:$N$353,0),0))),"")</f>
        <v/>
      </c>
      <c r="F294" s="70" t="str">
        <f>IFERROR(IF(IFERROR(MATCH(290,'كشف الحساب'!$N$4:$N$353,0),0)=0,"",INDEX('كشف الحساب'!$F$4:$F$353,IFERROR(MATCH(290,'كشف الحساب'!$N$4:$N$353,0),0))),"")</f>
        <v/>
      </c>
      <c r="G294" s="70" t="str">
        <f>IFERROR(IF(IFERROR(MATCH(290,'كشف الحساب'!$N$4:$N$353,0),0)=0,"",INDEX('كشف الحساب'!$G$4:$G$353,IFERROR(MATCH(290,'كشف الحساب'!$N$4:$N$353,0),0))),"")</f>
        <v/>
      </c>
      <c r="H294" s="70" t="str">
        <f>IFERROR(IF(IFERROR(MATCH(290,'كشف الحساب'!$N$4:$N$353,0),0)=0,"",INDEX('كشف الحساب'!$H$4:$H$353,IFERROR(MATCH(290,'كشف الحساب'!$N$4:$N$353,0),0))),"")</f>
        <v/>
      </c>
      <c r="I294" s="70" t="str">
        <f>IFERROR(IF(IFERROR(MATCH(290,'كشف الحساب'!$N$4:$N$353,0),0)=0,"",INDEX('كشف الحساب'!$I$4:$I$353,IFERROR(MATCH(290,'كشف الحساب'!$N$4:$N$353,0),0))),"")</f>
        <v/>
      </c>
      <c r="J294" s="74" t="str">
        <f>IFERROR(IF(IFERROR(MATCH(290,'كشف الحساب'!$N$4:$N$353,0),0)=0,"",INDEX('كشف الحساب'!$J$4:$J$353,IFERROR(MATCH(290,'كشف الحساب'!$N$4:$N$353,0),0))),"")</f>
        <v/>
      </c>
      <c r="K294" s="70" t="str">
        <f>IFERROR(IF(IFERROR(MATCH(290,'كشف الحساب'!$N$4:$N$353,0),0)=0,"",INDEX('كشف الحساب'!$K$4:$K$353,IFERROR(MATCH(290,'كشف الحساب'!$N$4:$N$353,0),0))),"")</f>
        <v/>
      </c>
    </row>
    <row r="295" spans="1:11" ht="15" customHeight="1" x14ac:dyDescent="0.25">
      <c r="A295" s="63" t="str">
        <f>IFERROR(IF(IFERROR(MATCH(291,'كشف الحساب'!$N$4:$N$353,0),0)=0,"",INDEX('كشف الحساب'!$A$4:$A$353,IFERROR(MATCH(291,'كشف الحساب'!$N$4:$N$353,0),0))),"")</f>
        <v/>
      </c>
      <c r="B295" s="64" t="str">
        <f>IFERROR(IF(IFERROR(MATCH(291,'كشف الحساب'!$N$4:$N$353,0),0)=0,"",INDEX('كشف الحساب'!$B$4:$B$353,IFERROR(MATCH(291,'كشف الحساب'!$N$4:$N$353,0),0))),"")</f>
        <v/>
      </c>
      <c r="C295" s="65" t="str">
        <f>IFERROR(IF(IFERROR(MATCH(291,'كشف الحساب'!$N$4:$N$353,0),0)=0,"",INDEX('كشف الحساب'!$C$4:$C$353,IFERROR(MATCH(291,'كشف الحساب'!$N$4:$N$353,0),0))),"")</f>
        <v/>
      </c>
      <c r="D295" s="66" t="str">
        <f>IFERROR(IF(IFERROR(MATCH(291,'كشف الحساب'!$N$4:$N$353,0),0)=0,"",INDEX('كشف الحساب'!$D$4:$D$353,IFERROR(MATCH(291,'كشف الحساب'!$N$4:$N$353,0),0))),"")</f>
        <v/>
      </c>
      <c r="E295" s="67" t="str">
        <f>IFERROR(IF(IFERROR(MATCH(291,'كشف الحساب'!$N$4:$N$353,0),0)=0,"",INDEX('كشف الحساب'!$E$4:$E$353,IFERROR(MATCH(291,'كشف الحساب'!$N$4:$N$353,0),0))),"")</f>
        <v/>
      </c>
      <c r="F295" s="64" t="str">
        <f>IFERROR(IF(IFERROR(MATCH(291,'كشف الحساب'!$N$4:$N$353,0),0)=0,"",INDEX('كشف الحساب'!$F$4:$F$353,IFERROR(MATCH(291,'كشف الحساب'!$N$4:$N$353,0),0))),"")</f>
        <v/>
      </c>
      <c r="G295" s="64" t="str">
        <f>IFERROR(IF(IFERROR(MATCH(291,'كشف الحساب'!$N$4:$N$353,0),0)=0,"",INDEX('كشف الحساب'!$G$4:$G$353,IFERROR(MATCH(291,'كشف الحساب'!$N$4:$N$353,0),0))),"")</f>
        <v/>
      </c>
      <c r="H295" s="64" t="str">
        <f>IFERROR(IF(IFERROR(MATCH(291,'كشف الحساب'!$N$4:$N$353,0),0)=0,"",INDEX('كشف الحساب'!$H$4:$H$353,IFERROR(MATCH(291,'كشف الحساب'!$N$4:$N$353,0),0))),"")</f>
        <v/>
      </c>
      <c r="I295" s="64" t="str">
        <f>IFERROR(IF(IFERROR(MATCH(291,'كشف الحساب'!$N$4:$N$353,0),0)=0,"",INDEX('كشف الحساب'!$I$4:$I$353,IFERROR(MATCH(291,'كشف الحساب'!$N$4:$N$353,0),0))),"")</f>
        <v/>
      </c>
      <c r="J295" s="68" t="str">
        <f>IFERROR(IF(IFERROR(MATCH(291,'كشف الحساب'!$N$4:$N$353,0),0)=0,"",INDEX('كشف الحساب'!$J$4:$J$353,IFERROR(MATCH(291,'كشف الحساب'!$N$4:$N$353,0),0))),"")</f>
        <v/>
      </c>
      <c r="K295" s="64" t="str">
        <f>IFERROR(IF(IFERROR(MATCH(291,'كشف الحساب'!$N$4:$N$353,0),0)=0,"",INDEX('كشف الحساب'!$K$4:$K$353,IFERROR(MATCH(291,'كشف الحساب'!$N$4:$N$353,0),0))),"")</f>
        <v/>
      </c>
    </row>
    <row r="296" spans="1:11" ht="15" customHeight="1" x14ac:dyDescent="0.25">
      <c r="A296" s="69" t="str">
        <f>IFERROR(IF(IFERROR(MATCH(292,'كشف الحساب'!$N$4:$N$353,0),0)=0,"",INDEX('كشف الحساب'!$A$4:$A$353,IFERROR(MATCH(292,'كشف الحساب'!$N$4:$N$353,0),0))),"")</f>
        <v/>
      </c>
      <c r="B296" s="70" t="str">
        <f>IFERROR(IF(IFERROR(MATCH(292,'كشف الحساب'!$N$4:$N$353,0),0)=0,"",INDEX('كشف الحساب'!$B$4:$B$353,IFERROR(MATCH(292,'كشف الحساب'!$N$4:$N$353,0),0))),"")</f>
        <v/>
      </c>
      <c r="C296" s="71" t="str">
        <f>IFERROR(IF(IFERROR(MATCH(292,'كشف الحساب'!$N$4:$N$353,0),0)=0,"",INDEX('كشف الحساب'!$C$4:$C$353,IFERROR(MATCH(292,'كشف الحساب'!$N$4:$N$353,0),0))),"")</f>
        <v/>
      </c>
      <c r="D296" s="72" t="str">
        <f>IFERROR(IF(IFERROR(MATCH(292,'كشف الحساب'!$N$4:$N$353,0),0)=0,"",INDEX('كشف الحساب'!$D$4:$D$353,IFERROR(MATCH(292,'كشف الحساب'!$N$4:$N$353,0),0))),"")</f>
        <v/>
      </c>
      <c r="E296" s="73" t="str">
        <f>IFERROR(IF(IFERROR(MATCH(292,'كشف الحساب'!$N$4:$N$353,0),0)=0,"",INDEX('كشف الحساب'!$E$4:$E$353,IFERROR(MATCH(292,'كشف الحساب'!$N$4:$N$353,0),0))),"")</f>
        <v/>
      </c>
      <c r="F296" s="70" t="str">
        <f>IFERROR(IF(IFERROR(MATCH(292,'كشف الحساب'!$N$4:$N$353,0),0)=0,"",INDEX('كشف الحساب'!$F$4:$F$353,IFERROR(MATCH(292,'كشف الحساب'!$N$4:$N$353,0),0))),"")</f>
        <v/>
      </c>
      <c r="G296" s="70" t="str">
        <f>IFERROR(IF(IFERROR(MATCH(292,'كشف الحساب'!$N$4:$N$353,0),0)=0,"",INDEX('كشف الحساب'!$G$4:$G$353,IFERROR(MATCH(292,'كشف الحساب'!$N$4:$N$353,0),0))),"")</f>
        <v/>
      </c>
      <c r="H296" s="70" t="str">
        <f>IFERROR(IF(IFERROR(MATCH(292,'كشف الحساب'!$N$4:$N$353,0),0)=0,"",INDEX('كشف الحساب'!$H$4:$H$353,IFERROR(MATCH(292,'كشف الحساب'!$N$4:$N$353,0),0))),"")</f>
        <v/>
      </c>
      <c r="I296" s="70" t="str">
        <f>IFERROR(IF(IFERROR(MATCH(292,'كشف الحساب'!$N$4:$N$353,0),0)=0,"",INDEX('كشف الحساب'!$I$4:$I$353,IFERROR(MATCH(292,'كشف الحساب'!$N$4:$N$353,0),0))),"")</f>
        <v/>
      </c>
      <c r="J296" s="74" t="str">
        <f>IFERROR(IF(IFERROR(MATCH(292,'كشف الحساب'!$N$4:$N$353,0),0)=0,"",INDEX('كشف الحساب'!$J$4:$J$353,IFERROR(MATCH(292,'كشف الحساب'!$N$4:$N$353,0),0))),"")</f>
        <v/>
      </c>
      <c r="K296" s="70" t="str">
        <f>IFERROR(IF(IFERROR(MATCH(292,'كشف الحساب'!$N$4:$N$353,0),0)=0,"",INDEX('كشف الحساب'!$K$4:$K$353,IFERROR(MATCH(292,'كشف الحساب'!$N$4:$N$353,0),0))),"")</f>
        <v/>
      </c>
    </row>
    <row r="297" spans="1:11" ht="15" customHeight="1" x14ac:dyDescent="0.25">
      <c r="A297" s="63" t="str">
        <f>IFERROR(IF(IFERROR(MATCH(293,'كشف الحساب'!$N$4:$N$353,0),0)=0,"",INDEX('كشف الحساب'!$A$4:$A$353,IFERROR(MATCH(293,'كشف الحساب'!$N$4:$N$353,0),0))),"")</f>
        <v/>
      </c>
      <c r="B297" s="64" t="str">
        <f>IFERROR(IF(IFERROR(MATCH(293,'كشف الحساب'!$N$4:$N$353,0),0)=0,"",INDEX('كشف الحساب'!$B$4:$B$353,IFERROR(MATCH(293,'كشف الحساب'!$N$4:$N$353,0),0))),"")</f>
        <v/>
      </c>
      <c r="C297" s="65" t="str">
        <f>IFERROR(IF(IFERROR(MATCH(293,'كشف الحساب'!$N$4:$N$353,0),0)=0,"",INDEX('كشف الحساب'!$C$4:$C$353,IFERROR(MATCH(293,'كشف الحساب'!$N$4:$N$353,0),0))),"")</f>
        <v/>
      </c>
      <c r="D297" s="66" t="str">
        <f>IFERROR(IF(IFERROR(MATCH(293,'كشف الحساب'!$N$4:$N$353,0),0)=0,"",INDEX('كشف الحساب'!$D$4:$D$353,IFERROR(MATCH(293,'كشف الحساب'!$N$4:$N$353,0),0))),"")</f>
        <v/>
      </c>
      <c r="E297" s="67" t="str">
        <f>IFERROR(IF(IFERROR(MATCH(293,'كشف الحساب'!$N$4:$N$353,0),0)=0,"",INDEX('كشف الحساب'!$E$4:$E$353,IFERROR(MATCH(293,'كشف الحساب'!$N$4:$N$353,0),0))),"")</f>
        <v/>
      </c>
      <c r="F297" s="64" t="str">
        <f>IFERROR(IF(IFERROR(MATCH(293,'كشف الحساب'!$N$4:$N$353,0),0)=0,"",INDEX('كشف الحساب'!$F$4:$F$353,IFERROR(MATCH(293,'كشف الحساب'!$N$4:$N$353,0),0))),"")</f>
        <v/>
      </c>
      <c r="G297" s="64" t="str">
        <f>IFERROR(IF(IFERROR(MATCH(293,'كشف الحساب'!$N$4:$N$353,0),0)=0,"",INDEX('كشف الحساب'!$G$4:$G$353,IFERROR(MATCH(293,'كشف الحساب'!$N$4:$N$353,0),0))),"")</f>
        <v/>
      </c>
      <c r="H297" s="64" t="str">
        <f>IFERROR(IF(IFERROR(MATCH(293,'كشف الحساب'!$N$4:$N$353,0),0)=0,"",INDEX('كشف الحساب'!$H$4:$H$353,IFERROR(MATCH(293,'كشف الحساب'!$N$4:$N$353,0),0))),"")</f>
        <v/>
      </c>
      <c r="I297" s="64" t="str">
        <f>IFERROR(IF(IFERROR(MATCH(293,'كشف الحساب'!$N$4:$N$353,0),0)=0,"",INDEX('كشف الحساب'!$I$4:$I$353,IFERROR(MATCH(293,'كشف الحساب'!$N$4:$N$353,0),0))),"")</f>
        <v/>
      </c>
      <c r="J297" s="68" t="str">
        <f>IFERROR(IF(IFERROR(MATCH(293,'كشف الحساب'!$N$4:$N$353,0),0)=0,"",INDEX('كشف الحساب'!$J$4:$J$353,IFERROR(MATCH(293,'كشف الحساب'!$N$4:$N$353,0),0))),"")</f>
        <v/>
      </c>
      <c r="K297" s="64" t="str">
        <f>IFERROR(IF(IFERROR(MATCH(293,'كشف الحساب'!$N$4:$N$353,0),0)=0,"",INDEX('كشف الحساب'!$K$4:$K$353,IFERROR(MATCH(293,'كشف الحساب'!$N$4:$N$353,0),0))),"")</f>
        <v/>
      </c>
    </row>
    <row r="298" spans="1:11" ht="15" customHeight="1" x14ac:dyDescent="0.25">
      <c r="A298" s="69" t="str">
        <f>IFERROR(IF(IFERROR(MATCH(294,'كشف الحساب'!$N$4:$N$353,0),0)=0,"",INDEX('كشف الحساب'!$A$4:$A$353,IFERROR(MATCH(294,'كشف الحساب'!$N$4:$N$353,0),0))),"")</f>
        <v/>
      </c>
      <c r="B298" s="70" t="str">
        <f>IFERROR(IF(IFERROR(MATCH(294,'كشف الحساب'!$N$4:$N$353,0),0)=0,"",INDEX('كشف الحساب'!$B$4:$B$353,IFERROR(MATCH(294,'كشف الحساب'!$N$4:$N$353,0),0))),"")</f>
        <v/>
      </c>
      <c r="C298" s="71" t="str">
        <f>IFERROR(IF(IFERROR(MATCH(294,'كشف الحساب'!$N$4:$N$353,0),0)=0,"",INDEX('كشف الحساب'!$C$4:$C$353,IFERROR(MATCH(294,'كشف الحساب'!$N$4:$N$353,0),0))),"")</f>
        <v/>
      </c>
      <c r="D298" s="72" t="str">
        <f>IFERROR(IF(IFERROR(MATCH(294,'كشف الحساب'!$N$4:$N$353,0),0)=0,"",INDEX('كشف الحساب'!$D$4:$D$353,IFERROR(MATCH(294,'كشف الحساب'!$N$4:$N$353,0),0))),"")</f>
        <v/>
      </c>
      <c r="E298" s="73" t="str">
        <f>IFERROR(IF(IFERROR(MATCH(294,'كشف الحساب'!$N$4:$N$353,0),0)=0,"",INDEX('كشف الحساب'!$E$4:$E$353,IFERROR(MATCH(294,'كشف الحساب'!$N$4:$N$353,0),0))),"")</f>
        <v/>
      </c>
      <c r="F298" s="70" t="str">
        <f>IFERROR(IF(IFERROR(MATCH(294,'كشف الحساب'!$N$4:$N$353,0),0)=0,"",INDEX('كشف الحساب'!$F$4:$F$353,IFERROR(MATCH(294,'كشف الحساب'!$N$4:$N$353,0),0))),"")</f>
        <v/>
      </c>
      <c r="G298" s="70" t="str">
        <f>IFERROR(IF(IFERROR(MATCH(294,'كشف الحساب'!$N$4:$N$353,0),0)=0,"",INDEX('كشف الحساب'!$G$4:$G$353,IFERROR(MATCH(294,'كشف الحساب'!$N$4:$N$353,0),0))),"")</f>
        <v/>
      </c>
      <c r="H298" s="70" t="str">
        <f>IFERROR(IF(IFERROR(MATCH(294,'كشف الحساب'!$N$4:$N$353,0),0)=0,"",INDEX('كشف الحساب'!$H$4:$H$353,IFERROR(MATCH(294,'كشف الحساب'!$N$4:$N$353,0),0))),"")</f>
        <v/>
      </c>
      <c r="I298" s="70" t="str">
        <f>IFERROR(IF(IFERROR(MATCH(294,'كشف الحساب'!$N$4:$N$353,0),0)=0,"",INDEX('كشف الحساب'!$I$4:$I$353,IFERROR(MATCH(294,'كشف الحساب'!$N$4:$N$353,0),0))),"")</f>
        <v/>
      </c>
      <c r="J298" s="74" t="str">
        <f>IFERROR(IF(IFERROR(MATCH(294,'كشف الحساب'!$N$4:$N$353,0),0)=0,"",INDEX('كشف الحساب'!$J$4:$J$353,IFERROR(MATCH(294,'كشف الحساب'!$N$4:$N$353,0),0))),"")</f>
        <v/>
      </c>
      <c r="K298" s="70" t="str">
        <f>IFERROR(IF(IFERROR(MATCH(294,'كشف الحساب'!$N$4:$N$353,0),0)=0,"",INDEX('كشف الحساب'!$K$4:$K$353,IFERROR(MATCH(294,'كشف الحساب'!$N$4:$N$353,0),0))),"")</f>
        <v/>
      </c>
    </row>
    <row r="299" spans="1:11" ht="15" customHeight="1" x14ac:dyDescent="0.25">
      <c r="A299" s="63" t="str">
        <f>IFERROR(IF(IFERROR(MATCH(295,'كشف الحساب'!$N$4:$N$353,0),0)=0,"",INDEX('كشف الحساب'!$A$4:$A$353,IFERROR(MATCH(295,'كشف الحساب'!$N$4:$N$353,0),0))),"")</f>
        <v/>
      </c>
      <c r="B299" s="64" t="str">
        <f>IFERROR(IF(IFERROR(MATCH(295,'كشف الحساب'!$N$4:$N$353,0),0)=0,"",INDEX('كشف الحساب'!$B$4:$B$353,IFERROR(MATCH(295,'كشف الحساب'!$N$4:$N$353,0),0))),"")</f>
        <v/>
      </c>
      <c r="C299" s="65" t="str">
        <f>IFERROR(IF(IFERROR(MATCH(295,'كشف الحساب'!$N$4:$N$353,0),0)=0,"",INDEX('كشف الحساب'!$C$4:$C$353,IFERROR(MATCH(295,'كشف الحساب'!$N$4:$N$353,0),0))),"")</f>
        <v/>
      </c>
      <c r="D299" s="66" t="str">
        <f>IFERROR(IF(IFERROR(MATCH(295,'كشف الحساب'!$N$4:$N$353,0),0)=0,"",INDEX('كشف الحساب'!$D$4:$D$353,IFERROR(MATCH(295,'كشف الحساب'!$N$4:$N$353,0),0))),"")</f>
        <v/>
      </c>
      <c r="E299" s="67" t="str">
        <f>IFERROR(IF(IFERROR(MATCH(295,'كشف الحساب'!$N$4:$N$353,0),0)=0,"",INDEX('كشف الحساب'!$E$4:$E$353,IFERROR(MATCH(295,'كشف الحساب'!$N$4:$N$353,0),0))),"")</f>
        <v/>
      </c>
      <c r="F299" s="64" t="str">
        <f>IFERROR(IF(IFERROR(MATCH(295,'كشف الحساب'!$N$4:$N$353,0),0)=0,"",INDEX('كشف الحساب'!$F$4:$F$353,IFERROR(MATCH(295,'كشف الحساب'!$N$4:$N$353,0),0))),"")</f>
        <v/>
      </c>
      <c r="G299" s="64" t="str">
        <f>IFERROR(IF(IFERROR(MATCH(295,'كشف الحساب'!$N$4:$N$353,0),0)=0,"",INDEX('كشف الحساب'!$G$4:$G$353,IFERROR(MATCH(295,'كشف الحساب'!$N$4:$N$353,0),0))),"")</f>
        <v/>
      </c>
      <c r="H299" s="64" t="str">
        <f>IFERROR(IF(IFERROR(MATCH(295,'كشف الحساب'!$N$4:$N$353,0),0)=0,"",INDEX('كشف الحساب'!$H$4:$H$353,IFERROR(MATCH(295,'كشف الحساب'!$N$4:$N$353,0),0))),"")</f>
        <v/>
      </c>
      <c r="I299" s="64" t="str">
        <f>IFERROR(IF(IFERROR(MATCH(295,'كشف الحساب'!$N$4:$N$353,0),0)=0,"",INDEX('كشف الحساب'!$I$4:$I$353,IFERROR(MATCH(295,'كشف الحساب'!$N$4:$N$353,0),0))),"")</f>
        <v/>
      </c>
      <c r="J299" s="68" t="str">
        <f>IFERROR(IF(IFERROR(MATCH(295,'كشف الحساب'!$N$4:$N$353,0),0)=0,"",INDEX('كشف الحساب'!$J$4:$J$353,IFERROR(MATCH(295,'كشف الحساب'!$N$4:$N$353,0),0))),"")</f>
        <v/>
      </c>
      <c r="K299" s="64" t="str">
        <f>IFERROR(IF(IFERROR(MATCH(295,'كشف الحساب'!$N$4:$N$353,0),0)=0,"",INDEX('كشف الحساب'!$K$4:$K$353,IFERROR(MATCH(295,'كشف الحساب'!$N$4:$N$353,0),0))),"")</f>
        <v/>
      </c>
    </row>
    <row r="300" spans="1:11" ht="15" customHeight="1" x14ac:dyDescent="0.25">
      <c r="A300" s="69" t="str">
        <f>IFERROR(IF(IFERROR(MATCH(296,'كشف الحساب'!$N$4:$N$353,0),0)=0,"",INDEX('كشف الحساب'!$A$4:$A$353,IFERROR(MATCH(296,'كشف الحساب'!$N$4:$N$353,0),0))),"")</f>
        <v/>
      </c>
      <c r="B300" s="70" t="str">
        <f>IFERROR(IF(IFERROR(MATCH(296,'كشف الحساب'!$N$4:$N$353,0),0)=0,"",INDEX('كشف الحساب'!$B$4:$B$353,IFERROR(MATCH(296,'كشف الحساب'!$N$4:$N$353,0),0))),"")</f>
        <v/>
      </c>
      <c r="C300" s="71" t="str">
        <f>IFERROR(IF(IFERROR(MATCH(296,'كشف الحساب'!$N$4:$N$353,0),0)=0,"",INDEX('كشف الحساب'!$C$4:$C$353,IFERROR(MATCH(296,'كشف الحساب'!$N$4:$N$353,0),0))),"")</f>
        <v/>
      </c>
      <c r="D300" s="72" t="str">
        <f>IFERROR(IF(IFERROR(MATCH(296,'كشف الحساب'!$N$4:$N$353,0),0)=0,"",INDEX('كشف الحساب'!$D$4:$D$353,IFERROR(MATCH(296,'كشف الحساب'!$N$4:$N$353,0),0))),"")</f>
        <v/>
      </c>
      <c r="E300" s="73" t="str">
        <f>IFERROR(IF(IFERROR(MATCH(296,'كشف الحساب'!$N$4:$N$353,0),0)=0,"",INDEX('كشف الحساب'!$E$4:$E$353,IFERROR(MATCH(296,'كشف الحساب'!$N$4:$N$353,0),0))),"")</f>
        <v/>
      </c>
      <c r="F300" s="70" t="str">
        <f>IFERROR(IF(IFERROR(MATCH(296,'كشف الحساب'!$N$4:$N$353,0),0)=0,"",INDEX('كشف الحساب'!$F$4:$F$353,IFERROR(MATCH(296,'كشف الحساب'!$N$4:$N$353,0),0))),"")</f>
        <v/>
      </c>
      <c r="G300" s="70" t="str">
        <f>IFERROR(IF(IFERROR(MATCH(296,'كشف الحساب'!$N$4:$N$353,0),0)=0,"",INDEX('كشف الحساب'!$G$4:$G$353,IFERROR(MATCH(296,'كشف الحساب'!$N$4:$N$353,0),0))),"")</f>
        <v/>
      </c>
      <c r="H300" s="70" t="str">
        <f>IFERROR(IF(IFERROR(MATCH(296,'كشف الحساب'!$N$4:$N$353,0),0)=0,"",INDEX('كشف الحساب'!$H$4:$H$353,IFERROR(MATCH(296,'كشف الحساب'!$N$4:$N$353,0),0))),"")</f>
        <v/>
      </c>
      <c r="I300" s="70" t="str">
        <f>IFERROR(IF(IFERROR(MATCH(296,'كشف الحساب'!$N$4:$N$353,0),0)=0,"",INDEX('كشف الحساب'!$I$4:$I$353,IFERROR(MATCH(296,'كشف الحساب'!$N$4:$N$353,0),0))),"")</f>
        <v/>
      </c>
      <c r="J300" s="74" t="str">
        <f>IFERROR(IF(IFERROR(MATCH(296,'كشف الحساب'!$N$4:$N$353,0),0)=0,"",INDEX('كشف الحساب'!$J$4:$J$353,IFERROR(MATCH(296,'كشف الحساب'!$N$4:$N$353,0),0))),"")</f>
        <v/>
      </c>
      <c r="K300" s="70" t="str">
        <f>IFERROR(IF(IFERROR(MATCH(296,'كشف الحساب'!$N$4:$N$353,0),0)=0,"",INDEX('كشف الحساب'!$K$4:$K$353,IFERROR(MATCH(296,'كشف الحساب'!$N$4:$N$353,0),0))),"")</f>
        <v/>
      </c>
    </row>
    <row r="301" spans="1:11" ht="15" customHeight="1" x14ac:dyDescent="0.25">
      <c r="A301" s="63" t="str">
        <f>IFERROR(IF(IFERROR(MATCH(297,'كشف الحساب'!$N$4:$N$353,0),0)=0,"",INDEX('كشف الحساب'!$A$4:$A$353,IFERROR(MATCH(297,'كشف الحساب'!$N$4:$N$353,0),0))),"")</f>
        <v/>
      </c>
      <c r="B301" s="64" t="str">
        <f>IFERROR(IF(IFERROR(MATCH(297,'كشف الحساب'!$N$4:$N$353,0),0)=0,"",INDEX('كشف الحساب'!$B$4:$B$353,IFERROR(MATCH(297,'كشف الحساب'!$N$4:$N$353,0),0))),"")</f>
        <v/>
      </c>
      <c r="C301" s="65" t="str">
        <f>IFERROR(IF(IFERROR(MATCH(297,'كشف الحساب'!$N$4:$N$353,0),0)=0,"",INDEX('كشف الحساب'!$C$4:$C$353,IFERROR(MATCH(297,'كشف الحساب'!$N$4:$N$353,0),0))),"")</f>
        <v/>
      </c>
      <c r="D301" s="66" t="str">
        <f>IFERROR(IF(IFERROR(MATCH(297,'كشف الحساب'!$N$4:$N$353,0),0)=0,"",INDEX('كشف الحساب'!$D$4:$D$353,IFERROR(MATCH(297,'كشف الحساب'!$N$4:$N$353,0),0))),"")</f>
        <v/>
      </c>
      <c r="E301" s="67" t="str">
        <f>IFERROR(IF(IFERROR(MATCH(297,'كشف الحساب'!$N$4:$N$353,0),0)=0,"",INDEX('كشف الحساب'!$E$4:$E$353,IFERROR(MATCH(297,'كشف الحساب'!$N$4:$N$353,0),0))),"")</f>
        <v/>
      </c>
      <c r="F301" s="64" t="str">
        <f>IFERROR(IF(IFERROR(MATCH(297,'كشف الحساب'!$N$4:$N$353,0),0)=0,"",INDEX('كشف الحساب'!$F$4:$F$353,IFERROR(MATCH(297,'كشف الحساب'!$N$4:$N$353,0),0))),"")</f>
        <v/>
      </c>
      <c r="G301" s="64" t="str">
        <f>IFERROR(IF(IFERROR(MATCH(297,'كشف الحساب'!$N$4:$N$353,0),0)=0,"",INDEX('كشف الحساب'!$G$4:$G$353,IFERROR(MATCH(297,'كشف الحساب'!$N$4:$N$353,0),0))),"")</f>
        <v/>
      </c>
      <c r="H301" s="64" t="str">
        <f>IFERROR(IF(IFERROR(MATCH(297,'كشف الحساب'!$N$4:$N$353,0),0)=0,"",INDEX('كشف الحساب'!$H$4:$H$353,IFERROR(MATCH(297,'كشف الحساب'!$N$4:$N$353,0),0))),"")</f>
        <v/>
      </c>
      <c r="I301" s="64" t="str">
        <f>IFERROR(IF(IFERROR(MATCH(297,'كشف الحساب'!$N$4:$N$353,0),0)=0,"",INDEX('كشف الحساب'!$I$4:$I$353,IFERROR(MATCH(297,'كشف الحساب'!$N$4:$N$353,0),0))),"")</f>
        <v/>
      </c>
      <c r="J301" s="68" t="str">
        <f>IFERROR(IF(IFERROR(MATCH(297,'كشف الحساب'!$N$4:$N$353,0),0)=0,"",INDEX('كشف الحساب'!$J$4:$J$353,IFERROR(MATCH(297,'كشف الحساب'!$N$4:$N$353,0),0))),"")</f>
        <v/>
      </c>
      <c r="K301" s="64" t="str">
        <f>IFERROR(IF(IFERROR(MATCH(297,'كشف الحساب'!$N$4:$N$353,0),0)=0,"",INDEX('كشف الحساب'!$K$4:$K$353,IFERROR(MATCH(297,'كشف الحساب'!$N$4:$N$353,0),0))),"")</f>
        <v/>
      </c>
    </row>
    <row r="302" spans="1:11" ht="15" customHeight="1" x14ac:dyDescent="0.25">
      <c r="A302" s="69" t="str">
        <f>IFERROR(IF(IFERROR(MATCH(298,'كشف الحساب'!$N$4:$N$353,0),0)=0,"",INDEX('كشف الحساب'!$A$4:$A$353,IFERROR(MATCH(298,'كشف الحساب'!$N$4:$N$353,0),0))),"")</f>
        <v/>
      </c>
      <c r="B302" s="70" t="str">
        <f>IFERROR(IF(IFERROR(MATCH(298,'كشف الحساب'!$N$4:$N$353,0),0)=0,"",INDEX('كشف الحساب'!$B$4:$B$353,IFERROR(MATCH(298,'كشف الحساب'!$N$4:$N$353,0),0))),"")</f>
        <v/>
      </c>
      <c r="C302" s="71" t="str">
        <f>IFERROR(IF(IFERROR(MATCH(298,'كشف الحساب'!$N$4:$N$353,0),0)=0,"",INDEX('كشف الحساب'!$C$4:$C$353,IFERROR(MATCH(298,'كشف الحساب'!$N$4:$N$353,0),0))),"")</f>
        <v/>
      </c>
      <c r="D302" s="72" t="str">
        <f>IFERROR(IF(IFERROR(MATCH(298,'كشف الحساب'!$N$4:$N$353,0),0)=0,"",INDEX('كشف الحساب'!$D$4:$D$353,IFERROR(MATCH(298,'كشف الحساب'!$N$4:$N$353,0),0))),"")</f>
        <v/>
      </c>
      <c r="E302" s="73" t="str">
        <f>IFERROR(IF(IFERROR(MATCH(298,'كشف الحساب'!$N$4:$N$353,0),0)=0,"",INDEX('كشف الحساب'!$E$4:$E$353,IFERROR(MATCH(298,'كشف الحساب'!$N$4:$N$353,0),0))),"")</f>
        <v/>
      </c>
      <c r="F302" s="70" t="str">
        <f>IFERROR(IF(IFERROR(MATCH(298,'كشف الحساب'!$N$4:$N$353,0),0)=0,"",INDEX('كشف الحساب'!$F$4:$F$353,IFERROR(MATCH(298,'كشف الحساب'!$N$4:$N$353,0),0))),"")</f>
        <v/>
      </c>
      <c r="G302" s="70" t="str">
        <f>IFERROR(IF(IFERROR(MATCH(298,'كشف الحساب'!$N$4:$N$353,0),0)=0,"",INDEX('كشف الحساب'!$G$4:$G$353,IFERROR(MATCH(298,'كشف الحساب'!$N$4:$N$353,0),0))),"")</f>
        <v/>
      </c>
      <c r="H302" s="70" t="str">
        <f>IFERROR(IF(IFERROR(MATCH(298,'كشف الحساب'!$N$4:$N$353,0),0)=0,"",INDEX('كشف الحساب'!$H$4:$H$353,IFERROR(MATCH(298,'كشف الحساب'!$N$4:$N$353,0),0))),"")</f>
        <v/>
      </c>
      <c r="I302" s="70" t="str">
        <f>IFERROR(IF(IFERROR(MATCH(298,'كشف الحساب'!$N$4:$N$353,0),0)=0,"",INDEX('كشف الحساب'!$I$4:$I$353,IFERROR(MATCH(298,'كشف الحساب'!$N$4:$N$353,0),0))),"")</f>
        <v/>
      </c>
      <c r="J302" s="74" t="str">
        <f>IFERROR(IF(IFERROR(MATCH(298,'كشف الحساب'!$N$4:$N$353,0),0)=0,"",INDEX('كشف الحساب'!$J$4:$J$353,IFERROR(MATCH(298,'كشف الحساب'!$N$4:$N$353,0),0))),"")</f>
        <v/>
      </c>
      <c r="K302" s="70" t="str">
        <f>IFERROR(IF(IFERROR(MATCH(298,'كشف الحساب'!$N$4:$N$353,0),0)=0,"",INDEX('كشف الحساب'!$K$4:$K$353,IFERROR(MATCH(298,'كشف الحساب'!$N$4:$N$353,0),0))),"")</f>
        <v/>
      </c>
    </row>
    <row r="303" spans="1:11" ht="15" customHeight="1" x14ac:dyDescent="0.25">
      <c r="A303" s="63" t="str">
        <f>IFERROR(IF(IFERROR(MATCH(299,'كشف الحساب'!$N$4:$N$353,0),0)=0,"",INDEX('كشف الحساب'!$A$4:$A$353,IFERROR(MATCH(299,'كشف الحساب'!$N$4:$N$353,0),0))),"")</f>
        <v/>
      </c>
      <c r="B303" s="64" t="str">
        <f>IFERROR(IF(IFERROR(MATCH(299,'كشف الحساب'!$N$4:$N$353,0),0)=0,"",INDEX('كشف الحساب'!$B$4:$B$353,IFERROR(MATCH(299,'كشف الحساب'!$N$4:$N$353,0),0))),"")</f>
        <v/>
      </c>
      <c r="C303" s="65" t="str">
        <f>IFERROR(IF(IFERROR(MATCH(299,'كشف الحساب'!$N$4:$N$353,0),0)=0,"",INDEX('كشف الحساب'!$C$4:$C$353,IFERROR(MATCH(299,'كشف الحساب'!$N$4:$N$353,0),0))),"")</f>
        <v/>
      </c>
      <c r="D303" s="66" t="str">
        <f>IFERROR(IF(IFERROR(MATCH(299,'كشف الحساب'!$N$4:$N$353,0),0)=0,"",INDEX('كشف الحساب'!$D$4:$D$353,IFERROR(MATCH(299,'كشف الحساب'!$N$4:$N$353,0),0))),"")</f>
        <v/>
      </c>
      <c r="E303" s="67" t="str">
        <f>IFERROR(IF(IFERROR(MATCH(299,'كشف الحساب'!$N$4:$N$353,0),0)=0,"",INDEX('كشف الحساب'!$E$4:$E$353,IFERROR(MATCH(299,'كشف الحساب'!$N$4:$N$353,0),0))),"")</f>
        <v/>
      </c>
      <c r="F303" s="64" t="str">
        <f>IFERROR(IF(IFERROR(MATCH(299,'كشف الحساب'!$N$4:$N$353,0),0)=0,"",INDEX('كشف الحساب'!$F$4:$F$353,IFERROR(MATCH(299,'كشف الحساب'!$N$4:$N$353,0),0))),"")</f>
        <v/>
      </c>
      <c r="G303" s="64" t="str">
        <f>IFERROR(IF(IFERROR(MATCH(299,'كشف الحساب'!$N$4:$N$353,0),0)=0,"",INDEX('كشف الحساب'!$G$4:$G$353,IFERROR(MATCH(299,'كشف الحساب'!$N$4:$N$353,0),0))),"")</f>
        <v/>
      </c>
      <c r="H303" s="64" t="str">
        <f>IFERROR(IF(IFERROR(MATCH(299,'كشف الحساب'!$N$4:$N$353,0),0)=0,"",INDEX('كشف الحساب'!$H$4:$H$353,IFERROR(MATCH(299,'كشف الحساب'!$N$4:$N$353,0),0))),"")</f>
        <v/>
      </c>
      <c r="I303" s="64" t="str">
        <f>IFERROR(IF(IFERROR(MATCH(299,'كشف الحساب'!$N$4:$N$353,0),0)=0,"",INDEX('كشف الحساب'!$I$4:$I$353,IFERROR(MATCH(299,'كشف الحساب'!$N$4:$N$353,0),0))),"")</f>
        <v/>
      </c>
      <c r="J303" s="68" t="str">
        <f>IFERROR(IF(IFERROR(MATCH(299,'كشف الحساب'!$N$4:$N$353,0),0)=0,"",INDEX('كشف الحساب'!$J$4:$J$353,IFERROR(MATCH(299,'كشف الحساب'!$N$4:$N$353,0),0))),"")</f>
        <v/>
      </c>
      <c r="K303" s="64" t="str">
        <f>IFERROR(IF(IFERROR(MATCH(299,'كشف الحساب'!$N$4:$N$353,0),0)=0,"",INDEX('كشف الحساب'!$K$4:$K$353,IFERROR(MATCH(299,'كشف الحساب'!$N$4:$N$353,0),0))),"")</f>
        <v/>
      </c>
    </row>
    <row r="304" spans="1:11" ht="15" customHeight="1" x14ac:dyDescent="0.25">
      <c r="A304" s="69" t="str">
        <f>IFERROR(IF(IFERROR(MATCH(300,'كشف الحساب'!$N$4:$N$353,0),0)=0,"",INDEX('كشف الحساب'!$A$4:$A$353,IFERROR(MATCH(300,'كشف الحساب'!$N$4:$N$353,0),0))),"")</f>
        <v/>
      </c>
      <c r="B304" s="70" t="str">
        <f>IFERROR(IF(IFERROR(MATCH(300,'كشف الحساب'!$N$4:$N$353,0),0)=0,"",INDEX('كشف الحساب'!$B$4:$B$353,IFERROR(MATCH(300,'كشف الحساب'!$N$4:$N$353,0),0))),"")</f>
        <v/>
      </c>
      <c r="C304" s="71" t="str">
        <f>IFERROR(IF(IFERROR(MATCH(300,'كشف الحساب'!$N$4:$N$353,0),0)=0,"",INDEX('كشف الحساب'!$C$4:$C$353,IFERROR(MATCH(300,'كشف الحساب'!$N$4:$N$353,0),0))),"")</f>
        <v/>
      </c>
      <c r="D304" s="72" t="str">
        <f>IFERROR(IF(IFERROR(MATCH(300,'كشف الحساب'!$N$4:$N$353,0),0)=0,"",INDEX('كشف الحساب'!$D$4:$D$353,IFERROR(MATCH(300,'كشف الحساب'!$N$4:$N$353,0),0))),"")</f>
        <v/>
      </c>
      <c r="E304" s="73" t="str">
        <f>IFERROR(IF(IFERROR(MATCH(300,'كشف الحساب'!$N$4:$N$353,0),0)=0,"",INDEX('كشف الحساب'!$E$4:$E$353,IFERROR(MATCH(300,'كشف الحساب'!$N$4:$N$353,0),0))),"")</f>
        <v/>
      </c>
      <c r="F304" s="70" t="str">
        <f>IFERROR(IF(IFERROR(MATCH(300,'كشف الحساب'!$N$4:$N$353,0),0)=0,"",INDEX('كشف الحساب'!$F$4:$F$353,IFERROR(MATCH(300,'كشف الحساب'!$N$4:$N$353,0),0))),"")</f>
        <v/>
      </c>
      <c r="G304" s="70" t="str">
        <f>IFERROR(IF(IFERROR(MATCH(300,'كشف الحساب'!$N$4:$N$353,0),0)=0,"",INDEX('كشف الحساب'!$G$4:$G$353,IFERROR(MATCH(300,'كشف الحساب'!$N$4:$N$353,0),0))),"")</f>
        <v/>
      </c>
      <c r="H304" s="70" t="str">
        <f>IFERROR(IF(IFERROR(MATCH(300,'كشف الحساب'!$N$4:$N$353,0),0)=0,"",INDEX('كشف الحساب'!$H$4:$H$353,IFERROR(MATCH(300,'كشف الحساب'!$N$4:$N$353,0),0))),"")</f>
        <v/>
      </c>
      <c r="I304" s="70" t="str">
        <f>IFERROR(IF(IFERROR(MATCH(300,'كشف الحساب'!$N$4:$N$353,0),0)=0,"",INDEX('كشف الحساب'!$I$4:$I$353,IFERROR(MATCH(300,'كشف الحساب'!$N$4:$N$353,0),0))),"")</f>
        <v/>
      </c>
      <c r="J304" s="74" t="str">
        <f>IFERROR(IF(IFERROR(MATCH(300,'كشف الحساب'!$N$4:$N$353,0),0)=0,"",INDEX('كشف الحساب'!$J$4:$J$353,IFERROR(MATCH(300,'كشف الحساب'!$N$4:$N$353,0),0))),"")</f>
        <v/>
      </c>
      <c r="K304" s="70" t="str">
        <f>IFERROR(IF(IFERROR(MATCH(300,'كشف الحساب'!$N$4:$N$353,0),0)=0,"",INDEX('كشف الحساب'!$K$4:$K$353,IFERROR(MATCH(300,'كشف الحساب'!$N$4:$N$353,0),0))),"")</f>
        <v/>
      </c>
    </row>
    <row r="305" spans="1:11" ht="15" customHeight="1" x14ac:dyDescent="0.25">
      <c r="A305" s="63" t="str">
        <f>IFERROR(IF(IFERROR(MATCH(301,'كشف الحساب'!$N$4:$N$353,0),0)=0,"",INDEX('كشف الحساب'!$A$4:$A$353,IFERROR(MATCH(301,'كشف الحساب'!$N$4:$N$353,0),0))),"")</f>
        <v/>
      </c>
      <c r="B305" s="64" t="str">
        <f>IFERROR(IF(IFERROR(MATCH(301,'كشف الحساب'!$N$4:$N$353,0),0)=0,"",INDEX('كشف الحساب'!$B$4:$B$353,IFERROR(MATCH(301,'كشف الحساب'!$N$4:$N$353,0),0))),"")</f>
        <v/>
      </c>
      <c r="C305" s="65" t="str">
        <f>IFERROR(IF(IFERROR(MATCH(301,'كشف الحساب'!$N$4:$N$353,0),0)=0,"",INDEX('كشف الحساب'!$C$4:$C$353,IFERROR(MATCH(301,'كشف الحساب'!$N$4:$N$353,0),0))),"")</f>
        <v/>
      </c>
      <c r="D305" s="66" t="str">
        <f>IFERROR(IF(IFERROR(MATCH(301,'كشف الحساب'!$N$4:$N$353,0),0)=0,"",INDEX('كشف الحساب'!$D$4:$D$353,IFERROR(MATCH(301,'كشف الحساب'!$N$4:$N$353,0),0))),"")</f>
        <v/>
      </c>
      <c r="E305" s="67" t="str">
        <f>IFERROR(IF(IFERROR(MATCH(301,'كشف الحساب'!$N$4:$N$353,0),0)=0,"",INDEX('كشف الحساب'!$E$4:$E$353,IFERROR(MATCH(301,'كشف الحساب'!$N$4:$N$353,0),0))),"")</f>
        <v/>
      </c>
      <c r="F305" s="64" t="str">
        <f>IFERROR(IF(IFERROR(MATCH(301,'كشف الحساب'!$N$4:$N$353,0),0)=0,"",INDEX('كشف الحساب'!$F$4:$F$353,IFERROR(MATCH(301,'كشف الحساب'!$N$4:$N$353,0),0))),"")</f>
        <v/>
      </c>
      <c r="G305" s="64" t="str">
        <f>IFERROR(IF(IFERROR(MATCH(301,'كشف الحساب'!$N$4:$N$353,0),0)=0,"",INDEX('كشف الحساب'!$G$4:$G$353,IFERROR(MATCH(301,'كشف الحساب'!$N$4:$N$353,0),0))),"")</f>
        <v/>
      </c>
      <c r="H305" s="64" t="str">
        <f>IFERROR(IF(IFERROR(MATCH(301,'كشف الحساب'!$N$4:$N$353,0),0)=0,"",INDEX('كشف الحساب'!$H$4:$H$353,IFERROR(MATCH(301,'كشف الحساب'!$N$4:$N$353,0),0))),"")</f>
        <v/>
      </c>
      <c r="I305" s="64" t="str">
        <f>IFERROR(IF(IFERROR(MATCH(301,'كشف الحساب'!$N$4:$N$353,0),0)=0,"",INDEX('كشف الحساب'!$I$4:$I$353,IFERROR(MATCH(301,'كشف الحساب'!$N$4:$N$353,0),0))),"")</f>
        <v/>
      </c>
      <c r="J305" s="68" t="str">
        <f>IFERROR(IF(IFERROR(MATCH(301,'كشف الحساب'!$N$4:$N$353,0),0)=0,"",INDEX('كشف الحساب'!$J$4:$J$353,IFERROR(MATCH(301,'كشف الحساب'!$N$4:$N$353,0),0))),"")</f>
        <v/>
      </c>
      <c r="K305" s="64" t="str">
        <f>IFERROR(IF(IFERROR(MATCH(301,'كشف الحساب'!$N$4:$N$353,0),0)=0,"",INDEX('كشف الحساب'!$K$4:$K$353,IFERROR(MATCH(301,'كشف الحساب'!$N$4:$N$353,0),0))),"")</f>
        <v/>
      </c>
    </row>
    <row r="306" spans="1:11" ht="15" customHeight="1" x14ac:dyDescent="0.25">
      <c r="A306" s="69" t="str">
        <f>IFERROR(IF(IFERROR(MATCH(302,'كشف الحساب'!$N$4:$N$353,0),0)=0,"",INDEX('كشف الحساب'!$A$4:$A$353,IFERROR(MATCH(302,'كشف الحساب'!$N$4:$N$353,0),0))),"")</f>
        <v/>
      </c>
      <c r="B306" s="70" t="str">
        <f>IFERROR(IF(IFERROR(MATCH(302,'كشف الحساب'!$N$4:$N$353,0),0)=0,"",INDEX('كشف الحساب'!$B$4:$B$353,IFERROR(MATCH(302,'كشف الحساب'!$N$4:$N$353,0),0))),"")</f>
        <v/>
      </c>
      <c r="C306" s="71" t="str">
        <f>IFERROR(IF(IFERROR(MATCH(302,'كشف الحساب'!$N$4:$N$353,0),0)=0,"",INDEX('كشف الحساب'!$C$4:$C$353,IFERROR(MATCH(302,'كشف الحساب'!$N$4:$N$353,0),0))),"")</f>
        <v/>
      </c>
      <c r="D306" s="72" t="str">
        <f>IFERROR(IF(IFERROR(MATCH(302,'كشف الحساب'!$N$4:$N$353,0),0)=0,"",INDEX('كشف الحساب'!$D$4:$D$353,IFERROR(MATCH(302,'كشف الحساب'!$N$4:$N$353,0),0))),"")</f>
        <v/>
      </c>
      <c r="E306" s="73" t="str">
        <f>IFERROR(IF(IFERROR(MATCH(302,'كشف الحساب'!$N$4:$N$353,0),0)=0,"",INDEX('كشف الحساب'!$E$4:$E$353,IFERROR(MATCH(302,'كشف الحساب'!$N$4:$N$353,0),0))),"")</f>
        <v/>
      </c>
      <c r="F306" s="70" t="str">
        <f>IFERROR(IF(IFERROR(MATCH(302,'كشف الحساب'!$N$4:$N$353,0),0)=0,"",INDEX('كشف الحساب'!$F$4:$F$353,IFERROR(MATCH(302,'كشف الحساب'!$N$4:$N$353,0),0))),"")</f>
        <v/>
      </c>
      <c r="G306" s="70" t="str">
        <f>IFERROR(IF(IFERROR(MATCH(302,'كشف الحساب'!$N$4:$N$353,0),0)=0,"",INDEX('كشف الحساب'!$G$4:$G$353,IFERROR(MATCH(302,'كشف الحساب'!$N$4:$N$353,0),0))),"")</f>
        <v/>
      </c>
      <c r="H306" s="70" t="str">
        <f>IFERROR(IF(IFERROR(MATCH(302,'كشف الحساب'!$N$4:$N$353,0),0)=0,"",INDEX('كشف الحساب'!$H$4:$H$353,IFERROR(MATCH(302,'كشف الحساب'!$N$4:$N$353,0),0))),"")</f>
        <v/>
      </c>
      <c r="I306" s="70" t="str">
        <f>IFERROR(IF(IFERROR(MATCH(302,'كشف الحساب'!$N$4:$N$353,0),0)=0,"",INDEX('كشف الحساب'!$I$4:$I$353,IFERROR(MATCH(302,'كشف الحساب'!$N$4:$N$353,0),0))),"")</f>
        <v/>
      </c>
      <c r="J306" s="74" t="str">
        <f>IFERROR(IF(IFERROR(MATCH(302,'كشف الحساب'!$N$4:$N$353,0),0)=0,"",INDEX('كشف الحساب'!$J$4:$J$353,IFERROR(MATCH(302,'كشف الحساب'!$N$4:$N$353,0),0))),"")</f>
        <v/>
      </c>
      <c r="K306" s="70" t="str">
        <f>IFERROR(IF(IFERROR(MATCH(302,'كشف الحساب'!$N$4:$N$353,0),0)=0,"",INDEX('كشف الحساب'!$K$4:$K$353,IFERROR(MATCH(302,'كشف الحساب'!$N$4:$N$353,0),0))),"")</f>
        <v/>
      </c>
    </row>
    <row r="307" spans="1:11" ht="15" customHeight="1" x14ac:dyDescent="0.25">
      <c r="A307" s="63" t="str">
        <f>IFERROR(IF(IFERROR(MATCH(303,'كشف الحساب'!$N$4:$N$353,0),0)=0,"",INDEX('كشف الحساب'!$A$4:$A$353,IFERROR(MATCH(303,'كشف الحساب'!$N$4:$N$353,0),0))),"")</f>
        <v/>
      </c>
      <c r="B307" s="64" t="str">
        <f>IFERROR(IF(IFERROR(MATCH(303,'كشف الحساب'!$N$4:$N$353,0),0)=0,"",INDEX('كشف الحساب'!$B$4:$B$353,IFERROR(MATCH(303,'كشف الحساب'!$N$4:$N$353,0),0))),"")</f>
        <v/>
      </c>
      <c r="C307" s="65" t="str">
        <f>IFERROR(IF(IFERROR(MATCH(303,'كشف الحساب'!$N$4:$N$353,0),0)=0,"",INDEX('كشف الحساب'!$C$4:$C$353,IFERROR(MATCH(303,'كشف الحساب'!$N$4:$N$353,0),0))),"")</f>
        <v/>
      </c>
      <c r="D307" s="66" t="str">
        <f>IFERROR(IF(IFERROR(MATCH(303,'كشف الحساب'!$N$4:$N$353,0),0)=0,"",INDEX('كشف الحساب'!$D$4:$D$353,IFERROR(MATCH(303,'كشف الحساب'!$N$4:$N$353,0),0))),"")</f>
        <v/>
      </c>
      <c r="E307" s="67" t="str">
        <f>IFERROR(IF(IFERROR(MATCH(303,'كشف الحساب'!$N$4:$N$353,0),0)=0,"",INDEX('كشف الحساب'!$E$4:$E$353,IFERROR(MATCH(303,'كشف الحساب'!$N$4:$N$353,0),0))),"")</f>
        <v/>
      </c>
      <c r="F307" s="64" t="str">
        <f>IFERROR(IF(IFERROR(MATCH(303,'كشف الحساب'!$N$4:$N$353,0),0)=0,"",INDEX('كشف الحساب'!$F$4:$F$353,IFERROR(MATCH(303,'كشف الحساب'!$N$4:$N$353,0),0))),"")</f>
        <v/>
      </c>
      <c r="G307" s="64" t="str">
        <f>IFERROR(IF(IFERROR(MATCH(303,'كشف الحساب'!$N$4:$N$353,0),0)=0,"",INDEX('كشف الحساب'!$G$4:$G$353,IFERROR(MATCH(303,'كشف الحساب'!$N$4:$N$353,0),0))),"")</f>
        <v/>
      </c>
      <c r="H307" s="64" t="str">
        <f>IFERROR(IF(IFERROR(MATCH(303,'كشف الحساب'!$N$4:$N$353,0),0)=0,"",INDEX('كشف الحساب'!$H$4:$H$353,IFERROR(MATCH(303,'كشف الحساب'!$N$4:$N$353,0),0))),"")</f>
        <v/>
      </c>
      <c r="I307" s="64" t="str">
        <f>IFERROR(IF(IFERROR(MATCH(303,'كشف الحساب'!$N$4:$N$353,0),0)=0,"",INDEX('كشف الحساب'!$I$4:$I$353,IFERROR(MATCH(303,'كشف الحساب'!$N$4:$N$353,0),0))),"")</f>
        <v/>
      </c>
      <c r="J307" s="68" t="str">
        <f>IFERROR(IF(IFERROR(MATCH(303,'كشف الحساب'!$N$4:$N$353,0),0)=0,"",INDEX('كشف الحساب'!$J$4:$J$353,IFERROR(MATCH(303,'كشف الحساب'!$N$4:$N$353,0),0))),"")</f>
        <v/>
      </c>
      <c r="K307" s="64" t="str">
        <f>IFERROR(IF(IFERROR(MATCH(303,'كشف الحساب'!$N$4:$N$353,0),0)=0,"",INDEX('كشف الحساب'!$K$4:$K$353,IFERROR(MATCH(303,'كشف الحساب'!$N$4:$N$353,0),0))),"")</f>
        <v/>
      </c>
    </row>
    <row r="308" spans="1:11" ht="15" customHeight="1" x14ac:dyDescent="0.25">
      <c r="A308" s="69" t="str">
        <f>IFERROR(IF(IFERROR(MATCH(304,'كشف الحساب'!$N$4:$N$353,0),0)=0,"",INDEX('كشف الحساب'!$A$4:$A$353,IFERROR(MATCH(304,'كشف الحساب'!$N$4:$N$353,0),0))),"")</f>
        <v/>
      </c>
      <c r="B308" s="70" t="str">
        <f>IFERROR(IF(IFERROR(MATCH(304,'كشف الحساب'!$N$4:$N$353,0),0)=0,"",INDEX('كشف الحساب'!$B$4:$B$353,IFERROR(MATCH(304,'كشف الحساب'!$N$4:$N$353,0),0))),"")</f>
        <v/>
      </c>
      <c r="C308" s="71" t="str">
        <f>IFERROR(IF(IFERROR(MATCH(304,'كشف الحساب'!$N$4:$N$353,0),0)=0,"",INDEX('كشف الحساب'!$C$4:$C$353,IFERROR(MATCH(304,'كشف الحساب'!$N$4:$N$353,0),0))),"")</f>
        <v/>
      </c>
      <c r="D308" s="72" t="str">
        <f>IFERROR(IF(IFERROR(MATCH(304,'كشف الحساب'!$N$4:$N$353,0),0)=0,"",INDEX('كشف الحساب'!$D$4:$D$353,IFERROR(MATCH(304,'كشف الحساب'!$N$4:$N$353,0),0))),"")</f>
        <v/>
      </c>
      <c r="E308" s="73" t="str">
        <f>IFERROR(IF(IFERROR(MATCH(304,'كشف الحساب'!$N$4:$N$353,0),0)=0,"",INDEX('كشف الحساب'!$E$4:$E$353,IFERROR(MATCH(304,'كشف الحساب'!$N$4:$N$353,0),0))),"")</f>
        <v/>
      </c>
      <c r="F308" s="70" t="str">
        <f>IFERROR(IF(IFERROR(MATCH(304,'كشف الحساب'!$N$4:$N$353,0),0)=0,"",INDEX('كشف الحساب'!$F$4:$F$353,IFERROR(MATCH(304,'كشف الحساب'!$N$4:$N$353,0),0))),"")</f>
        <v/>
      </c>
      <c r="G308" s="70" t="str">
        <f>IFERROR(IF(IFERROR(MATCH(304,'كشف الحساب'!$N$4:$N$353,0),0)=0,"",INDEX('كشف الحساب'!$G$4:$G$353,IFERROR(MATCH(304,'كشف الحساب'!$N$4:$N$353,0),0))),"")</f>
        <v/>
      </c>
      <c r="H308" s="70" t="str">
        <f>IFERROR(IF(IFERROR(MATCH(304,'كشف الحساب'!$N$4:$N$353,0),0)=0,"",INDEX('كشف الحساب'!$H$4:$H$353,IFERROR(MATCH(304,'كشف الحساب'!$N$4:$N$353,0),0))),"")</f>
        <v/>
      </c>
      <c r="I308" s="70" t="str">
        <f>IFERROR(IF(IFERROR(MATCH(304,'كشف الحساب'!$N$4:$N$353,0),0)=0,"",INDEX('كشف الحساب'!$I$4:$I$353,IFERROR(MATCH(304,'كشف الحساب'!$N$4:$N$353,0),0))),"")</f>
        <v/>
      </c>
      <c r="J308" s="74" t="str">
        <f>IFERROR(IF(IFERROR(MATCH(304,'كشف الحساب'!$N$4:$N$353,0),0)=0,"",INDEX('كشف الحساب'!$J$4:$J$353,IFERROR(MATCH(304,'كشف الحساب'!$N$4:$N$353,0),0))),"")</f>
        <v/>
      </c>
      <c r="K308" s="70" t="str">
        <f>IFERROR(IF(IFERROR(MATCH(304,'كشف الحساب'!$N$4:$N$353,0),0)=0,"",INDEX('كشف الحساب'!$K$4:$K$353,IFERROR(MATCH(304,'كشف الحساب'!$N$4:$N$353,0),0))),"")</f>
        <v/>
      </c>
    </row>
    <row r="309" spans="1:11" ht="15" customHeight="1" x14ac:dyDescent="0.25">
      <c r="A309" s="63" t="str">
        <f>IFERROR(IF(IFERROR(MATCH(305,'كشف الحساب'!$N$4:$N$353,0),0)=0,"",INDEX('كشف الحساب'!$A$4:$A$353,IFERROR(MATCH(305,'كشف الحساب'!$N$4:$N$353,0),0))),"")</f>
        <v/>
      </c>
      <c r="B309" s="64" t="str">
        <f>IFERROR(IF(IFERROR(MATCH(305,'كشف الحساب'!$N$4:$N$353,0),0)=0,"",INDEX('كشف الحساب'!$B$4:$B$353,IFERROR(MATCH(305,'كشف الحساب'!$N$4:$N$353,0),0))),"")</f>
        <v/>
      </c>
      <c r="C309" s="65" t="str">
        <f>IFERROR(IF(IFERROR(MATCH(305,'كشف الحساب'!$N$4:$N$353,0),0)=0,"",INDEX('كشف الحساب'!$C$4:$C$353,IFERROR(MATCH(305,'كشف الحساب'!$N$4:$N$353,0),0))),"")</f>
        <v/>
      </c>
      <c r="D309" s="66" t="str">
        <f>IFERROR(IF(IFERROR(MATCH(305,'كشف الحساب'!$N$4:$N$353,0),0)=0,"",INDEX('كشف الحساب'!$D$4:$D$353,IFERROR(MATCH(305,'كشف الحساب'!$N$4:$N$353,0),0))),"")</f>
        <v/>
      </c>
      <c r="E309" s="67" t="str">
        <f>IFERROR(IF(IFERROR(MATCH(305,'كشف الحساب'!$N$4:$N$353,0),0)=0,"",INDEX('كشف الحساب'!$E$4:$E$353,IFERROR(MATCH(305,'كشف الحساب'!$N$4:$N$353,0),0))),"")</f>
        <v/>
      </c>
      <c r="F309" s="64" t="str">
        <f>IFERROR(IF(IFERROR(MATCH(305,'كشف الحساب'!$N$4:$N$353,0),0)=0,"",INDEX('كشف الحساب'!$F$4:$F$353,IFERROR(MATCH(305,'كشف الحساب'!$N$4:$N$353,0),0))),"")</f>
        <v/>
      </c>
      <c r="G309" s="64" t="str">
        <f>IFERROR(IF(IFERROR(MATCH(305,'كشف الحساب'!$N$4:$N$353,0),0)=0,"",INDEX('كشف الحساب'!$G$4:$G$353,IFERROR(MATCH(305,'كشف الحساب'!$N$4:$N$353,0),0))),"")</f>
        <v/>
      </c>
      <c r="H309" s="64" t="str">
        <f>IFERROR(IF(IFERROR(MATCH(305,'كشف الحساب'!$N$4:$N$353,0),0)=0,"",INDEX('كشف الحساب'!$H$4:$H$353,IFERROR(MATCH(305,'كشف الحساب'!$N$4:$N$353,0),0))),"")</f>
        <v/>
      </c>
      <c r="I309" s="64" t="str">
        <f>IFERROR(IF(IFERROR(MATCH(305,'كشف الحساب'!$N$4:$N$353,0),0)=0,"",INDEX('كشف الحساب'!$I$4:$I$353,IFERROR(MATCH(305,'كشف الحساب'!$N$4:$N$353,0),0))),"")</f>
        <v/>
      </c>
      <c r="J309" s="68" t="str">
        <f>IFERROR(IF(IFERROR(MATCH(305,'كشف الحساب'!$N$4:$N$353,0),0)=0,"",INDEX('كشف الحساب'!$J$4:$J$353,IFERROR(MATCH(305,'كشف الحساب'!$N$4:$N$353,0),0))),"")</f>
        <v/>
      </c>
      <c r="K309" s="64" t="str">
        <f>IFERROR(IF(IFERROR(MATCH(305,'كشف الحساب'!$N$4:$N$353,0),0)=0,"",INDEX('كشف الحساب'!$K$4:$K$353,IFERROR(MATCH(305,'كشف الحساب'!$N$4:$N$353,0),0))),"")</f>
        <v/>
      </c>
    </row>
    <row r="310" spans="1:11" ht="15" customHeight="1" x14ac:dyDescent="0.25">
      <c r="A310" s="69" t="str">
        <f>IFERROR(IF(IFERROR(MATCH(306,'كشف الحساب'!$N$4:$N$353,0),0)=0,"",INDEX('كشف الحساب'!$A$4:$A$353,IFERROR(MATCH(306,'كشف الحساب'!$N$4:$N$353,0),0))),"")</f>
        <v/>
      </c>
      <c r="B310" s="70" t="str">
        <f>IFERROR(IF(IFERROR(MATCH(306,'كشف الحساب'!$N$4:$N$353,0),0)=0,"",INDEX('كشف الحساب'!$B$4:$B$353,IFERROR(MATCH(306,'كشف الحساب'!$N$4:$N$353,0),0))),"")</f>
        <v/>
      </c>
      <c r="C310" s="71" t="str">
        <f>IFERROR(IF(IFERROR(MATCH(306,'كشف الحساب'!$N$4:$N$353,0),0)=0,"",INDEX('كشف الحساب'!$C$4:$C$353,IFERROR(MATCH(306,'كشف الحساب'!$N$4:$N$353,0),0))),"")</f>
        <v/>
      </c>
      <c r="D310" s="72" t="str">
        <f>IFERROR(IF(IFERROR(MATCH(306,'كشف الحساب'!$N$4:$N$353,0),0)=0,"",INDEX('كشف الحساب'!$D$4:$D$353,IFERROR(MATCH(306,'كشف الحساب'!$N$4:$N$353,0),0))),"")</f>
        <v/>
      </c>
      <c r="E310" s="73" t="str">
        <f>IFERROR(IF(IFERROR(MATCH(306,'كشف الحساب'!$N$4:$N$353,0),0)=0,"",INDEX('كشف الحساب'!$E$4:$E$353,IFERROR(MATCH(306,'كشف الحساب'!$N$4:$N$353,0),0))),"")</f>
        <v/>
      </c>
      <c r="F310" s="70" t="str">
        <f>IFERROR(IF(IFERROR(MATCH(306,'كشف الحساب'!$N$4:$N$353,0),0)=0,"",INDEX('كشف الحساب'!$F$4:$F$353,IFERROR(MATCH(306,'كشف الحساب'!$N$4:$N$353,0),0))),"")</f>
        <v/>
      </c>
      <c r="G310" s="70" t="str">
        <f>IFERROR(IF(IFERROR(MATCH(306,'كشف الحساب'!$N$4:$N$353,0),0)=0,"",INDEX('كشف الحساب'!$G$4:$G$353,IFERROR(MATCH(306,'كشف الحساب'!$N$4:$N$353,0),0))),"")</f>
        <v/>
      </c>
      <c r="H310" s="70" t="str">
        <f>IFERROR(IF(IFERROR(MATCH(306,'كشف الحساب'!$N$4:$N$353,0),0)=0,"",INDEX('كشف الحساب'!$H$4:$H$353,IFERROR(MATCH(306,'كشف الحساب'!$N$4:$N$353,0),0))),"")</f>
        <v/>
      </c>
      <c r="I310" s="70" t="str">
        <f>IFERROR(IF(IFERROR(MATCH(306,'كشف الحساب'!$N$4:$N$353,0),0)=0,"",INDEX('كشف الحساب'!$I$4:$I$353,IFERROR(MATCH(306,'كشف الحساب'!$N$4:$N$353,0),0))),"")</f>
        <v/>
      </c>
      <c r="J310" s="74" t="str">
        <f>IFERROR(IF(IFERROR(MATCH(306,'كشف الحساب'!$N$4:$N$353,0),0)=0,"",INDEX('كشف الحساب'!$J$4:$J$353,IFERROR(MATCH(306,'كشف الحساب'!$N$4:$N$353,0),0))),"")</f>
        <v/>
      </c>
      <c r="K310" s="70" t="str">
        <f>IFERROR(IF(IFERROR(MATCH(306,'كشف الحساب'!$N$4:$N$353,0),0)=0,"",INDEX('كشف الحساب'!$K$4:$K$353,IFERROR(MATCH(306,'كشف الحساب'!$N$4:$N$353,0),0))),"")</f>
        <v/>
      </c>
    </row>
    <row r="311" spans="1:11" ht="15" customHeight="1" x14ac:dyDescent="0.25">
      <c r="A311" s="63" t="str">
        <f>IFERROR(IF(IFERROR(MATCH(307,'كشف الحساب'!$N$4:$N$353,0),0)=0,"",INDEX('كشف الحساب'!$A$4:$A$353,IFERROR(MATCH(307,'كشف الحساب'!$N$4:$N$353,0),0))),"")</f>
        <v/>
      </c>
      <c r="B311" s="64" t="str">
        <f>IFERROR(IF(IFERROR(MATCH(307,'كشف الحساب'!$N$4:$N$353,0),0)=0,"",INDEX('كشف الحساب'!$B$4:$B$353,IFERROR(MATCH(307,'كشف الحساب'!$N$4:$N$353,0),0))),"")</f>
        <v/>
      </c>
      <c r="C311" s="65" t="str">
        <f>IFERROR(IF(IFERROR(MATCH(307,'كشف الحساب'!$N$4:$N$353,0),0)=0,"",INDEX('كشف الحساب'!$C$4:$C$353,IFERROR(MATCH(307,'كشف الحساب'!$N$4:$N$353,0),0))),"")</f>
        <v/>
      </c>
      <c r="D311" s="66" t="str">
        <f>IFERROR(IF(IFERROR(MATCH(307,'كشف الحساب'!$N$4:$N$353,0),0)=0,"",INDEX('كشف الحساب'!$D$4:$D$353,IFERROR(MATCH(307,'كشف الحساب'!$N$4:$N$353,0),0))),"")</f>
        <v/>
      </c>
      <c r="E311" s="67" t="str">
        <f>IFERROR(IF(IFERROR(MATCH(307,'كشف الحساب'!$N$4:$N$353,0),0)=0,"",INDEX('كشف الحساب'!$E$4:$E$353,IFERROR(MATCH(307,'كشف الحساب'!$N$4:$N$353,0),0))),"")</f>
        <v/>
      </c>
      <c r="F311" s="64" t="str">
        <f>IFERROR(IF(IFERROR(MATCH(307,'كشف الحساب'!$N$4:$N$353,0),0)=0,"",INDEX('كشف الحساب'!$F$4:$F$353,IFERROR(MATCH(307,'كشف الحساب'!$N$4:$N$353,0),0))),"")</f>
        <v/>
      </c>
      <c r="G311" s="64" t="str">
        <f>IFERROR(IF(IFERROR(MATCH(307,'كشف الحساب'!$N$4:$N$353,0),0)=0,"",INDEX('كشف الحساب'!$G$4:$G$353,IFERROR(MATCH(307,'كشف الحساب'!$N$4:$N$353,0),0))),"")</f>
        <v/>
      </c>
      <c r="H311" s="64" t="str">
        <f>IFERROR(IF(IFERROR(MATCH(307,'كشف الحساب'!$N$4:$N$353,0),0)=0,"",INDEX('كشف الحساب'!$H$4:$H$353,IFERROR(MATCH(307,'كشف الحساب'!$N$4:$N$353,0),0))),"")</f>
        <v/>
      </c>
      <c r="I311" s="64" t="str">
        <f>IFERROR(IF(IFERROR(MATCH(307,'كشف الحساب'!$N$4:$N$353,0),0)=0,"",INDEX('كشف الحساب'!$I$4:$I$353,IFERROR(MATCH(307,'كشف الحساب'!$N$4:$N$353,0),0))),"")</f>
        <v/>
      </c>
      <c r="J311" s="68" t="str">
        <f>IFERROR(IF(IFERROR(MATCH(307,'كشف الحساب'!$N$4:$N$353,0),0)=0,"",INDEX('كشف الحساب'!$J$4:$J$353,IFERROR(MATCH(307,'كشف الحساب'!$N$4:$N$353,0),0))),"")</f>
        <v/>
      </c>
      <c r="K311" s="64" t="str">
        <f>IFERROR(IF(IFERROR(MATCH(307,'كشف الحساب'!$N$4:$N$353,0),0)=0,"",INDEX('كشف الحساب'!$K$4:$K$353,IFERROR(MATCH(307,'كشف الحساب'!$N$4:$N$353,0),0))),"")</f>
        <v/>
      </c>
    </row>
    <row r="312" spans="1:11" ht="15" customHeight="1" x14ac:dyDescent="0.25">
      <c r="A312" s="69" t="str">
        <f>IFERROR(IF(IFERROR(MATCH(308,'كشف الحساب'!$N$4:$N$353,0),0)=0,"",INDEX('كشف الحساب'!$A$4:$A$353,IFERROR(MATCH(308,'كشف الحساب'!$N$4:$N$353,0),0))),"")</f>
        <v/>
      </c>
      <c r="B312" s="70" t="str">
        <f>IFERROR(IF(IFERROR(MATCH(308,'كشف الحساب'!$N$4:$N$353,0),0)=0,"",INDEX('كشف الحساب'!$B$4:$B$353,IFERROR(MATCH(308,'كشف الحساب'!$N$4:$N$353,0),0))),"")</f>
        <v/>
      </c>
      <c r="C312" s="71" t="str">
        <f>IFERROR(IF(IFERROR(MATCH(308,'كشف الحساب'!$N$4:$N$353,0),0)=0,"",INDEX('كشف الحساب'!$C$4:$C$353,IFERROR(MATCH(308,'كشف الحساب'!$N$4:$N$353,0),0))),"")</f>
        <v/>
      </c>
      <c r="D312" s="72" t="str">
        <f>IFERROR(IF(IFERROR(MATCH(308,'كشف الحساب'!$N$4:$N$353,0),0)=0,"",INDEX('كشف الحساب'!$D$4:$D$353,IFERROR(MATCH(308,'كشف الحساب'!$N$4:$N$353,0),0))),"")</f>
        <v/>
      </c>
      <c r="E312" s="73" t="str">
        <f>IFERROR(IF(IFERROR(MATCH(308,'كشف الحساب'!$N$4:$N$353,0),0)=0,"",INDEX('كشف الحساب'!$E$4:$E$353,IFERROR(MATCH(308,'كشف الحساب'!$N$4:$N$353,0),0))),"")</f>
        <v/>
      </c>
      <c r="F312" s="70" t="str">
        <f>IFERROR(IF(IFERROR(MATCH(308,'كشف الحساب'!$N$4:$N$353,0),0)=0,"",INDEX('كشف الحساب'!$F$4:$F$353,IFERROR(MATCH(308,'كشف الحساب'!$N$4:$N$353,0),0))),"")</f>
        <v/>
      </c>
      <c r="G312" s="70" t="str">
        <f>IFERROR(IF(IFERROR(MATCH(308,'كشف الحساب'!$N$4:$N$353,0),0)=0,"",INDEX('كشف الحساب'!$G$4:$G$353,IFERROR(MATCH(308,'كشف الحساب'!$N$4:$N$353,0),0))),"")</f>
        <v/>
      </c>
      <c r="H312" s="70" t="str">
        <f>IFERROR(IF(IFERROR(MATCH(308,'كشف الحساب'!$N$4:$N$353,0),0)=0,"",INDEX('كشف الحساب'!$H$4:$H$353,IFERROR(MATCH(308,'كشف الحساب'!$N$4:$N$353,0),0))),"")</f>
        <v/>
      </c>
      <c r="I312" s="70" t="str">
        <f>IFERROR(IF(IFERROR(MATCH(308,'كشف الحساب'!$N$4:$N$353,0),0)=0,"",INDEX('كشف الحساب'!$I$4:$I$353,IFERROR(MATCH(308,'كشف الحساب'!$N$4:$N$353,0),0))),"")</f>
        <v/>
      </c>
      <c r="J312" s="74" t="str">
        <f>IFERROR(IF(IFERROR(MATCH(308,'كشف الحساب'!$N$4:$N$353,0),0)=0,"",INDEX('كشف الحساب'!$J$4:$J$353,IFERROR(MATCH(308,'كشف الحساب'!$N$4:$N$353,0),0))),"")</f>
        <v/>
      </c>
      <c r="K312" s="70" t="str">
        <f>IFERROR(IF(IFERROR(MATCH(308,'كشف الحساب'!$N$4:$N$353,0),0)=0,"",INDEX('كشف الحساب'!$K$4:$K$353,IFERROR(MATCH(308,'كشف الحساب'!$N$4:$N$353,0),0))),"")</f>
        <v/>
      </c>
    </row>
    <row r="313" spans="1:11" ht="15" customHeight="1" x14ac:dyDescent="0.25">
      <c r="A313" s="63" t="str">
        <f>IFERROR(IF(IFERROR(MATCH(309,'كشف الحساب'!$N$4:$N$353,0),0)=0,"",INDEX('كشف الحساب'!$A$4:$A$353,IFERROR(MATCH(309,'كشف الحساب'!$N$4:$N$353,0),0))),"")</f>
        <v/>
      </c>
      <c r="B313" s="64" t="str">
        <f>IFERROR(IF(IFERROR(MATCH(309,'كشف الحساب'!$N$4:$N$353,0),0)=0,"",INDEX('كشف الحساب'!$B$4:$B$353,IFERROR(MATCH(309,'كشف الحساب'!$N$4:$N$353,0),0))),"")</f>
        <v/>
      </c>
      <c r="C313" s="65" t="str">
        <f>IFERROR(IF(IFERROR(MATCH(309,'كشف الحساب'!$N$4:$N$353,0),0)=0,"",INDEX('كشف الحساب'!$C$4:$C$353,IFERROR(MATCH(309,'كشف الحساب'!$N$4:$N$353,0),0))),"")</f>
        <v/>
      </c>
      <c r="D313" s="66" t="str">
        <f>IFERROR(IF(IFERROR(MATCH(309,'كشف الحساب'!$N$4:$N$353,0),0)=0,"",INDEX('كشف الحساب'!$D$4:$D$353,IFERROR(MATCH(309,'كشف الحساب'!$N$4:$N$353,0),0))),"")</f>
        <v/>
      </c>
      <c r="E313" s="67" t="str">
        <f>IFERROR(IF(IFERROR(MATCH(309,'كشف الحساب'!$N$4:$N$353,0),0)=0,"",INDEX('كشف الحساب'!$E$4:$E$353,IFERROR(MATCH(309,'كشف الحساب'!$N$4:$N$353,0),0))),"")</f>
        <v/>
      </c>
      <c r="F313" s="64" t="str">
        <f>IFERROR(IF(IFERROR(MATCH(309,'كشف الحساب'!$N$4:$N$353,0),0)=0,"",INDEX('كشف الحساب'!$F$4:$F$353,IFERROR(MATCH(309,'كشف الحساب'!$N$4:$N$353,0),0))),"")</f>
        <v/>
      </c>
      <c r="G313" s="64" t="str">
        <f>IFERROR(IF(IFERROR(MATCH(309,'كشف الحساب'!$N$4:$N$353,0),0)=0,"",INDEX('كشف الحساب'!$G$4:$G$353,IFERROR(MATCH(309,'كشف الحساب'!$N$4:$N$353,0),0))),"")</f>
        <v/>
      </c>
      <c r="H313" s="64" t="str">
        <f>IFERROR(IF(IFERROR(MATCH(309,'كشف الحساب'!$N$4:$N$353,0),0)=0,"",INDEX('كشف الحساب'!$H$4:$H$353,IFERROR(MATCH(309,'كشف الحساب'!$N$4:$N$353,0),0))),"")</f>
        <v/>
      </c>
      <c r="I313" s="64" t="str">
        <f>IFERROR(IF(IFERROR(MATCH(309,'كشف الحساب'!$N$4:$N$353,0),0)=0,"",INDEX('كشف الحساب'!$I$4:$I$353,IFERROR(MATCH(309,'كشف الحساب'!$N$4:$N$353,0),0))),"")</f>
        <v/>
      </c>
      <c r="J313" s="68" t="str">
        <f>IFERROR(IF(IFERROR(MATCH(309,'كشف الحساب'!$N$4:$N$353,0),0)=0,"",INDEX('كشف الحساب'!$J$4:$J$353,IFERROR(MATCH(309,'كشف الحساب'!$N$4:$N$353,0),0))),"")</f>
        <v/>
      </c>
      <c r="K313" s="64" t="str">
        <f>IFERROR(IF(IFERROR(MATCH(309,'كشف الحساب'!$N$4:$N$353,0),0)=0,"",INDEX('كشف الحساب'!$K$4:$K$353,IFERROR(MATCH(309,'كشف الحساب'!$N$4:$N$353,0),0))),"")</f>
        <v/>
      </c>
    </row>
    <row r="314" spans="1:11" ht="15" customHeight="1" x14ac:dyDescent="0.25">
      <c r="A314" s="69" t="str">
        <f>IFERROR(IF(IFERROR(MATCH(310,'كشف الحساب'!$N$4:$N$353,0),0)=0,"",INDEX('كشف الحساب'!$A$4:$A$353,IFERROR(MATCH(310,'كشف الحساب'!$N$4:$N$353,0),0))),"")</f>
        <v/>
      </c>
      <c r="B314" s="70" t="str">
        <f>IFERROR(IF(IFERROR(MATCH(310,'كشف الحساب'!$N$4:$N$353,0),0)=0,"",INDEX('كشف الحساب'!$B$4:$B$353,IFERROR(MATCH(310,'كشف الحساب'!$N$4:$N$353,0),0))),"")</f>
        <v/>
      </c>
      <c r="C314" s="71" t="str">
        <f>IFERROR(IF(IFERROR(MATCH(310,'كشف الحساب'!$N$4:$N$353,0),0)=0,"",INDEX('كشف الحساب'!$C$4:$C$353,IFERROR(MATCH(310,'كشف الحساب'!$N$4:$N$353,0),0))),"")</f>
        <v/>
      </c>
      <c r="D314" s="72" t="str">
        <f>IFERROR(IF(IFERROR(MATCH(310,'كشف الحساب'!$N$4:$N$353,0),0)=0,"",INDEX('كشف الحساب'!$D$4:$D$353,IFERROR(MATCH(310,'كشف الحساب'!$N$4:$N$353,0),0))),"")</f>
        <v/>
      </c>
      <c r="E314" s="73" t="str">
        <f>IFERROR(IF(IFERROR(MATCH(310,'كشف الحساب'!$N$4:$N$353,0),0)=0,"",INDEX('كشف الحساب'!$E$4:$E$353,IFERROR(MATCH(310,'كشف الحساب'!$N$4:$N$353,0),0))),"")</f>
        <v/>
      </c>
      <c r="F314" s="70" t="str">
        <f>IFERROR(IF(IFERROR(MATCH(310,'كشف الحساب'!$N$4:$N$353,0),0)=0,"",INDEX('كشف الحساب'!$F$4:$F$353,IFERROR(MATCH(310,'كشف الحساب'!$N$4:$N$353,0),0))),"")</f>
        <v/>
      </c>
      <c r="G314" s="70" t="str">
        <f>IFERROR(IF(IFERROR(MATCH(310,'كشف الحساب'!$N$4:$N$353,0),0)=0,"",INDEX('كشف الحساب'!$G$4:$G$353,IFERROR(MATCH(310,'كشف الحساب'!$N$4:$N$353,0),0))),"")</f>
        <v/>
      </c>
      <c r="H314" s="70" t="str">
        <f>IFERROR(IF(IFERROR(MATCH(310,'كشف الحساب'!$N$4:$N$353,0),0)=0,"",INDEX('كشف الحساب'!$H$4:$H$353,IFERROR(MATCH(310,'كشف الحساب'!$N$4:$N$353,0),0))),"")</f>
        <v/>
      </c>
      <c r="I314" s="70" t="str">
        <f>IFERROR(IF(IFERROR(MATCH(310,'كشف الحساب'!$N$4:$N$353,0),0)=0,"",INDEX('كشف الحساب'!$I$4:$I$353,IFERROR(MATCH(310,'كشف الحساب'!$N$4:$N$353,0),0))),"")</f>
        <v/>
      </c>
      <c r="J314" s="74" t="str">
        <f>IFERROR(IF(IFERROR(MATCH(310,'كشف الحساب'!$N$4:$N$353,0),0)=0,"",INDEX('كشف الحساب'!$J$4:$J$353,IFERROR(MATCH(310,'كشف الحساب'!$N$4:$N$353,0),0))),"")</f>
        <v/>
      </c>
      <c r="K314" s="70" t="str">
        <f>IFERROR(IF(IFERROR(MATCH(310,'كشف الحساب'!$N$4:$N$353,0),0)=0,"",INDEX('كشف الحساب'!$K$4:$K$353,IFERROR(MATCH(310,'كشف الحساب'!$N$4:$N$353,0),0))),"")</f>
        <v/>
      </c>
    </row>
    <row r="315" spans="1:11" ht="15" customHeight="1" x14ac:dyDescent="0.25">
      <c r="A315" s="63" t="str">
        <f>IFERROR(IF(IFERROR(MATCH(311,'كشف الحساب'!$N$4:$N$353,0),0)=0,"",INDEX('كشف الحساب'!$A$4:$A$353,IFERROR(MATCH(311,'كشف الحساب'!$N$4:$N$353,0),0))),"")</f>
        <v/>
      </c>
      <c r="B315" s="64" t="str">
        <f>IFERROR(IF(IFERROR(MATCH(311,'كشف الحساب'!$N$4:$N$353,0),0)=0,"",INDEX('كشف الحساب'!$B$4:$B$353,IFERROR(MATCH(311,'كشف الحساب'!$N$4:$N$353,0),0))),"")</f>
        <v/>
      </c>
      <c r="C315" s="65" t="str">
        <f>IFERROR(IF(IFERROR(MATCH(311,'كشف الحساب'!$N$4:$N$353,0),0)=0,"",INDEX('كشف الحساب'!$C$4:$C$353,IFERROR(MATCH(311,'كشف الحساب'!$N$4:$N$353,0),0))),"")</f>
        <v/>
      </c>
      <c r="D315" s="66" t="str">
        <f>IFERROR(IF(IFERROR(MATCH(311,'كشف الحساب'!$N$4:$N$353,0),0)=0,"",INDEX('كشف الحساب'!$D$4:$D$353,IFERROR(MATCH(311,'كشف الحساب'!$N$4:$N$353,0),0))),"")</f>
        <v/>
      </c>
      <c r="E315" s="67" t="str">
        <f>IFERROR(IF(IFERROR(MATCH(311,'كشف الحساب'!$N$4:$N$353,0),0)=0,"",INDEX('كشف الحساب'!$E$4:$E$353,IFERROR(MATCH(311,'كشف الحساب'!$N$4:$N$353,0),0))),"")</f>
        <v/>
      </c>
      <c r="F315" s="64" t="str">
        <f>IFERROR(IF(IFERROR(MATCH(311,'كشف الحساب'!$N$4:$N$353,0),0)=0,"",INDEX('كشف الحساب'!$F$4:$F$353,IFERROR(MATCH(311,'كشف الحساب'!$N$4:$N$353,0),0))),"")</f>
        <v/>
      </c>
      <c r="G315" s="64" t="str">
        <f>IFERROR(IF(IFERROR(MATCH(311,'كشف الحساب'!$N$4:$N$353,0),0)=0,"",INDEX('كشف الحساب'!$G$4:$G$353,IFERROR(MATCH(311,'كشف الحساب'!$N$4:$N$353,0),0))),"")</f>
        <v/>
      </c>
      <c r="H315" s="64" t="str">
        <f>IFERROR(IF(IFERROR(MATCH(311,'كشف الحساب'!$N$4:$N$353,0),0)=0,"",INDEX('كشف الحساب'!$H$4:$H$353,IFERROR(MATCH(311,'كشف الحساب'!$N$4:$N$353,0),0))),"")</f>
        <v/>
      </c>
      <c r="I315" s="64" t="str">
        <f>IFERROR(IF(IFERROR(MATCH(311,'كشف الحساب'!$N$4:$N$353,0),0)=0,"",INDEX('كشف الحساب'!$I$4:$I$353,IFERROR(MATCH(311,'كشف الحساب'!$N$4:$N$353,0),0))),"")</f>
        <v/>
      </c>
      <c r="J315" s="68" t="str">
        <f>IFERROR(IF(IFERROR(MATCH(311,'كشف الحساب'!$N$4:$N$353,0),0)=0,"",INDEX('كشف الحساب'!$J$4:$J$353,IFERROR(MATCH(311,'كشف الحساب'!$N$4:$N$353,0),0))),"")</f>
        <v/>
      </c>
      <c r="K315" s="64" t="str">
        <f>IFERROR(IF(IFERROR(MATCH(311,'كشف الحساب'!$N$4:$N$353,0),0)=0,"",INDEX('كشف الحساب'!$K$4:$K$353,IFERROR(MATCH(311,'كشف الحساب'!$N$4:$N$353,0),0))),"")</f>
        <v/>
      </c>
    </row>
    <row r="316" spans="1:11" ht="15" customHeight="1" x14ac:dyDescent="0.25">
      <c r="A316" s="69" t="str">
        <f>IFERROR(IF(IFERROR(MATCH(312,'كشف الحساب'!$N$4:$N$353,0),0)=0,"",INDEX('كشف الحساب'!$A$4:$A$353,IFERROR(MATCH(312,'كشف الحساب'!$N$4:$N$353,0),0))),"")</f>
        <v/>
      </c>
      <c r="B316" s="70" t="str">
        <f>IFERROR(IF(IFERROR(MATCH(312,'كشف الحساب'!$N$4:$N$353,0),0)=0,"",INDEX('كشف الحساب'!$B$4:$B$353,IFERROR(MATCH(312,'كشف الحساب'!$N$4:$N$353,0),0))),"")</f>
        <v/>
      </c>
      <c r="C316" s="71" t="str">
        <f>IFERROR(IF(IFERROR(MATCH(312,'كشف الحساب'!$N$4:$N$353,0),0)=0,"",INDEX('كشف الحساب'!$C$4:$C$353,IFERROR(MATCH(312,'كشف الحساب'!$N$4:$N$353,0),0))),"")</f>
        <v/>
      </c>
      <c r="D316" s="72" t="str">
        <f>IFERROR(IF(IFERROR(MATCH(312,'كشف الحساب'!$N$4:$N$353,0),0)=0,"",INDEX('كشف الحساب'!$D$4:$D$353,IFERROR(MATCH(312,'كشف الحساب'!$N$4:$N$353,0),0))),"")</f>
        <v/>
      </c>
      <c r="E316" s="73" t="str">
        <f>IFERROR(IF(IFERROR(MATCH(312,'كشف الحساب'!$N$4:$N$353,0),0)=0,"",INDEX('كشف الحساب'!$E$4:$E$353,IFERROR(MATCH(312,'كشف الحساب'!$N$4:$N$353,0),0))),"")</f>
        <v/>
      </c>
      <c r="F316" s="70" t="str">
        <f>IFERROR(IF(IFERROR(MATCH(312,'كشف الحساب'!$N$4:$N$353,0),0)=0,"",INDEX('كشف الحساب'!$F$4:$F$353,IFERROR(MATCH(312,'كشف الحساب'!$N$4:$N$353,0),0))),"")</f>
        <v/>
      </c>
      <c r="G316" s="70" t="str">
        <f>IFERROR(IF(IFERROR(MATCH(312,'كشف الحساب'!$N$4:$N$353,0),0)=0,"",INDEX('كشف الحساب'!$G$4:$G$353,IFERROR(MATCH(312,'كشف الحساب'!$N$4:$N$353,0),0))),"")</f>
        <v/>
      </c>
      <c r="H316" s="70" t="str">
        <f>IFERROR(IF(IFERROR(MATCH(312,'كشف الحساب'!$N$4:$N$353,0),0)=0,"",INDEX('كشف الحساب'!$H$4:$H$353,IFERROR(MATCH(312,'كشف الحساب'!$N$4:$N$353,0),0))),"")</f>
        <v/>
      </c>
      <c r="I316" s="70" t="str">
        <f>IFERROR(IF(IFERROR(MATCH(312,'كشف الحساب'!$N$4:$N$353,0),0)=0,"",INDEX('كشف الحساب'!$I$4:$I$353,IFERROR(MATCH(312,'كشف الحساب'!$N$4:$N$353,0),0))),"")</f>
        <v/>
      </c>
      <c r="J316" s="74" t="str">
        <f>IFERROR(IF(IFERROR(MATCH(312,'كشف الحساب'!$N$4:$N$353,0),0)=0,"",INDEX('كشف الحساب'!$J$4:$J$353,IFERROR(MATCH(312,'كشف الحساب'!$N$4:$N$353,0),0))),"")</f>
        <v/>
      </c>
      <c r="K316" s="70" t="str">
        <f>IFERROR(IF(IFERROR(MATCH(312,'كشف الحساب'!$N$4:$N$353,0),0)=0,"",INDEX('كشف الحساب'!$K$4:$K$353,IFERROR(MATCH(312,'كشف الحساب'!$N$4:$N$353,0),0))),"")</f>
        <v/>
      </c>
    </row>
    <row r="317" spans="1:11" ht="15" customHeight="1" x14ac:dyDescent="0.25">
      <c r="A317" s="63" t="str">
        <f>IFERROR(IF(IFERROR(MATCH(313,'كشف الحساب'!$N$4:$N$353,0),0)=0,"",INDEX('كشف الحساب'!$A$4:$A$353,IFERROR(MATCH(313,'كشف الحساب'!$N$4:$N$353,0),0))),"")</f>
        <v/>
      </c>
      <c r="B317" s="64" t="str">
        <f>IFERROR(IF(IFERROR(MATCH(313,'كشف الحساب'!$N$4:$N$353,0),0)=0,"",INDEX('كشف الحساب'!$B$4:$B$353,IFERROR(MATCH(313,'كشف الحساب'!$N$4:$N$353,0),0))),"")</f>
        <v/>
      </c>
      <c r="C317" s="65" t="str">
        <f>IFERROR(IF(IFERROR(MATCH(313,'كشف الحساب'!$N$4:$N$353,0),0)=0,"",INDEX('كشف الحساب'!$C$4:$C$353,IFERROR(MATCH(313,'كشف الحساب'!$N$4:$N$353,0),0))),"")</f>
        <v/>
      </c>
      <c r="D317" s="66" t="str">
        <f>IFERROR(IF(IFERROR(MATCH(313,'كشف الحساب'!$N$4:$N$353,0),0)=0,"",INDEX('كشف الحساب'!$D$4:$D$353,IFERROR(MATCH(313,'كشف الحساب'!$N$4:$N$353,0),0))),"")</f>
        <v/>
      </c>
      <c r="E317" s="67" t="str">
        <f>IFERROR(IF(IFERROR(MATCH(313,'كشف الحساب'!$N$4:$N$353,0),0)=0,"",INDEX('كشف الحساب'!$E$4:$E$353,IFERROR(MATCH(313,'كشف الحساب'!$N$4:$N$353,0),0))),"")</f>
        <v/>
      </c>
      <c r="F317" s="64" t="str">
        <f>IFERROR(IF(IFERROR(MATCH(313,'كشف الحساب'!$N$4:$N$353,0),0)=0,"",INDEX('كشف الحساب'!$F$4:$F$353,IFERROR(MATCH(313,'كشف الحساب'!$N$4:$N$353,0),0))),"")</f>
        <v/>
      </c>
      <c r="G317" s="64" t="str">
        <f>IFERROR(IF(IFERROR(MATCH(313,'كشف الحساب'!$N$4:$N$353,0),0)=0,"",INDEX('كشف الحساب'!$G$4:$G$353,IFERROR(MATCH(313,'كشف الحساب'!$N$4:$N$353,0),0))),"")</f>
        <v/>
      </c>
      <c r="H317" s="64" t="str">
        <f>IFERROR(IF(IFERROR(MATCH(313,'كشف الحساب'!$N$4:$N$353,0),0)=0,"",INDEX('كشف الحساب'!$H$4:$H$353,IFERROR(MATCH(313,'كشف الحساب'!$N$4:$N$353,0),0))),"")</f>
        <v/>
      </c>
      <c r="I317" s="64" t="str">
        <f>IFERROR(IF(IFERROR(MATCH(313,'كشف الحساب'!$N$4:$N$353,0),0)=0,"",INDEX('كشف الحساب'!$I$4:$I$353,IFERROR(MATCH(313,'كشف الحساب'!$N$4:$N$353,0),0))),"")</f>
        <v/>
      </c>
      <c r="J317" s="68" t="str">
        <f>IFERROR(IF(IFERROR(MATCH(313,'كشف الحساب'!$N$4:$N$353,0),0)=0,"",INDEX('كشف الحساب'!$J$4:$J$353,IFERROR(MATCH(313,'كشف الحساب'!$N$4:$N$353,0),0))),"")</f>
        <v/>
      </c>
      <c r="K317" s="64" t="str">
        <f>IFERROR(IF(IFERROR(MATCH(313,'كشف الحساب'!$N$4:$N$353,0),0)=0,"",INDEX('كشف الحساب'!$K$4:$K$353,IFERROR(MATCH(313,'كشف الحساب'!$N$4:$N$353,0),0))),"")</f>
        <v/>
      </c>
    </row>
    <row r="318" spans="1:11" ht="15" customHeight="1" x14ac:dyDescent="0.25">
      <c r="A318" s="69" t="str">
        <f>IFERROR(IF(IFERROR(MATCH(314,'كشف الحساب'!$N$4:$N$353,0),0)=0,"",INDEX('كشف الحساب'!$A$4:$A$353,IFERROR(MATCH(314,'كشف الحساب'!$N$4:$N$353,0),0))),"")</f>
        <v/>
      </c>
      <c r="B318" s="70" t="str">
        <f>IFERROR(IF(IFERROR(MATCH(314,'كشف الحساب'!$N$4:$N$353,0),0)=0,"",INDEX('كشف الحساب'!$B$4:$B$353,IFERROR(MATCH(314,'كشف الحساب'!$N$4:$N$353,0),0))),"")</f>
        <v/>
      </c>
      <c r="C318" s="71" t="str">
        <f>IFERROR(IF(IFERROR(MATCH(314,'كشف الحساب'!$N$4:$N$353,0),0)=0,"",INDEX('كشف الحساب'!$C$4:$C$353,IFERROR(MATCH(314,'كشف الحساب'!$N$4:$N$353,0),0))),"")</f>
        <v/>
      </c>
      <c r="D318" s="72" t="str">
        <f>IFERROR(IF(IFERROR(MATCH(314,'كشف الحساب'!$N$4:$N$353,0),0)=0,"",INDEX('كشف الحساب'!$D$4:$D$353,IFERROR(MATCH(314,'كشف الحساب'!$N$4:$N$353,0),0))),"")</f>
        <v/>
      </c>
      <c r="E318" s="73" t="str">
        <f>IFERROR(IF(IFERROR(MATCH(314,'كشف الحساب'!$N$4:$N$353,0),0)=0,"",INDEX('كشف الحساب'!$E$4:$E$353,IFERROR(MATCH(314,'كشف الحساب'!$N$4:$N$353,0),0))),"")</f>
        <v/>
      </c>
      <c r="F318" s="70" t="str">
        <f>IFERROR(IF(IFERROR(MATCH(314,'كشف الحساب'!$N$4:$N$353,0),0)=0,"",INDEX('كشف الحساب'!$F$4:$F$353,IFERROR(MATCH(314,'كشف الحساب'!$N$4:$N$353,0),0))),"")</f>
        <v/>
      </c>
      <c r="G318" s="70" t="str">
        <f>IFERROR(IF(IFERROR(MATCH(314,'كشف الحساب'!$N$4:$N$353,0),0)=0,"",INDEX('كشف الحساب'!$G$4:$G$353,IFERROR(MATCH(314,'كشف الحساب'!$N$4:$N$353,0),0))),"")</f>
        <v/>
      </c>
      <c r="H318" s="70" t="str">
        <f>IFERROR(IF(IFERROR(MATCH(314,'كشف الحساب'!$N$4:$N$353,0),0)=0,"",INDEX('كشف الحساب'!$H$4:$H$353,IFERROR(MATCH(314,'كشف الحساب'!$N$4:$N$353,0),0))),"")</f>
        <v/>
      </c>
      <c r="I318" s="70" t="str">
        <f>IFERROR(IF(IFERROR(MATCH(314,'كشف الحساب'!$N$4:$N$353,0),0)=0,"",INDEX('كشف الحساب'!$I$4:$I$353,IFERROR(MATCH(314,'كشف الحساب'!$N$4:$N$353,0),0))),"")</f>
        <v/>
      </c>
      <c r="J318" s="74" t="str">
        <f>IFERROR(IF(IFERROR(MATCH(314,'كشف الحساب'!$N$4:$N$353,0),0)=0,"",INDEX('كشف الحساب'!$J$4:$J$353,IFERROR(MATCH(314,'كشف الحساب'!$N$4:$N$353,0),0))),"")</f>
        <v/>
      </c>
      <c r="K318" s="70" t="str">
        <f>IFERROR(IF(IFERROR(MATCH(314,'كشف الحساب'!$N$4:$N$353,0),0)=0,"",INDEX('كشف الحساب'!$K$4:$K$353,IFERROR(MATCH(314,'كشف الحساب'!$N$4:$N$353,0),0))),"")</f>
        <v/>
      </c>
    </row>
    <row r="319" spans="1:11" ht="15" customHeight="1" x14ac:dyDescent="0.25">
      <c r="A319" s="63" t="str">
        <f>IFERROR(IF(IFERROR(MATCH(315,'كشف الحساب'!$N$4:$N$353,0),0)=0,"",INDEX('كشف الحساب'!$A$4:$A$353,IFERROR(MATCH(315,'كشف الحساب'!$N$4:$N$353,0),0))),"")</f>
        <v/>
      </c>
      <c r="B319" s="64" t="str">
        <f>IFERROR(IF(IFERROR(MATCH(315,'كشف الحساب'!$N$4:$N$353,0),0)=0,"",INDEX('كشف الحساب'!$B$4:$B$353,IFERROR(MATCH(315,'كشف الحساب'!$N$4:$N$353,0),0))),"")</f>
        <v/>
      </c>
      <c r="C319" s="65" t="str">
        <f>IFERROR(IF(IFERROR(MATCH(315,'كشف الحساب'!$N$4:$N$353,0),0)=0,"",INDEX('كشف الحساب'!$C$4:$C$353,IFERROR(MATCH(315,'كشف الحساب'!$N$4:$N$353,0),0))),"")</f>
        <v/>
      </c>
      <c r="D319" s="66" t="str">
        <f>IFERROR(IF(IFERROR(MATCH(315,'كشف الحساب'!$N$4:$N$353,0),0)=0,"",INDEX('كشف الحساب'!$D$4:$D$353,IFERROR(MATCH(315,'كشف الحساب'!$N$4:$N$353,0),0))),"")</f>
        <v/>
      </c>
      <c r="E319" s="67" t="str">
        <f>IFERROR(IF(IFERROR(MATCH(315,'كشف الحساب'!$N$4:$N$353,0),0)=0,"",INDEX('كشف الحساب'!$E$4:$E$353,IFERROR(MATCH(315,'كشف الحساب'!$N$4:$N$353,0),0))),"")</f>
        <v/>
      </c>
      <c r="F319" s="64" t="str">
        <f>IFERROR(IF(IFERROR(MATCH(315,'كشف الحساب'!$N$4:$N$353,0),0)=0,"",INDEX('كشف الحساب'!$F$4:$F$353,IFERROR(MATCH(315,'كشف الحساب'!$N$4:$N$353,0),0))),"")</f>
        <v/>
      </c>
      <c r="G319" s="64" t="str">
        <f>IFERROR(IF(IFERROR(MATCH(315,'كشف الحساب'!$N$4:$N$353,0),0)=0,"",INDEX('كشف الحساب'!$G$4:$G$353,IFERROR(MATCH(315,'كشف الحساب'!$N$4:$N$353,0),0))),"")</f>
        <v/>
      </c>
      <c r="H319" s="64" t="str">
        <f>IFERROR(IF(IFERROR(MATCH(315,'كشف الحساب'!$N$4:$N$353,0),0)=0,"",INDEX('كشف الحساب'!$H$4:$H$353,IFERROR(MATCH(315,'كشف الحساب'!$N$4:$N$353,0),0))),"")</f>
        <v/>
      </c>
      <c r="I319" s="64" t="str">
        <f>IFERROR(IF(IFERROR(MATCH(315,'كشف الحساب'!$N$4:$N$353,0),0)=0,"",INDEX('كشف الحساب'!$I$4:$I$353,IFERROR(MATCH(315,'كشف الحساب'!$N$4:$N$353,0),0))),"")</f>
        <v/>
      </c>
      <c r="J319" s="68" t="str">
        <f>IFERROR(IF(IFERROR(MATCH(315,'كشف الحساب'!$N$4:$N$353,0),0)=0,"",INDEX('كشف الحساب'!$J$4:$J$353,IFERROR(MATCH(315,'كشف الحساب'!$N$4:$N$353,0),0))),"")</f>
        <v/>
      </c>
      <c r="K319" s="64" t="str">
        <f>IFERROR(IF(IFERROR(MATCH(315,'كشف الحساب'!$N$4:$N$353,0),0)=0,"",INDEX('كشف الحساب'!$K$4:$K$353,IFERROR(MATCH(315,'كشف الحساب'!$N$4:$N$353,0),0))),"")</f>
        <v/>
      </c>
    </row>
    <row r="320" spans="1:11" ht="15" customHeight="1" x14ac:dyDescent="0.25">
      <c r="A320" s="69" t="str">
        <f>IFERROR(IF(IFERROR(MATCH(316,'كشف الحساب'!$N$4:$N$353,0),0)=0,"",INDEX('كشف الحساب'!$A$4:$A$353,IFERROR(MATCH(316,'كشف الحساب'!$N$4:$N$353,0),0))),"")</f>
        <v/>
      </c>
      <c r="B320" s="70" t="str">
        <f>IFERROR(IF(IFERROR(MATCH(316,'كشف الحساب'!$N$4:$N$353,0),0)=0,"",INDEX('كشف الحساب'!$B$4:$B$353,IFERROR(MATCH(316,'كشف الحساب'!$N$4:$N$353,0),0))),"")</f>
        <v/>
      </c>
      <c r="C320" s="71" t="str">
        <f>IFERROR(IF(IFERROR(MATCH(316,'كشف الحساب'!$N$4:$N$353,0),0)=0,"",INDEX('كشف الحساب'!$C$4:$C$353,IFERROR(MATCH(316,'كشف الحساب'!$N$4:$N$353,0),0))),"")</f>
        <v/>
      </c>
      <c r="D320" s="72" t="str">
        <f>IFERROR(IF(IFERROR(MATCH(316,'كشف الحساب'!$N$4:$N$353,0),0)=0,"",INDEX('كشف الحساب'!$D$4:$D$353,IFERROR(MATCH(316,'كشف الحساب'!$N$4:$N$353,0),0))),"")</f>
        <v/>
      </c>
      <c r="E320" s="73" t="str">
        <f>IFERROR(IF(IFERROR(MATCH(316,'كشف الحساب'!$N$4:$N$353,0),0)=0,"",INDEX('كشف الحساب'!$E$4:$E$353,IFERROR(MATCH(316,'كشف الحساب'!$N$4:$N$353,0),0))),"")</f>
        <v/>
      </c>
      <c r="F320" s="70" t="str">
        <f>IFERROR(IF(IFERROR(MATCH(316,'كشف الحساب'!$N$4:$N$353,0),0)=0,"",INDEX('كشف الحساب'!$F$4:$F$353,IFERROR(MATCH(316,'كشف الحساب'!$N$4:$N$353,0),0))),"")</f>
        <v/>
      </c>
      <c r="G320" s="70" t="str">
        <f>IFERROR(IF(IFERROR(MATCH(316,'كشف الحساب'!$N$4:$N$353,0),0)=0,"",INDEX('كشف الحساب'!$G$4:$G$353,IFERROR(MATCH(316,'كشف الحساب'!$N$4:$N$353,0),0))),"")</f>
        <v/>
      </c>
      <c r="H320" s="70" t="str">
        <f>IFERROR(IF(IFERROR(MATCH(316,'كشف الحساب'!$N$4:$N$353,0),0)=0,"",INDEX('كشف الحساب'!$H$4:$H$353,IFERROR(MATCH(316,'كشف الحساب'!$N$4:$N$353,0),0))),"")</f>
        <v/>
      </c>
      <c r="I320" s="70" t="str">
        <f>IFERROR(IF(IFERROR(MATCH(316,'كشف الحساب'!$N$4:$N$353,0),0)=0,"",INDEX('كشف الحساب'!$I$4:$I$353,IFERROR(MATCH(316,'كشف الحساب'!$N$4:$N$353,0),0))),"")</f>
        <v/>
      </c>
      <c r="J320" s="74" t="str">
        <f>IFERROR(IF(IFERROR(MATCH(316,'كشف الحساب'!$N$4:$N$353,0),0)=0,"",INDEX('كشف الحساب'!$J$4:$J$353,IFERROR(MATCH(316,'كشف الحساب'!$N$4:$N$353,0),0))),"")</f>
        <v/>
      </c>
      <c r="K320" s="70" t="str">
        <f>IFERROR(IF(IFERROR(MATCH(316,'كشف الحساب'!$N$4:$N$353,0),0)=0,"",INDEX('كشف الحساب'!$K$4:$K$353,IFERROR(MATCH(316,'كشف الحساب'!$N$4:$N$353,0),0))),"")</f>
        <v/>
      </c>
    </row>
    <row r="321" spans="1:11" ht="15" customHeight="1" x14ac:dyDescent="0.25">
      <c r="A321" s="63" t="str">
        <f>IFERROR(IF(IFERROR(MATCH(317,'كشف الحساب'!$N$4:$N$353,0),0)=0,"",INDEX('كشف الحساب'!$A$4:$A$353,IFERROR(MATCH(317,'كشف الحساب'!$N$4:$N$353,0),0))),"")</f>
        <v/>
      </c>
      <c r="B321" s="64" t="str">
        <f>IFERROR(IF(IFERROR(MATCH(317,'كشف الحساب'!$N$4:$N$353,0),0)=0,"",INDEX('كشف الحساب'!$B$4:$B$353,IFERROR(MATCH(317,'كشف الحساب'!$N$4:$N$353,0),0))),"")</f>
        <v/>
      </c>
      <c r="C321" s="65" t="str">
        <f>IFERROR(IF(IFERROR(MATCH(317,'كشف الحساب'!$N$4:$N$353,0),0)=0,"",INDEX('كشف الحساب'!$C$4:$C$353,IFERROR(MATCH(317,'كشف الحساب'!$N$4:$N$353,0),0))),"")</f>
        <v/>
      </c>
      <c r="D321" s="66" t="str">
        <f>IFERROR(IF(IFERROR(MATCH(317,'كشف الحساب'!$N$4:$N$353,0),0)=0,"",INDEX('كشف الحساب'!$D$4:$D$353,IFERROR(MATCH(317,'كشف الحساب'!$N$4:$N$353,0),0))),"")</f>
        <v/>
      </c>
      <c r="E321" s="67" t="str">
        <f>IFERROR(IF(IFERROR(MATCH(317,'كشف الحساب'!$N$4:$N$353,0),0)=0,"",INDEX('كشف الحساب'!$E$4:$E$353,IFERROR(MATCH(317,'كشف الحساب'!$N$4:$N$353,0),0))),"")</f>
        <v/>
      </c>
      <c r="F321" s="64" t="str">
        <f>IFERROR(IF(IFERROR(MATCH(317,'كشف الحساب'!$N$4:$N$353,0),0)=0,"",INDEX('كشف الحساب'!$F$4:$F$353,IFERROR(MATCH(317,'كشف الحساب'!$N$4:$N$353,0),0))),"")</f>
        <v/>
      </c>
      <c r="G321" s="64" t="str">
        <f>IFERROR(IF(IFERROR(MATCH(317,'كشف الحساب'!$N$4:$N$353,0),0)=0,"",INDEX('كشف الحساب'!$G$4:$G$353,IFERROR(MATCH(317,'كشف الحساب'!$N$4:$N$353,0),0))),"")</f>
        <v/>
      </c>
      <c r="H321" s="64" t="str">
        <f>IFERROR(IF(IFERROR(MATCH(317,'كشف الحساب'!$N$4:$N$353,0),0)=0,"",INDEX('كشف الحساب'!$H$4:$H$353,IFERROR(MATCH(317,'كشف الحساب'!$N$4:$N$353,0),0))),"")</f>
        <v/>
      </c>
      <c r="I321" s="64" t="str">
        <f>IFERROR(IF(IFERROR(MATCH(317,'كشف الحساب'!$N$4:$N$353,0),0)=0,"",INDEX('كشف الحساب'!$I$4:$I$353,IFERROR(MATCH(317,'كشف الحساب'!$N$4:$N$353,0),0))),"")</f>
        <v/>
      </c>
      <c r="J321" s="68" t="str">
        <f>IFERROR(IF(IFERROR(MATCH(317,'كشف الحساب'!$N$4:$N$353,0),0)=0,"",INDEX('كشف الحساب'!$J$4:$J$353,IFERROR(MATCH(317,'كشف الحساب'!$N$4:$N$353,0),0))),"")</f>
        <v/>
      </c>
      <c r="K321" s="64" t="str">
        <f>IFERROR(IF(IFERROR(MATCH(317,'كشف الحساب'!$N$4:$N$353,0),0)=0,"",INDEX('كشف الحساب'!$K$4:$K$353,IFERROR(MATCH(317,'كشف الحساب'!$N$4:$N$353,0),0))),"")</f>
        <v/>
      </c>
    </row>
    <row r="322" spans="1:11" ht="15" customHeight="1" x14ac:dyDescent="0.25">
      <c r="A322" s="69" t="str">
        <f>IFERROR(IF(IFERROR(MATCH(318,'كشف الحساب'!$N$4:$N$353,0),0)=0,"",INDEX('كشف الحساب'!$A$4:$A$353,IFERROR(MATCH(318,'كشف الحساب'!$N$4:$N$353,0),0))),"")</f>
        <v/>
      </c>
      <c r="B322" s="70" t="str">
        <f>IFERROR(IF(IFERROR(MATCH(318,'كشف الحساب'!$N$4:$N$353,0),0)=0,"",INDEX('كشف الحساب'!$B$4:$B$353,IFERROR(MATCH(318,'كشف الحساب'!$N$4:$N$353,0),0))),"")</f>
        <v/>
      </c>
      <c r="C322" s="71" t="str">
        <f>IFERROR(IF(IFERROR(MATCH(318,'كشف الحساب'!$N$4:$N$353,0),0)=0,"",INDEX('كشف الحساب'!$C$4:$C$353,IFERROR(MATCH(318,'كشف الحساب'!$N$4:$N$353,0),0))),"")</f>
        <v/>
      </c>
      <c r="D322" s="72" t="str">
        <f>IFERROR(IF(IFERROR(MATCH(318,'كشف الحساب'!$N$4:$N$353,0),0)=0,"",INDEX('كشف الحساب'!$D$4:$D$353,IFERROR(MATCH(318,'كشف الحساب'!$N$4:$N$353,0),0))),"")</f>
        <v/>
      </c>
      <c r="E322" s="73" t="str">
        <f>IFERROR(IF(IFERROR(MATCH(318,'كشف الحساب'!$N$4:$N$353,0),0)=0,"",INDEX('كشف الحساب'!$E$4:$E$353,IFERROR(MATCH(318,'كشف الحساب'!$N$4:$N$353,0),0))),"")</f>
        <v/>
      </c>
      <c r="F322" s="70" t="str">
        <f>IFERROR(IF(IFERROR(MATCH(318,'كشف الحساب'!$N$4:$N$353,0),0)=0,"",INDEX('كشف الحساب'!$F$4:$F$353,IFERROR(MATCH(318,'كشف الحساب'!$N$4:$N$353,0),0))),"")</f>
        <v/>
      </c>
      <c r="G322" s="70" t="str">
        <f>IFERROR(IF(IFERROR(MATCH(318,'كشف الحساب'!$N$4:$N$353,0),0)=0,"",INDEX('كشف الحساب'!$G$4:$G$353,IFERROR(MATCH(318,'كشف الحساب'!$N$4:$N$353,0),0))),"")</f>
        <v/>
      </c>
      <c r="H322" s="70" t="str">
        <f>IFERROR(IF(IFERROR(MATCH(318,'كشف الحساب'!$N$4:$N$353,0),0)=0,"",INDEX('كشف الحساب'!$H$4:$H$353,IFERROR(MATCH(318,'كشف الحساب'!$N$4:$N$353,0),0))),"")</f>
        <v/>
      </c>
      <c r="I322" s="70" t="str">
        <f>IFERROR(IF(IFERROR(MATCH(318,'كشف الحساب'!$N$4:$N$353,0),0)=0,"",INDEX('كشف الحساب'!$I$4:$I$353,IFERROR(MATCH(318,'كشف الحساب'!$N$4:$N$353,0),0))),"")</f>
        <v/>
      </c>
      <c r="J322" s="74" t="str">
        <f>IFERROR(IF(IFERROR(MATCH(318,'كشف الحساب'!$N$4:$N$353,0),0)=0,"",INDEX('كشف الحساب'!$J$4:$J$353,IFERROR(MATCH(318,'كشف الحساب'!$N$4:$N$353,0),0))),"")</f>
        <v/>
      </c>
      <c r="K322" s="70" t="str">
        <f>IFERROR(IF(IFERROR(MATCH(318,'كشف الحساب'!$N$4:$N$353,0),0)=0,"",INDEX('كشف الحساب'!$K$4:$K$353,IFERROR(MATCH(318,'كشف الحساب'!$N$4:$N$353,0),0))),"")</f>
        <v/>
      </c>
    </row>
    <row r="323" spans="1:11" ht="15" customHeight="1" x14ac:dyDescent="0.25">
      <c r="A323" s="63" t="str">
        <f>IFERROR(IF(IFERROR(MATCH(319,'كشف الحساب'!$N$4:$N$353,0),0)=0,"",INDEX('كشف الحساب'!$A$4:$A$353,IFERROR(MATCH(319,'كشف الحساب'!$N$4:$N$353,0),0))),"")</f>
        <v/>
      </c>
      <c r="B323" s="64" t="str">
        <f>IFERROR(IF(IFERROR(MATCH(319,'كشف الحساب'!$N$4:$N$353,0),0)=0,"",INDEX('كشف الحساب'!$B$4:$B$353,IFERROR(MATCH(319,'كشف الحساب'!$N$4:$N$353,0),0))),"")</f>
        <v/>
      </c>
      <c r="C323" s="65" t="str">
        <f>IFERROR(IF(IFERROR(MATCH(319,'كشف الحساب'!$N$4:$N$353,0),0)=0,"",INDEX('كشف الحساب'!$C$4:$C$353,IFERROR(MATCH(319,'كشف الحساب'!$N$4:$N$353,0),0))),"")</f>
        <v/>
      </c>
      <c r="D323" s="66" t="str">
        <f>IFERROR(IF(IFERROR(MATCH(319,'كشف الحساب'!$N$4:$N$353,0),0)=0,"",INDEX('كشف الحساب'!$D$4:$D$353,IFERROR(MATCH(319,'كشف الحساب'!$N$4:$N$353,0),0))),"")</f>
        <v/>
      </c>
      <c r="E323" s="67" t="str">
        <f>IFERROR(IF(IFERROR(MATCH(319,'كشف الحساب'!$N$4:$N$353,0),0)=0,"",INDEX('كشف الحساب'!$E$4:$E$353,IFERROR(MATCH(319,'كشف الحساب'!$N$4:$N$353,0),0))),"")</f>
        <v/>
      </c>
      <c r="F323" s="64" t="str">
        <f>IFERROR(IF(IFERROR(MATCH(319,'كشف الحساب'!$N$4:$N$353,0),0)=0,"",INDEX('كشف الحساب'!$F$4:$F$353,IFERROR(MATCH(319,'كشف الحساب'!$N$4:$N$353,0),0))),"")</f>
        <v/>
      </c>
      <c r="G323" s="64" t="str">
        <f>IFERROR(IF(IFERROR(MATCH(319,'كشف الحساب'!$N$4:$N$353,0),0)=0,"",INDEX('كشف الحساب'!$G$4:$G$353,IFERROR(MATCH(319,'كشف الحساب'!$N$4:$N$353,0),0))),"")</f>
        <v/>
      </c>
      <c r="H323" s="64" t="str">
        <f>IFERROR(IF(IFERROR(MATCH(319,'كشف الحساب'!$N$4:$N$353,0),0)=0,"",INDEX('كشف الحساب'!$H$4:$H$353,IFERROR(MATCH(319,'كشف الحساب'!$N$4:$N$353,0),0))),"")</f>
        <v/>
      </c>
      <c r="I323" s="64" t="str">
        <f>IFERROR(IF(IFERROR(MATCH(319,'كشف الحساب'!$N$4:$N$353,0),0)=0,"",INDEX('كشف الحساب'!$I$4:$I$353,IFERROR(MATCH(319,'كشف الحساب'!$N$4:$N$353,0),0))),"")</f>
        <v/>
      </c>
      <c r="J323" s="68" t="str">
        <f>IFERROR(IF(IFERROR(MATCH(319,'كشف الحساب'!$N$4:$N$353,0),0)=0,"",INDEX('كشف الحساب'!$J$4:$J$353,IFERROR(MATCH(319,'كشف الحساب'!$N$4:$N$353,0),0))),"")</f>
        <v/>
      </c>
      <c r="K323" s="64" t="str">
        <f>IFERROR(IF(IFERROR(MATCH(319,'كشف الحساب'!$N$4:$N$353,0),0)=0,"",INDEX('كشف الحساب'!$K$4:$K$353,IFERROR(MATCH(319,'كشف الحساب'!$N$4:$N$353,0),0))),"")</f>
        <v/>
      </c>
    </row>
    <row r="324" spans="1:11" ht="15" customHeight="1" x14ac:dyDescent="0.25">
      <c r="A324" s="69" t="str">
        <f>IFERROR(IF(IFERROR(MATCH(320,'كشف الحساب'!$N$4:$N$353,0),0)=0,"",INDEX('كشف الحساب'!$A$4:$A$353,IFERROR(MATCH(320,'كشف الحساب'!$N$4:$N$353,0),0))),"")</f>
        <v/>
      </c>
      <c r="B324" s="70" t="str">
        <f>IFERROR(IF(IFERROR(MATCH(320,'كشف الحساب'!$N$4:$N$353,0),0)=0,"",INDEX('كشف الحساب'!$B$4:$B$353,IFERROR(MATCH(320,'كشف الحساب'!$N$4:$N$353,0),0))),"")</f>
        <v/>
      </c>
      <c r="C324" s="71" t="str">
        <f>IFERROR(IF(IFERROR(MATCH(320,'كشف الحساب'!$N$4:$N$353,0),0)=0,"",INDEX('كشف الحساب'!$C$4:$C$353,IFERROR(MATCH(320,'كشف الحساب'!$N$4:$N$353,0),0))),"")</f>
        <v/>
      </c>
      <c r="D324" s="72" t="str">
        <f>IFERROR(IF(IFERROR(MATCH(320,'كشف الحساب'!$N$4:$N$353,0),0)=0,"",INDEX('كشف الحساب'!$D$4:$D$353,IFERROR(MATCH(320,'كشف الحساب'!$N$4:$N$353,0),0))),"")</f>
        <v/>
      </c>
      <c r="E324" s="73" t="str">
        <f>IFERROR(IF(IFERROR(MATCH(320,'كشف الحساب'!$N$4:$N$353,0),0)=0,"",INDEX('كشف الحساب'!$E$4:$E$353,IFERROR(MATCH(320,'كشف الحساب'!$N$4:$N$353,0),0))),"")</f>
        <v/>
      </c>
      <c r="F324" s="70" t="str">
        <f>IFERROR(IF(IFERROR(MATCH(320,'كشف الحساب'!$N$4:$N$353,0),0)=0,"",INDEX('كشف الحساب'!$F$4:$F$353,IFERROR(MATCH(320,'كشف الحساب'!$N$4:$N$353,0),0))),"")</f>
        <v/>
      </c>
      <c r="G324" s="70" t="str">
        <f>IFERROR(IF(IFERROR(MATCH(320,'كشف الحساب'!$N$4:$N$353,0),0)=0,"",INDEX('كشف الحساب'!$G$4:$G$353,IFERROR(MATCH(320,'كشف الحساب'!$N$4:$N$353,0),0))),"")</f>
        <v/>
      </c>
      <c r="H324" s="70" t="str">
        <f>IFERROR(IF(IFERROR(MATCH(320,'كشف الحساب'!$N$4:$N$353,0),0)=0,"",INDEX('كشف الحساب'!$H$4:$H$353,IFERROR(MATCH(320,'كشف الحساب'!$N$4:$N$353,0),0))),"")</f>
        <v/>
      </c>
      <c r="I324" s="70" t="str">
        <f>IFERROR(IF(IFERROR(MATCH(320,'كشف الحساب'!$N$4:$N$353,0),0)=0,"",INDEX('كشف الحساب'!$I$4:$I$353,IFERROR(MATCH(320,'كشف الحساب'!$N$4:$N$353,0),0))),"")</f>
        <v/>
      </c>
      <c r="J324" s="74" t="str">
        <f>IFERROR(IF(IFERROR(MATCH(320,'كشف الحساب'!$N$4:$N$353,0),0)=0,"",INDEX('كشف الحساب'!$J$4:$J$353,IFERROR(MATCH(320,'كشف الحساب'!$N$4:$N$353,0),0))),"")</f>
        <v/>
      </c>
      <c r="K324" s="70" t="str">
        <f>IFERROR(IF(IFERROR(MATCH(320,'كشف الحساب'!$N$4:$N$353,0),0)=0,"",INDEX('كشف الحساب'!$K$4:$K$353,IFERROR(MATCH(320,'كشف الحساب'!$N$4:$N$353,0),0))),"")</f>
        <v/>
      </c>
    </row>
    <row r="325" spans="1:11" ht="15" customHeight="1" x14ac:dyDescent="0.25">
      <c r="A325" s="63" t="str">
        <f>IFERROR(IF(IFERROR(MATCH(321,'كشف الحساب'!$N$4:$N$353,0),0)=0,"",INDEX('كشف الحساب'!$A$4:$A$353,IFERROR(MATCH(321,'كشف الحساب'!$N$4:$N$353,0),0))),"")</f>
        <v/>
      </c>
      <c r="B325" s="64" t="str">
        <f>IFERROR(IF(IFERROR(MATCH(321,'كشف الحساب'!$N$4:$N$353,0),0)=0,"",INDEX('كشف الحساب'!$B$4:$B$353,IFERROR(MATCH(321,'كشف الحساب'!$N$4:$N$353,0),0))),"")</f>
        <v/>
      </c>
      <c r="C325" s="65" t="str">
        <f>IFERROR(IF(IFERROR(MATCH(321,'كشف الحساب'!$N$4:$N$353,0),0)=0,"",INDEX('كشف الحساب'!$C$4:$C$353,IFERROR(MATCH(321,'كشف الحساب'!$N$4:$N$353,0),0))),"")</f>
        <v/>
      </c>
      <c r="D325" s="66" t="str">
        <f>IFERROR(IF(IFERROR(MATCH(321,'كشف الحساب'!$N$4:$N$353,0),0)=0,"",INDEX('كشف الحساب'!$D$4:$D$353,IFERROR(MATCH(321,'كشف الحساب'!$N$4:$N$353,0),0))),"")</f>
        <v/>
      </c>
      <c r="E325" s="67" t="str">
        <f>IFERROR(IF(IFERROR(MATCH(321,'كشف الحساب'!$N$4:$N$353,0),0)=0,"",INDEX('كشف الحساب'!$E$4:$E$353,IFERROR(MATCH(321,'كشف الحساب'!$N$4:$N$353,0),0))),"")</f>
        <v/>
      </c>
      <c r="F325" s="64" t="str">
        <f>IFERROR(IF(IFERROR(MATCH(321,'كشف الحساب'!$N$4:$N$353,0),0)=0,"",INDEX('كشف الحساب'!$F$4:$F$353,IFERROR(MATCH(321,'كشف الحساب'!$N$4:$N$353,0),0))),"")</f>
        <v/>
      </c>
      <c r="G325" s="64" t="str">
        <f>IFERROR(IF(IFERROR(MATCH(321,'كشف الحساب'!$N$4:$N$353,0),0)=0,"",INDEX('كشف الحساب'!$G$4:$G$353,IFERROR(MATCH(321,'كشف الحساب'!$N$4:$N$353,0),0))),"")</f>
        <v/>
      </c>
      <c r="H325" s="64" t="str">
        <f>IFERROR(IF(IFERROR(MATCH(321,'كشف الحساب'!$N$4:$N$353,0),0)=0,"",INDEX('كشف الحساب'!$H$4:$H$353,IFERROR(MATCH(321,'كشف الحساب'!$N$4:$N$353,0),0))),"")</f>
        <v/>
      </c>
      <c r="I325" s="64" t="str">
        <f>IFERROR(IF(IFERROR(MATCH(321,'كشف الحساب'!$N$4:$N$353,0),0)=0,"",INDEX('كشف الحساب'!$I$4:$I$353,IFERROR(MATCH(321,'كشف الحساب'!$N$4:$N$353,0),0))),"")</f>
        <v/>
      </c>
      <c r="J325" s="68" t="str">
        <f>IFERROR(IF(IFERROR(MATCH(321,'كشف الحساب'!$N$4:$N$353,0),0)=0,"",INDEX('كشف الحساب'!$J$4:$J$353,IFERROR(MATCH(321,'كشف الحساب'!$N$4:$N$353,0),0))),"")</f>
        <v/>
      </c>
      <c r="K325" s="64" t="str">
        <f>IFERROR(IF(IFERROR(MATCH(321,'كشف الحساب'!$N$4:$N$353,0),0)=0,"",INDEX('كشف الحساب'!$K$4:$K$353,IFERROR(MATCH(321,'كشف الحساب'!$N$4:$N$353,0),0))),"")</f>
        <v/>
      </c>
    </row>
    <row r="326" spans="1:11" ht="15" customHeight="1" x14ac:dyDescent="0.25">
      <c r="A326" s="69" t="str">
        <f>IFERROR(IF(IFERROR(MATCH(322,'كشف الحساب'!$N$4:$N$353,0),0)=0,"",INDEX('كشف الحساب'!$A$4:$A$353,IFERROR(MATCH(322,'كشف الحساب'!$N$4:$N$353,0),0))),"")</f>
        <v/>
      </c>
      <c r="B326" s="70" t="str">
        <f>IFERROR(IF(IFERROR(MATCH(322,'كشف الحساب'!$N$4:$N$353,0),0)=0,"",INDEX('كشف الحساب'!$B$4:$B$353,IFERROR(MATCH(322,'كشف الحساب'!$N$4:$N$353,0),0))),"")</f>
        <v/>
      </c>
      <c r="C326" s="71" t="str">
        <f>IFERROR(IF(IFERROR(MATCH(322,'كشف الحساب'!$N$4:$N$353,0),0)=0,"",INDEX('كشف الحساب'!$C$4:$C$353,IFERROR(MATCH(322,'كشف الحساب'!$N$4:$N$353,0),0))),"")</f>
        <v/>
      </c>
      <c r="D326" s="72" t="str">
        <f>IFERROR(IF(IFERROR(MATCH(322,'كشف الحساب'!$N$4:$N$353,0),0)=0,"",INDEX('كشف الحساب'!$D$4:$D$353,IFERROR(MATCH(322,'كشف الحساب'!$N$4:$N$353,0),0))),"")</f>
        <v/>
      </c>
      <c r="E326" s="73" t="str">
        <f>IFERROR(IF(IFERROR(MATCH(322,'كشف الحساب'!$N$4:$N$353,0),0)=0,"",INDEX('كشف الحساب'!$E$4:$E$353,IFERROR(MATCH(322,'كشف الحساب'!$N$4:$N$353,0),0))),"")</f>
        <v/>
      </c>
      <c r="F326" s="70" t="str">
        <f>IFERROR(IF(IFERROR(MATCH(322,'كشف الحساب'!$N$4:$N$353,0),0)=0,"",INDEX('كشف الحساب'!$F$4:$F$353,IFERROR(MATCH(322,'كشف الحساب'!$N$4:$N$353,0),0))),"")</f>
        <v/>
      </c>
      <c r="G326" s="70" t="str">
        <f>IFERROR(IF(IFERROR(MATCH(322,'كشف الحساب'!$N$4:$N$353,0),0)=0,"",INDEX('كشف الحساب'!$G$4:$G$353,IFERROR(MATCH(322,'كشف الحساب'!$N$4:$N$353,0),0))),"")</f>
        <v/>
      </c>
      <c r="H326" s="70" t="str">
        <f>IFERROR(IF(IFERROR(MATCH(322,'كشف الحساب'!$N$4:$N$353,0),0)=0,"",INDEX('كشف الحساب'!$H$4:$H$353,IFERROR(MATCH(322,'كشف الحساب'!$N$4:$N$353,0),0))),"")</f>
        <v/>
      </c>
      <c r="I326" s="70" t="str">
        <f>IFERROR(IF(IFERROR(MATCH(322,'كشف الحساب'!$N$4:$N$353,0),0)=0,"",INDEX('كشف الحساب'!$I$4:$I$353,IFERROR(MATCH(322,'كشف الحساب'!$N$4:$N$353,0),0))),"")</f>
        <v/>
      </c>
      <c r="J326" s="74" t="str">
        <f>IFERROR(IF(IFERROR(MATCH(322,'كشف الحساب'!$N$4:$N$353,0),0)=0,"",INDEX('كشف الحساب'!$J$4:$J$353,IFERROR(MATCH(322,'كشف الحساب'!$N$4:$N$353,0),0))),"")</f>
        <v/>
      </c>
      <c r="K326" s="70" t="str">
        <f>IFERROR(IF(IFERROR(MATCH(322,'كشف الحساب'!$N$4:$N$353,0),0)=0,"",INDEX('كشف الحساب'!$K$4:$K$353,IFERROR(MATCH(322,'كشف الحساب'!$N$4:$N$353,0),0))),"")</f>
        <v/>
      </c>
    </row>
    <row r="327" spans="1:11" ht="15" customHeight="1" x14ac:dyDescent="0.25">
      <c r="A327" s="63" t="str">
        <f>IFERROR(IF(IFERROR(MATCH(323,'كشف الحساب'!$N$4:$N$353,0),0)=0,"",INDEX('كشف الحساب'!$A$4:$A$353,IFERROR(MATCH(323,'كشف الحساب'!$N$4:$N$353,0),0))),"")</f>
        <v/>
      </c>
      <c r="B327" s="64" t="str">
        <f>IFERROR(IF(IFERROR(MATCH(323,'كشف الحساب'!$N$4:$N$353,0),0)=0,"",INDEX('كشف الحساب'!$B$4:$B$353,IFERROR(MATCH(323,'كشف الحساب'!$N$4:$N$353,0),0))),"")</f>
        <v/>
      </c>
      <c r="C327" s="65" t="str">
        <f>IFERROR(IF(IFERROR(MATCH(323,'كشف الحساب'!$N$4:$N$353,0),0)=0,"",INDEX('كشف الحساب'!$C$4:$C$353,IFERROR(MATCH(323,'كشف الحساب'!$N$4:$N$353,0),0))),"")</f>
        <v/>
      </c>
      <c r="D327" s="66" t="str">
        <f>IFERROR(IF(IFERROR(MATCH(323,'كشف الحساب'!$N$4:$N$353,0),0)=0,"",INDEX('كشف الحساب'!$D$4:$D$353,IFERROR(MATCH(323,'كشف الحساب'!$N$4:$N$353,0),0))),"")</f>
        <v/>
      </c>
      <c r="E327" s="67" t="str">
        <f>IFERROR(IF(IFERROR(MATCH(323,'كشف الحساب'!$N$4:$N$353,0),0)=0,"",INDEX('كشف الحساب'!$E$4:$E$353,IFERROR(MATCH(323,'كشف الحساب'!$N$4:$N$353,0),0))),"")</f>
        <v/>
      </c>
      <c r="F327" s="64" t="str">
        <f>IFERROR(IF(IFERROR(MATCH(323,'كشف الحساب'!$N$4:$N$353,0),0)=0,"",INDEX('كشف الحساب'!$F$4:$F$353,IFERROR(MATCH(323,'كشف الحساب'!$N$4:$N$353,0),0))),"")</f>
        <v/>
      </c>
      <c r="G327" s="64" t="str">
        <f>IFERROR(IF(IFERROR(MATCH(323,'كشف الحساب'!$N$4:$N$353,0),0)=0,"",INDEX('كشف الحساب'!$G$4:$G$353,IFERROR(MATCH(323,'كشف الحساب'!$N$4:$N$353,0),0))),"")</f>
        <v/>
      </c>
      <c r="H327" s="64" t="str">
        <f>IFERROR(IF(IFERROR(MATCH(323,'كشف الحساب'!$N$4:$N$353,0),0)=0,"",INDEX('كشف الحساب'!$H$4:$H$353,IFERROR(MATCH(323,'كشف الحساب'!$N$4:$N$353,0),0))),"")</f>
        <v/>
      </c>
      <c r="I327" s="64" t="str">
        <f>IFERROR(IF(IFERROR(MATCH(323,'كشف الحساب'!$N$4:$N$353,0),0)=0,"",INDEX('كشف الحساب'!$I$4:$I$353,IFERROR(MATCH(323,'كشف الحساب'!$N$4:$N$353,0),0))),"")</f>
        <v/>
      </c>
      <c r="J327" s="68" t="str">
        <f>IFERROR(IF(IFERROR(MATCH(323,'كشف الحساب'!$N$4:$N$353,0),0)=0,"",INDEX('كشف الحساب'!$J$4:$J$353,IFERROR(MATCH(323,'كشف الحساب'!$N$4:$N$353,0),0))),"")</f>
        <v/>
      </c>
      <c r="K327" s="64" t="str">
        <f>IFERROR(IF(IFERROR(MATCH(323,'كشف الحساب'!$N$4:$N$353,0),0)=0,"",INDEX('كشف الحساب'!$K$4:$K$353,IFERROR(MATCH(323,'كشف الحساب'!$N$4:$N$353,0),0))),"")</f>
        <v/>
      </c>
    </row>
    <row r="328" spans="1:11" ht="15" customHeight="1" x14ac:dyDescent="0.25">
      <c r="A328" s="69" t="str">
        <f>IFERROR(IF(IFERROR(MATCH(324,'كشف الحساب'!$N$4:$N$353,0),0)=0,"",INDEX('كشف الحساب'!$A$4:$A$353,IFERROR(MATCH(324,'كشف الحساب'!$N$4:$N$353,0),0))),"")</f>
        <v/>
      </c>
      <c r="B328" s="70" t="str">
        <f>IFERROR(IF(IFERROR(MATCH(324,'كشف الحساب'!$N$4:$N$353,0),0)=0,"",INDEX('كشف الحساب'!$B$4:$B$353,IFERROR(MATCH(324,'كشف الحساب'!$N$4:$N$353,0),0))),"")</f>
        <v/>
      </c>
      <c r="C328" s="71" t="str">
        <f>IFERROR(IF(IFERROR(MATCH(324,'كشف الحساب'!$N$4:$N$353,0),0)=0,"",INDEX('كشف الحساب'!$C$4:$C$353,IFERROR(MATCH(324,'كشف الحساب'!$N$4:$N$353,0),0))),"")</f>
        <v/>
      </c>
      <c r="D328" s="72" t="str">
        <f>IFERROR(IF(IFERROR(MATCH(324,'كشف الحساب'!$N$4:$N$353,0),0)=0,"",INDEX('كشف الحساب'!$D$4:$D$353,IFERROR(MATCH(324,'كشف الحساب'!$N$4:$N$353,0),0))),"")</f>
        <v/>
      </c>
      <c r="E328" s="73" t="str">
        <f>IFERROR(IF(IFERROR(MATCH(324,'كشف الحساب'!$N$4:$N$353,0),0)=0,"",INDEX('كشف الحساب'!$E$4:$E$353,IFERROR(MATCH(324,'كشف الحساب'!$N$4:$N$353,0),0))),"")</f>
        <v/>
      </c>
      <c r="F328" s="70" t="str">
        <f>IFERROR(IF(IFERROR(MATCH(324,'كشف الحساب'!$N$4:$N$353,0),0)=0,"",INDEX('كشف الحساب'!$F$4:$F$353,IFERROR(MATCH(324,'كشف الحساب'!$N$4:$N$353,0),0))),"")</f>
        <v/>
      </c>
      <c r="G328" s="70" t="str">
        <f>IFERROR(IF(IFERROR(MATCH(324,'كشف الحساب'!$N$4:$N$353,0),0)=0,"",INDEX('كشف الحساب'!$G$4:$G$353,IFERROR(MATCH(324,'كشف الحساب'!$N$4:$N$353,0),0))),"")</f>
        <v/>
      </c>
      <c r="H328" s="70" t="str">
        <f>IFERROR(IF(IFERROR(MATCH(324,'كشف الحساب'!$N$4:$N$353,0),0)=0,"",INDEX('كشف الحساب'!$H$4:$H$353,IFERROR(MATCH(324,'كشف الحساب'!$N$4:$N$353,0),0))),"")</f>
        <v/>
      </c>
      <c r="I328" s="70" t="str">
        <f>IFERROR(IF(IFERROR(MATCH(324,'كشف الحساب'!$N$4:$N$353,0),0)=0,"",INDEX('كشف الحساب'!$I$4:$I$353,IFERROR(MATCH(324,'كشف الحساب'!$N$4:$N$353,0),0))),"")</f>
        <v/>
      </c>
      <c r="J328" s="74" t="str">
        <f>IFERROR(IF(IFERROR(MATCH(324,'كشف الحساب'!$N$4:$N$353,0),0)=0,"",INDEX('كشف الحساب'!$J$4:$J$353,IFERROR(MATCH(324,'كشف الحساب'!$N$4:$N$353,0),0))),"")</f>
        <v/>
      </c>
      <c r="K328" s="70" t="str">
        <f>IFERROR(IF(IFERROR(MATCH(324,'كشف الحساب'!$N$4:$N$353,0),0)=0,"",INDEX('كشف الحساب'!$K$4:$K$353,IFERROR(MATCH(324,'كشف الحساب'!$N$4:$N$353,0),0))),"")</f>
        <v/>
      </c>
    </row>
    <row r="329" spans="1:11" ht="15" customHeight="1" x14ac:dyDescent="0.25">
      <c r="A329" s="63" t="str">
        <f>IFERROR(IF(IFERROR(MATCH(325,'كشف الحساب'!$N$4:$N$353,0),0)=0,"",INDEX('كشف الحساب'!$A$4:$A$353,IFERROR(MATCH(325,'كشف الحساب'!$N$4:$N$353,0),0))),"")</f>
        <v/>
      </c>
      <c r="B329" s="64" t="str">
        <f>IFERROR(IF(IFERROR(MATCH(325,'كشف الحساب'!$N$4:$N$353,0),0)=0,"",INDEX('كشف الحساب'!$B$4:$B$353,IFERROR(MATCH(325,'كشف الحساب'!$N$4:$N$353,0),0))),"")</f>
        <v/>
      </c>
      <c r="C329" s="65" t="str">
        <f>IFERROR(IF(IFERROR(MATCH(325,'كشف الحساب'!$N$4:$N$353,0),0)=0,"",INDEX('كشف الحساب'!$C$4:$C$353,IFERROR(MATCH(325,'كشف الحساب'!$N$4:$N$353,0),0))),"")</f>
        <v/>
      </c>
      <c r="D329" s="66" t="str">
        <f>IFERROR(IF(IFERROR(MATCH(325,'كشف الحساب'!$N$4:$N$353,0),0)=0,"",INDEX('كشف الحساب'!$D$4:$D$353,IFERROR(MATCH(325,'كشف الحساب'!$N$4:$N$353,0),0))),"")</f>
        <v/>
      </c>
      <c r="E329" s="67" t="str">
        <f>IFERROR(IF(IFERROR(MATCH(325,'كشف الحساب'!$N$4:$N$353,0),0)=0,"",INDEX('كشف الحساب'!$E$4:$E$353,IFERROR(MATCH(325,'كشف الحساب'!$N$4:$N$353,0),0))),"")</f>
        <v/>
      </c>
      <c r="F329" s="64" t="str">
        <f>IFERROR(IF(IFERROR(MATCH(325,'كشف الحساب'!$N$4:$N$353,0),0)=0,"",INDEX('كشف الحساب'!$F$4:$F$353,IFERROR(MATCH(325,'كشف الحساب'!$N$4:$N$353,0),0))),"")</f>
        <v/>
      </c>
      <c r="G329" s="64" t="str">
        <f>IFERROR(IF(IFERROR(MATCH(325,'كشف الحساب'!$N$4:$N$353,0),0)=0,"",INDEX('كشف الحساب'!$G$4:$G$353,IFERROR(MATCH(325,'كشف الحساب'!$N$4:$N$353,0),0))),"")</f>
        <v/>
      </c>
      <c r="H329" s="64" t="str">
        <f>IFERROR(IF(IFERROR(MATCH(325,'كشف الحساب'!$N$4:$N$353,0),0)=0,"",INDEX('كشف الحساب'!$H$4:$H$353,IFERROR(MATCH(325,'كشف الحساب'!$N$4:$N$353,0),0))),"")</f>
        <v/>
      </c>
      <c r="I329" s="64" t="str">
        <f>IFERROR(IF(IFERROR(MATCH(325,'كشف الحساب'!$N$4:$N$353,0),0)=0,"",INDEX('كشف الحساب'!$I$4:$I$353,IFERROR(MATCH(325,'كشف الحساب'!$N$4:$N$353,0),0))),"")</f>
        <v/>
      </c>
      <c r="J329" s="68" t="str">
        <f>IFERROR(IF(IFERROR(MATCH(325,'كشف الحساب'!$N$4:$N$353,0),0)=0,"",INDEX('كشف الحساب'!$J$4:$J$353,IFERROR(MATCH(325,'كشف الحساب'!$N$4:$N$353,0),0))),"")</f>
        <v/>
      </c>
      <c r="K329" s="64" t="str">
        <f>IFERROR(IF(IFERROR(MATCH(325,'كشف الحساب'!$N$4:$N$353,0),0)=0,"",INDEX('كشف الحساب'!$K$4:$K$353,IFERROR(MATCH(325,'كشف الحساب'!$N$4:$N$353,0),0))),"")</f>
        <v/>
      </c>
    </row>
    <row r="330" spans="1:11" ht="15" customHeight="1" x14ac:dyDescent="0.25">
      <c r="A330" s="69" t="str">
        <f>IFERROR(IF(IFERROR(MATCH(326,'كشف الحساب'!$N$4:$N$353,0),0)=0,"",INDEX('كشف الحساب'!$A$4:$A$353,IFERROR(MATCH(326,'كشف الحساب'!$N$4:$N$353,0),0))),"")</f>
        <v/>
      </c>
      <c r="B330" s="70" t="str">
        <f>IFERROR(IF(IFERROR(MATCH(326,'كشف الحساب'!$N$4:$N$353,0),0)=0,"",INDEX('كشف الحساب'!$B$4:$B$353,IFERROR(MATCH(326,'كشف الحساب'!$N$4:$N$353,0),0))),"")</f>
        <v/>
      </c>
      <c r="C330" s="71" t="str">
        <f>IFERROR(IF(IFERROR(MATCH(326,'كشف الحساب'!$N$4:$N$353,0),0)=0,"",INDEX('كشف الحساب'!$C$4:$C$353,IFERROR(MATCH(326,'كشف الحساب'!$N$4:$N$353,0),0))),"")</f>
        <v/>
      </c>
      <c r="D330" s="72" t="str">
        <f>IFERROR(IF(IFERROR(MATCH(326,'كشف الحساب'!$N$4:$N$353,0),0)=0,"",INDEX('كشف الحساب'!$D$4:$D$353,IFERROR(MATCH(326,'كشف الحساب'!$N$4:$N$353,0),0))),"")</f>
        <v/>
      </c>
      <c r="E330" s="73" t="str">
        <f>IFERROR(IF(IFERROR(MATCH(326,'كشف الحساب'!$N$4:$N$353,0),0)=0,"",INDEX('كشف الحساب'!$E$4:$E$353,IFERROR(MATCH(326,'كشف الحساب'!$N$4:$N$353,0),0))),"")</f>
        <v/>
      </c>
      <c r="F330" s="70" t="str">
        <f>IFERROR(IF(IFERROR(MATCH(326,'كشف الحساب'!$N$4:$N$353,0),0)=0,"",INDEX('كشف الحساب'!$F$4:$F$353,IFERROR(MATCH(326,'كشف الحساب'!$N$4:$N$353,0),0))),"")</f>
        <v/>
      </c>
      <c r="G330" s="70" t="str">
        <f>IFERROR(IF(IFERROR(MATCH(326,'كشف الحساب'!$N$4:$N$353,0),0)=0,"",INDEX('كشف الحساب'!$G$4:$G$353,IFERROR(MATCH(326,'كشف الحساب'!$N$4:$N$353,0),0))),"")</f>
        <v/>
      </c>
      <c r="H330" s="70" t="str">
        <f>IFERROR(IF(IFERROR(MATCH(326,'كشف الحساب'!$N$4:$N$353,0),0)=0,"",INDEX('كشف الحساب'!$H$4:$H$353,IFERROR(MATCH(326,'كشف الحساب'!$N$4:$N$353,0),0))),"")</f>
        <v/>
      </c>
      <c r="I330" s="70" t="str">
        <f>IFERROR(IF(IFERROR(MATCH(326,'كشف الحساب'!$N$4:$N$353,0),0)=0,"",INDEX('كشف الحساب'!$I$4:$I$353,IFERROR(MATCH(326,'كشف الحساب'!$N$4:$N$353,0),0))),"")</f>
        <v/>
      </c>
      <c r="J330" s="74" t="str">
        <f>IFERROR(IF(IFERROR(MATCH(326,'كشف الحساب'!$N$4:$N$353,0),0)=0,"",INDEX('كشف الحساب'!$J$4:$J$353,IFERROR(MATCH(326,'كشف الحساب'!$N$4:$N$353,0),0))),"")</f>
        <v/>
      </c>
      <c r="K330" s="70" t="str">
        <f>IFERROR(IF(IFERROR(MATCH(326,'كشف الحساب'!$N$4:$N$353,0),0)=0,"",INDEX('كشف الحساب'!$K$4:$K$353,IFERROR(MATCH(326,'كشف الحساب'!$N$4:$N$353,0),0))),"")</f>
        <v/>
      </c>
    </row>
    <row r="331" spans="1:11" ht="15" customHeight="1" x14ac:dyDescent="0.25">
      <c r="A331" s="63" t="str">
        <f>IFERROR(IF(IFERROR(MATCH(327,'كشف الحساب'!$N$4:$N$353,0),0)=0,"",INDEX('كشف الحساب'!$A$4:$A$353,IFERROR(MATCH(327,'كشف الحساب'!$N$4:$N$353,0),0))),"")</f>
        <v/>
      </c>
      <c r="B331" s="64" t="str">
        <f>IFERROR(IF(IFERROR(MATCH(327,'كشف الحساب'!$N$4:$N$353,0),0)=0,"",INDEX('كشف الحساب'!$B$4:$B$353,IFERROR(MATCH(327,'كشف الحساب'!$N$4:$N$353,0),0))),"")</f>
        <v/>
      </c>
      <c r="C331" s="65" t="str">
        <f>IFERROR(IF(IFERROR(MATCH(327,'كشف الحساب'!$N$4:$N$353,0),0)=0,"",INDEX('كشف الحساب'!$C$4:$C$353,IFERROR(MATCH(327,'كشف الحساب'!$N$4:$N$353,0),0))),"")</f>
        <v/>
      </c>
      <c r="D331" s="66" t="str">
        <f>IFERROR(IF(IFERROR(MATCH(327,'كشف الحساب'!$N$4:$N$353,0),0)=0,"",INDEX('كشف الحساب'!$D$4:$D$353,IFERROR(MATCH(327,'كشف الحساب'!$N$4:$N$353,0),0))),"")</f>
        <v/>
      </c>
      <c r="E331" s="67" t="str">
        <f>IFERROR(IF(IFERROR(MATCH(327,'كشف الحساب'!$N$4:$N$353,0),0)=0,"",INDEX('كشف الحساب'!$E$4:$E$353,IFERROR(MATCH(327,'كشف الحساب'!$N$4:$N$353,0),0))),"")</f>
        <v/>
      </c>
      <c r="F331" s="64" t="str">
        <f>IFERROR(IF(IFERROR(MATCH(327,'كشف الحساب'!$N$4:$N$353,0),0)=0,"",INDEX('كشف الحساب'!$F$4:$F$353,IFERROR(MATCH(327,'كشف الحساب'!$N$4:$N$353,0),0))),"")</f>
        <v/>
      </c>
      <c r="G331" s="64" t="str">
        <f>IFERROR(IF(IFERROR(MATCH(327,'كشف الحساب'!$N$4:$N$353,0),0)=0,"",INDEX('كشف الحساب'!$G$4:$G$353,IFERROR(MATCH(327,'كشف الحساب'!$N$4:$N$353,0),0))),"")</f>
        <v/>
      </c>
      <c r="H331" s="64" t="str">
        <f>IFERROR(IF(IFERROR(MATCH(327,'كشف الحساب'!$N$4:$N$353,0),0)=0,"",INDEX('كشف الحساب'!$H$4:$H$353,IFERROR(MATCH(327,'كشف الحساب'!$N$4:$N$353,0),0))),"")</f>
        <v/>
      </c>
      <c r="I331" s="64" t="str">
        <f>IFERROR(IF(IFERROR(MATCH(327,'كشف الحساب'!$N$4:$N$353,0),0)=0,"",INDEX('كشف الحساب'!$I$4:$I$353,IFERROR(MATCH(327,'كشف الحساب'!$N$4:$N$353,0),0))),"")</f>
        <v/>
      </c>
      <c r="J331" s="68" t="str">
        <f>IFERROR(IF(IFERROR(MATCH(327,'كشف الحساب'!$N$4:$N$353,0),0)=0,"",INDEX('كشف الحساب'!$J$4:$J$353,IFERROR(MATCH(327,'كشف الحساب'!$N$4:$N$353,0),0))),"")</f>
        <v/>
      </c>
      <c r="K331" s="64" t="str">
        <f>IFERROR(IF(IFERROR(MATCH(327,'كشف الحساب'!$N$4:$N$353,0),0)=0,"",INDEX('كشف الحساب'!$K$4:$K$353,IFERROR(MATCH(327,'كشف الحساب'!$N$4:$N$353,0),0))),"")</f>
        <v/>
      </c>
    </row>
    <row r="332" spans="1:11" ht="15" customHeight="1" x14ac:dyDescent="0.25">
      <c r="A332" s="69" t="str">
        <f>IFERROR(IF(IFERROR(MATCH(328,'كشف الحساب'!$N$4:$N$353,0),0)=0,"",INDEX('كشف الحساب'!$A$4:$A$353,IFERROR(MATCH(328,'كشف الحساب'!$N$4:$N$353,0),0))),"")</f>
        <v/>
      </c>
      <c r="B332" s="70" t="str">
        <f>IFERROR(IF(IFERROR(MATCH(328,'كشف الحساب'!$N$4:$N$353,0),0)=0,"",INDEX('كشف الحساب'!$B$4:$B$353,IFERROR(MATCH(328,'كشف الحساب'!$N$4:$N$353,0),0))),"")</f>
        <v/>
      </c>
      <c r="C332" s="71" t="str">
        <f>IFERROR(IF(IFERROR(MATCH(328,'كشف الحساب'!$N$4:$N$353,0),0)=0,"",INDEX('كشف الحساب'!$C$4:$C$353,IFERROR(MATCH(328,'كشف الحساب'!$N$4:$N$353,0),0))),"")</f>
        <v/>
      </c>
      <c r="D332" s="72" t="str">
        <f>IFERROR(IF(IFERROR(MATCH(328,'كشف الحساب'!$N$4:$N$353,0),0)=0,"",INDEX('كشف الحساب'!$D$4:$D$353,IFERROR(MATCH(328,'كشف الحساب'!$N$4:$N$353,0),0))),"")</f>
        <v/>
      </c>
      <c r="E332" s="73" t="str">
        <f>IFERROR(IF(IFERROR(MATCH(328,'كشف الحساب'!$N$4:$N$353,0),0)=0,"",INDEX('كشف الحساب'!$E$4:$E$353,IFERROR(MATCH(328,'كشف الحساب'!$N$4:$N$353,0),0))),"")</f>
        <v/>
      </c>
      <c r="F332" s="70" t="str">
        <f>IFERROR(IF(IFERROR(MATCH(328,'كشف الحساب'!$N$4:$N$353,0),0)=0,"",INDEX('كشف الحساب'!$F$4:$F$353,IFERROR(MATCH(328,'كشف الحساب'!$N$4:$N$353,0),0))),"")</f>
        <v/>
      </c>
      <c r="G332" s="70" t="str">
        <f>IFERROR(IF(IFERROR(MATCH(328,'كشف الحساب'!$N$4:$N$353,0),0)=0,"",INDEX('كشف الحساب'!$G$4:$G$353,IFERROR(MATCH(328,'كشف الحساب'!$N$4:$N$353,0),0))),"")</f>
        <v/>
      </c>
      <c r="H332" s="70" t="str">
        <f>IFERROR(IF(IFERROR(MATCH(328,'كشف الحساب'!$N$4:$N$353,0),0)=0,"",INDEX('كشف الحساب'!$H$4:$H$353,IFERROR(MATCH(328,'كشف الحساب'!$N$4:$N$353,0),0))),"")</f>
        <v/>
      </c>
      <c r="I332" s="70" t="str">
        <f>IFERROR(IF(IFERROR(MATCH(328,'كشف الحساب'!$N$4:$N$353,0),0)=0,"",INDEX('كشف الحساب'!$I$4:$I$353,IFERROR(MATCH(328,'كشف الحساب'!$N$4:$N$353,0),0))),"")</f>
        <v/>
      </c>
      <c r="J332" s="74" t="str">
        <f>IFERROR(IF(IFERROR(MATCH(328,'كشف الحساب'!$N$4:$N$353,0),0)=0,"",INDEX('كشف الحساب'!$J$4:$J$353,IFERROR(MATCH(328,'كشف الحساب'!$N$4:$N$353,0),0))),"")</f>
        <v/>
      </c>
      <c r="K332" s="70" t="str">
        <f>IFERROR(IF(IFERROR(MATCH(328,'كشف الحساب'!$N$4:$N$353,0),0)=0,"",INDEX('كشف الحساب'!$K$4:$K$353,IFERROR(MATCH(328,'كشف الحساب'!$N$4:$N$353,0),0))),"")</f>
        <v/>
      </c>
    </row>
    <row r="333" spans="1:11" ht="15" customHeight="1" x14ac:dyDescent="0.25">
      <c r="A333" s="63" t="str">
        <f>IFERROR(IF(IFERROR(MATCH(329,'كشف الحساب'!$N$4:$N$353,0),0)=0,"",INDEX('كشف الحساب'!$A$4:$A$353,IFERROR(MATCH(329,'كشف الحساب'!$N$4:$N$353,0),0))),"")</f>
        <v/>
      </c>
      <c r="B333" s="64" t="str">
        <f>IFERROR(IF(IFERROR(MATCH(329,'كشف الحساب'!$N$4:$N$353,0),0)=0,"",INDEX('كشف الحساب'!$B$4:$B$353,IFERROR(MATCH(329,'كشف الحساب'!$N$4:$N$353,0),0))),"")</f>
        <v/>
      </c>
      <c r="C333" s="65" t="str">
        <f>IFERROR(IF(IFERROR(MATCH(329,'كشف الحساب'!$N$4:$N$353,0),0)=0,"",INDEX('كشف الحساب'!$C$4:$C$353,IFERROR(MATCH(329,'كشف الحساب'!$N$4:$N$353,0),0))),"")</f>
        <v/>
      </c>
      <c r="D333" s="66" t="str">
        <f>IFERROR(IF(IFERROR(MATCH(329,'كشف الحساب'!$N$4:$N$353,0),0)=0,"",INDEX('كشف الحساب'!$D$4:$D$353,IFERROR(MATCH(329,'كشف الحساب'!$N$4:$N$353,0),0))),"")</f>
        <v/>
      </c>
      <c r="E333" s="67" t="str">
        <f>IFERROR(IF(IFERROR(MATCH(329,'كشف الحساب'!$N$4:$N$353,0),0)=0,"",INDEX('كشف الحساب'!$E$4:$E$353,IFERROR(MATCH(329,'كشف الحساب'!$N$4:$N$353,0),0))),"")</f>
        <v/>
      </c>
      <c r="F333" s="64" t="str">
        <f>IFERROR(IF(IFERROR(MATCH(329,'كشف الحساب'!$N$4:$N$353,0),0)=0,"",INDEX('كشف الحساب'!$F$4:$F$353,IFERROR(MATCH(329,'كشف الحساب'!$N$4:$N$353,0),0))),"")</f>
        <v/>
      </c>
      <c r="G333" s="64" t="str">
        <f>IFERROR(IF(IFERROR(MATCH(329,'كشف الحساب'!$N$4:$N$353,0),0)=0,"",INDEX('كشف الحساب'!$G$4:$G$353,IFERROR(MATCH(329,'كشف الحساب'!$N$4:$N$353,0),0))),"")</f>
        <v/>
      </c>
      <c r="H333" s="64" t="str">
        <f>IFERROR(IF(IFERROR(MATCH(329,'كشف الحساب'!$N$4:$N$353,0),0)=0,"",INDEX('كشف الحساب'!$H$4:$H$353,IFERROR(MATCH(329,'كشف الحساب'!$N$4:$N$353,0),0))),"")</f>
        <v/>
      </c>
      <c r="I333" s="64" t="str">
        <f>IFERROR(IF(IFERROR(MATCH(329,'كشف الحساب'!$N$4:$N$353,0),0)=0,"",INDEX('كشف الحساب'!$I$4:$I$353,IFERROR(MATCH(329,'كشف الحساب'!$N$4:$N$353,0),0))),"")</f>
        <v/>
      </c>
      <c r="J333" s="68" t="str">
        <f>IFERROR(IF(IFERROR(MATCH(329,'كشف الحساب'!$N$4:$N$353,0),0)=0,"",INDEX('كشف الحساب'!$J$4:$J$353,IFERROR(MATCH(329,'كشف الحساب'!$N$4:$N$353,0),0))),"")</f>
        <v/>
      </c>
      <c r="K333" s="64" t="str">
        <f>IFERROR(IF(IFERROR(MATCH(329,'كشف الحساب'!$N$4:$N$353,0),0)=0,"",INDEX('كشف الحساب'!$K$4:$K$353,IFERROR(MATCH(329,'كشف الحساب'!$N$4:$N$353,0),0))),"")</f>
        <v/>
      </c>
    </row>
    <row r="334" spans="1:11" ht="15" customHeight="1" x14ac:dyDescent="0.25">
      <c r="A334" s="69" t="str">
        <f>IFERROR(IF(IFERROR(MATCH(330,'كشف الحساب'!$N$4:$N$353,0),0)=0,"",INDEX('كشف الحساب'!$A$4:$A$353,IFERROR(MATCH(330,'كشف الحساب'!$N$4:$N$353,0),0))),"")</f>
        <v/>
      </c>
      <c r="B334" s="70" t="str">
        <f>IFERROR(IF(IFERROR(MATCH(330,'كشف الحساب'!$N$4:$N$353,0),0)=0,"",INDEX('كشف الحساب'!$B$4:$B$353,IFERROR(MATCH(330,'كشف الحساب'!$N$4:$N$353,0),0))),"")</f>
        <v/>
      </c>
      <c r="C334" s="71" t="str">
        <f>IFERROR(IF(IFERROR(MATCH(330,'كشف الحساب'!$N$4:$N$353,0),0)=0,"",INDEX('كشف الحساب'!$C$4:$C$353,IFERROR(MATCH(330,'كشف الحساب'!$N$4:$N$353,0),0))),"")</f>
        <v/>
      </c>
      <c r="D334" s="72" t="str">
        <f>IFERROR(IF(IFERROR(MATCH(330,'كشف الحساب'!$N$4:$N$353,0),0)=0,"",INDEX('كشف الحساب'!$D$4:$D$353,IFERROR(MATCH(330,'كشف الحساب'!$N$4:$N$353,0),0))),"")</f>
        <v/>
      </c>
      <c r="E334" s="73" t="str">
        <f>IFERROR(IF(IFERROR(MATCH(330,'كشف الحساب'!$N$4:$N$353,0),0)=0,"",INDEX('كشف الحساب'!$E$4:$E$353,IFERROR(MATCH(330,'كشف الحساب'!$N$4:$N$353,0),0))),"")</f>
        <v/>
      </c>
      <c r="F334" s="70" t="str">
        <f>IFERROR(IF(IFERROR(MATCH(330,'كشف الحساب'!$N$4:$N$353,0),0)=0,"",INDEX('كشف الحساب'!$F$4:$F$353,IFERROR(MATCH(330,'كشف الحساب'!$N$4:$N$353,0),0))),"")</f>
        <v/>
      </c>
      <c r="G334" s="70" t="str">
        <f>IFERROR(IF(IFERROR(MATCH(330,'كشف الحساب'!$N$4:$N$353,0),0)=0,"",INDEX('كشف الحساب'!$G$4:$G$353,IFERROR(MATCH(330,'كشف الحساب'!$N$4:$N$353,0),0))),"")</f>
        <v/>
      </c>
      <c r="H334" s="70" t="str">
        <f>IFERROR(IF(IFERROR(MATCH(330,'كشف الحساب'!$N$4:$N$353,0),0)=0,"",INDEX('كشف الحساب'!$H$4:$H$353,IFERROR(MATCH(330,'كشف الحساب'!$N$4:$N$353,0),0))),"")</f>
        <v/>
      </c>
      <c r="I334" s="70" t="str">
        <f>IFERROR(IF(IFERROR(MATCH(330,'كشف الحساب'!$N$4:$N$353,0),0)=0,"",INDEX('كشف الحساب'!$I$4:$I$353,IFERROR(MATCH(330,'كشف الحساب'!$N$4:$N$353,0),0))),"")</f>
        <v/>
      </c>
      <c r="J334" s="74" t="str">
        <f>IFERROR(IF(IFERROR(MATCH(330,'كشف الحساب'!$N$4:$N$353,0),0)=0,"",INDEX('كشف الحساب'!$J$4:$J$353,IFERROR(MATCH(330,'كشف الحساب'!$N$4:$N$353,0),0))),"")</f>
        <v/>
      </c>
      <c r="K334" s="70" t="str">
        <f>IFERROR(IF(IFERROR(MATCH(330,'كشف الحساب'!$N$4:$N$353,0),0)=0,"",INDEX('كشف الحساب'!$K$4:$K$353,IFERROR(MATCH(330,'كشف الحساب'!$N$4:$N$353,0),0))),"")</f>
        <v/>
      </c>
    </row>
    <row r="335" spans="1:11" ht="15" customHeight="1" x14ac:dyDescent="0.25">
      <c r="A335" s="63" t="str">
        <f>IFERROR(IF(IFERROR(MATCH(331,'كشف الحساب'!$N$4:$N$353,0),0)=0,"",INDEX('كشف الحساب'!$A$4:$A$353,IFERROR(MATCH(331,'كشف الحساب'!$N$4:$N$353,0),0))),"")</f>
        <v/>
      </c>
      <c r="B335" s="64" t="str">
        <f>IFERROR(IF(IFERROR(MATCH(331,'كشف الحساب'!$N$4:$N$353,0),0)=0,"",INDEX('كشف الحساب'!$B$4:$B$353,IFERROR(MATCH(331,'كشف الحساب'!$N$4:$N$353,0),0))),"")</f>
        <v/>
      </c>
      <c r="C335" s="65" t="str">
        <f>IFERROR(IF(IFERROR(MATCH(331,'كشف الحساب'!$N$4:$N$353,0),0)=0,"",INDEX('كشف الحساب'!$C$4:$C$353,IFERROR(MATCH(331,'كشف الحساب'!$N$4:$N$353,0),0))),"")</f>
        <v/>
      </c>
      <c r="D335" s="66" t="str">
        <f>IFERROR(IF(IFERROR(MATCH(331,'كشف الحساب'!$N$4:$N$353,0),0)=0,"",INDEX('كشف الحساب'!$D$4:$D$353,IFERROR(MATCH(331,'كشف الحساب'!$N$4:$N$353,0),0))),"")</f>
        <v/>
      </c>
      <c r="E335" s="67" t="str">
        <f>IFERROR(IF(IFERROR(MATCH(331,'كشف الحساب'!$N$4:$N$353,0),0)=0,"",INDEX('كشف الحساب'!$E$4:$E$353,IFERROR(MATCH(331,'كشف الحساب'!$N$4:$N$353,0),0))),"")</f>
        <v/>
      </c>
      <c r="F335" s="64" t="str">
        <f>IFERROR(IF(IFERROR(MATCH(331,'كشف الحساب'!$N$4:$N$353,0),0)=0,"",INDEX('كشف الحساب'!$F$4:$F$353,IFERROR(MATCH(331,'كشف الحساب'!$N$4:$N$353,0),0))),"")</f>
        <v/>
      </c>
      <c r="G335" s="64" t="str">
        <f>IFERROR(IF(IFERROR(MATCH(331,'كشف الحساب'!$N$4:$N$353,0),0)=0,"",INDEX('كشف الحساب'!$G$4:$G$353,IFERROR(MATCH(331,'كشف الحساب'!$N$4:$N$353,0),0))),"")</f>
        <v/>
      </c>
      <c r="H335" s="64" t="str">
        <f>IFERROR(IF(IFERROR(MATCH(331,'كشف الحساب'!$N$4:$N$353,0),0)=0,"",INDEX('كشف الحساب'!$H$4:$H$353,IFERROR(MATCH(331,'كشف الحساب'!$N$4:$N$353,0),0))),"")</f>
        <v/>
      </c>
      <c r="I335" s="64" t="str">
        <f>IFERROR(IF(IFERROR(MATCH(331,'كشف الحساب'!$N$4:$N$353,0),0)=0,"",INDEX('كشف الحساب'!$I$4:$I$353,IFERROR(MATCH(331,'كشف الحساب'!$N$4:$N$353,0),0))),"")</f>
        <v/>
      </c>
      <c r="J335" s="68" t="str">
        <f>IFERROR(IF(IFERROR(MATCH(331,'كشف الحساب'!$N$4:$N$353,0),0)=0,"",INDEX('كشف الحساب'!$J$4:$J$353,IFERROR(MATCH(331,'كشف الحساب'!$N$4:$N$353,0),0))),"")</f>
        <v/>
      </c>
      <c r="K335" s="64" t="str">
        <f>IFERROR(IF(IFERROR(MATCH(331,'كشف الحساب'!$N$4:$N$353,0),0)=0,"",INDEX('كشف الحساب'!$K$4:$K$353,IFERROR(MATCH(331,'كشف الحساب'!$N$4:$N$353,0),0))),"")</f>
        <v/>
      </c>
    </row>
    <row r="336" spans="1:11" ht="15" customHeight="1" x14ac:dyDescent="0.25">
      <c r="A336" s="69" t="str">
        <f>IFERROR(IF(IFERROR(MATCH(332,'كشف الحساب'!$N$4:$N$353,0),0)=0,"",INDEX('كشف الحساب'!$A$4:$A$353,IFERROR(MATCH(332,'كشف الحساب'!$N$4:$N$353,0),0))),"")</f>
        <v/>
      </c>
      <c r="B336" s="70" t="str">
        <f>IFERROR(IF(IFERROR(MATCH(332,'كشف الحساب'!$N$4:$N$353,0),0)=0,"",INDEX('كشف الحساب'!$B$4:$B$353,IFERROR(MATCH(332,'كشف الحساب'!$N$4:$N$353,0),0))),"")</f>
        <v/>
      </c>
      <c r="C336" s="71" t="str">
        <f>IFERROR(IF(IFERROR(MATCH(332,'كشف الحساب'!$N$4:$N$353,0),0)=0,"",INDEX('كشف الحساب'!$C$4:$C$353,IFERROR(MATCH(332,'كشف الحساب'!$N$4:$N$353,0),0))),"")</f>
        <v/>
      </c>
      <c r="D336" s="72" t="str">
        <f>IFERROR(IF(IFERROR(MATCH(332,'كشف الحساب'!$N$4:$N$353,0),0)=0,"",INDEX('كشف الحساب'!$D$4:$D$353,IFERROR(MATCH(332,'كشف الحساب'!$N$4:$N$353,0),0))),"")</f>
        <v/>
      </c>
      <c r="E336" s="73" t="str">
        <f>IFERROR(IF(IFERROR(MATCH(332,'كشف الحساب'!$N$4:$N$353,0),0)=0,"",INDEX('كشف الحساب'!$E$4:$E$353,IFERROR(MATCH(332,'كشف الحساب'!$N$4:$N$353,0),0))),"")</f>
        <v/>
      </c>
      <c r="F336" s="70" t="str">
        <f>IFERROR(IF(IFERROR(MATCH(332,'كشف الحساب'!$N$4:$N$353,0),0)=0,"",INDEX('كشف الحساب'!$F$4:$F$353,IFERROR(MATCH(332,'كشف الحساب'!$N$4:$N$353,0),0))),"")</f>
        <v/>
      </c>
      <c r="G336" s="70" t="str">
        <f>IFERROR(IF(IFERROR(MATCH(332,'كشف الحساب'!$N$4:$N$353,0),0)=0,"",INDEX('كشف الحساب'!$G$4:$G$353,IFERROR(MATCH(332,'كشف الحساب'!$N$4:$N$353,0),0))),"")</f>
        <v/>
      </c>
      <c r="H336" s="70" t="str">
        <f>IFERROR(IF(IFERROR(MATCH(332,'كشف الحساب'!$N$4:$N$353,0),0)=0,"",INDEX('كشف الحساب'!$H$4:$H$353,IFERROR(MATCH(332,'كشف الحساب'!$N$4:$N$353,0),0))),"")</f>
        <v/>
      </c>
      <c r="I336" s="70" t="str">
        <f>IFERROR(IF(IFERROR(MATCH(332,'كشف الحساب'!$N$4:$N$353,0),0)=0,"",INDEX('كشف الحساب'!$I$4:$I$353,IFERROR(MATCH(332,'كشف الحساب'!$N$4:$N$353,0),0))),"")</f>
        <v/>
      </c>
      <c r="J336" s="74" t="str">
        <f>IFERROR(IF(IFERROR(MATCH(332,'كشف الحساب'!$N$4:$N$353,0),0)=0,"",INDEX('كشف الحساب'!$J$4:$J$353,IFERROR(MATCH(332,'كشف الحساب'!$N$4:$N$353,0),0))),"")</f>
        <v/>
      </c>
      <c r="K336" s="70" t="str">
        <f>IFERROR(IF(IFERROR(MATCH(332,'كشف الحساب'!$N$4:$N$353,0),0)=0,"",INDEX('كشف الحساب'!$K$4:$K$353,IFERROR(MATCH(332,'كشف الحساب'!$N$4:$N$353,0),0))),"")</f>
        <v/>
      </c>
    </row>
    <row r="337" spans="1:11" ht="15" customHeight="1" x14ac:dyDescent="0.25">
      <c r="A337" s="63" t="str">
        <f>IFERROR(IF(IFERROR(MATCH(333,'كشف الحساب'!$N$4:$N$353,0),0)=0,"",INDEX('كشف الحساب'!$A$4:$A$353,IFERROR(MATCH(333,'كشف الحساب'!$N$4:$N$353,0),0))),"")</f>
        <v/>
      </c>
      <c r="B337" s="64" t="str">
        <f>IFERROR(IF(IFERROR(MATCH(333,'كشف الحساب'!$N$4:$N$353,0),0)=0,"",INDEX('كشف الحساب'!$B$4:$B$353,IFERROR(MATCH(333,'كشف الحساب'!$N$4:$N$353,0),0))),"")</f>
        <v/>
      </c>
      <c r="C337" s="65" t="str">
        <f>IFERROR(IF(IFERROR(MATCH(333,'كشف الحساب'!$N$4:$N$353,0),0)=0,"",INDEX('كشف الحساب'!$C$4:$C$353,IFERROR(MATCH(333,'كشف الحساب'!$N$4:$N$353,0),0))),"")</f>
        <v/>
      </c>
      <c r="D337" s="66" t="str">
        <f>IFERROR(IF(IFERROR(MATCH(333,'كشف الحساب'!$N$4:$N$353,0),0)=0,"",INDEX('كشف الحساب'!$D$4:$D$353,IFERROR(MATCH(333,'كشف الحساب'!$N$4:$N$353,0),0))),"")</f>
        <v/>
      </c>
      <c r="E337" s="67" t="str">
        <f>IFERROR(IF(IFERROR(MATCH(333,'كشف الحساب'!$N$4:$N$353,0),0)=0,"",INDEX('كشف الحساب'!$E$4:$E$353,IFERROR(MATCH(333,'كشف الحساب'!$N$4:$N$353,0),0))),"")</f>
        <v/>
      </c>
      <c r="F337" s="64" t="str">
        <f>IFERROR(IF(IFERROR(MATCH(333,'كشف الحساب'!$N$4:$N$353,0),0)=0,"",INDEX('كشف الحساب'!$F$4:$F$353,IFERROR(MATCH(333,'كشف الحساب'!$N$4:$N$353,0),0))),"")</f>
        <v/>
      </c>
      <c r="G337" s="64" t="str">
        <f>IFERROR(IF(IFERROR(MATCH(333,'كشف الحساب'!$N$4:$N$353,0),0)=0,"",INDEX('كشف الحساب'!$G$4:$G$353,IFERROR(MATCH(333,'كشف الحساب'!$N$4:$N$353,0),0))),"")</f>
        <v/>
      </c>
      <c r="H337" s="64" t="str">
        <f>IFERROR(IF(IFERROR(MATCH(333,'كشف الحساب'!$N$4:$N$353,0),0)=0,"",INDEX('كشف الحساب'!$H$4:$H$353,IFERROR(MATCH(333,'كشف الحساب'!$N$4:$N$353,0),0))),"")</f>
        <v/>
      </c>
      <c r="I337" s="64" t="str">
        <f>IFERROR(IF(IFERROR(MATCH(333,'كشف الحساب'!$N$4:$N$353,0),0)=0,"",INDEX('كشف الحساب'!$I$4:$I$353,IFERROR(MATCH(333,'كشف الحساب'!$N$4:$N$353,0),0))),"")</f>
        <v/>
      </c>
      <c r="J337" s="68" t="str">
        <f>IFERROR(IF(IFERROR(MATCH(333,'كشف الحساب'!$N$4:$N$353,0),0)=0,"",INDEX('كشف الحساب'!$J$4:$J$353,IFERROR(MATCH(333,'كشف الحساب'!$N$4:$N$353,0),0))),"")</f>
        <v/>
      </c>
      <c r="K337" s="64" t="str">
        <f>IFERROR(IF(IFERROR(MATCH(333,'كشف الحساب'!$N$4:$N$353,0),0)=0,"",INDEX('كشف الحساب'!$K$4:$K$353,IFERROR(MATCH(333,'كشف الحساب'!$N$4:$N$353,0),0))),"")</f>
        <v/>
      </c>
    </row>
    <row r="338" spans="1:11" ht="15" customHeight="1" x14ac:dyDescent="0.25">
      <c r="A338" s="69" t="str">
        <f>IFERROR(IF(IFERROR(MATCH(334,'كشف الحساب'!$N$4:$N$353,0),0)=0,"",INDEX('كشف الحساب'!$A$4:$A$353,IFERROR(MATCH(334,'كشف الحساب'!$N$4:$N$353,0),0))),"")</f>
        <v/>
      </c>
      <c r="B338" s="70" t="str">
        <f>IFERROR(IF(IFERROR(MATCH(334,'كشف الحساب'!$N$4:$N$353,0),0)=0,"",INDEX('كشف الحساب'!$B$4:$B$353,IFERROR(MATCH(334,'كشف الحساب'!$N$4:$N$353,0),0))),"")</f>
        <v/>
      </c>
      <c r="C338" s="71" t="str">
        <f>IFERROR(IF(IFERROR(MATCH(334,'كشف الحساب'!$N$4:$N$353,0),0)=0,"",INDEX('كشف الحساب'!$C$4:$C$353,IFERROR(MATCH(334,'كشف الحساب'!$N$4:$N$353,0),0))),"")</f>
        <v/>
      </c>
      <c r="D338" s="72" t="str">
        <f>IFERROR(IF(IFERROR(MATCH(334,'كشف الحساب'!$N$4:$N$353,0),0)=0,"",INDEX('كشف الحساب'!$D$4:$D$353,IFERROR(MATCH(334,'كشف الحساب'!$N$4:$N$353,0),0))),"")</f>
        <v/>
      </c>
      <c r="E338" s="73" t="str">
        <f>IFERROR(IF(IFERROR(MATCH(334,'كشف الحساب'!$N$4:$N$353,0),0)=0,"",INDEX('كشف الحساب'!$E$4:$E$353,IFERROR(MATCH(334,'كشف الحساب'!$N$4:$N$353,0),0))),"")</f>
        <v/>
      </c>
      <c r="F338" s="70" t="str">
        <f>IFERROR(IF(IFERROR(MATCH(334,'كشف الحساب'!$N$4:$N$353,0),0)=0,"",INDEX('كشف الحساب'!$F$4:$F$353,IFERROR(MATCH(334,'كشف الحساب'!$N$4:$N$353,0),0))),"")</f>
        <v/>
      </c>
      <c r="G338" s="70" t="str">
        <f>IFERROR(IF(IFERROR(MATCH(334,'كشف الحساب'!$N$4:$N$353,0),0)=0,"",INDEX('كشف الحساب'!$G$4:$G$353,IFERROR(MATCH(334,'كشف الحساب'!$N$4:$N$353,0),0))),"")</f>
        <v/>
      </c>
      <c r="H338" s="70" t="str">
        <f>IFERROR(IF(IFERROR(MATCH(334,'كشف الحساب'!$N$4:$N$353,0),0)=0,"",INDEX('كشف الحساب'!$H$4:$H$353,IFERROR(MATCH(334,'كشف الحساب'!$N$4:$N$353,0),0))),"")</f>
        <v/>
      </c>
      <c r="I338" s="70" t="str">
        <f>IFERROR(IF(IFERROR(MATCH(334,'كشف الحساب'!$N$4:$N$353,0),0)=0,"",INDEX('كشف الحساب'!$I$4:$I$353,IFERROR(MATCH(334,'كشف الحساب'!$N$4:$N$353,0),0))),"")</f>
        <v/>
      </c>
      <c r="J338" s="74" t="str">
        <f>IFERROR(IF(IFERROR(MATCH(334,'كشف الحساب'!$N$4:$N$353,0),0)=0,"",INDEX('كشف الحساب'!$J$4:$J$353,IFERROR(MATCH(334,'كشف الحساب'!$N$4:$N$353,0),0))),"")</f>
        <v/>
      </c>
      <c r="K338" s="70" t="str">
        <f>IFERROR(IF(IFERROR(MATCH(334,'كشف الحساب'!$N$4:$N$353,0),0)=0,"",INDEX('كشف الحساب'!$K$4:$K$353,IFERROR(MATCH(334,'كشف الحساب'!$N$4:$N$353,0),0))),"")</f>
        <v/>
      </c>
    </row>
    <row r="339" spans="1:11" ht="15" customHeight="1" x14ac:dyDescent="0.25">
      <c r="A339" s="63" t="str">
        <f>IFERROR(IF(IFERROR(MATCH(335,'كشف الحساب'!$N$4:$N$353,0),0)=0,"",INDEX('كشف الحساب'!$A$4:$A$353,IFERROR(MATCH(335,'كشف الحساب'!$N$4:$N$353,0),0))),"")</f>
        <v/>
      </c>
      <c r="B339" s="64" t="str">
        <f>IFERROR(IF(IFERROR(MATCH(335,'كشف الحساب'!$N$4:$N$353,0),0)=0,"",INDEX('كشف الحساب'!$B$4:$B$353,IFERROR(MATCH(335,'كشف الحساب'!$N$4:$N$353,0),0))),"")</f>
        <v/>
      </c>
      <c r="C339" s="65" t="str">
        <f>IFERROR(IF(IFERROR(MATCH(335,'كشف الحساب'!$N$4:$N$353,0),0)=0,"",INDEX('كشف الحساب'!$C$4:$C$353,IFERROR(MATCH(335,'كشف الحساب'!$N$4:$N$353,0),0))),"")</f>
        <v/>
      </c>
      <c r="D339" s="66" t="str">
        <f>IFERROR(IF(IFERROR(MATCH(335,'كشف الحساب'!$N$4:$N$353,0),0)=0,"",INDEX('كشف الحساب'!$D$4:$D$353,IFERROR(MATCH(335,'كشف الحساب'!$N$4:$N$353,0),0))),"")</f>
        <v/>
      </c>
      <c r="E339" s="67" t="str">
        <f>IFERROR(IF(IFERROR(MATCH(335,'كشف الحساب'!$N$4:$N$353,0),0)=0,"",INDEX('كشف الحساب'!$E$4:$E$353,IFERROR(MATCH(335,'كشف الحساب'!$N$4:$N$353,0),0))),"")</f>
        <v/>
      </c>
      <c r="F339" s="64" t="str">
        <f>IFERROR(IF(IFERROR(MATCH(335,'كشف الحساب'!$N$4:$N$353,0),0)=0,"",INDEX('كشف الحساب'!$F$4:$F$353,IFERROR(MATCH(335,'كشف الحساب'!$N$4:$N$353,0),0))),"")</f>
        <v/>
      </c>
      <c r="G339" s="64" t="str">
        <f>IFERROR(IF(IFERROR(MATCH(335,'كشف الحساب'!$N$4:$N$353,0),0)=0,"",INDEX('كشف الحساب'!$G$4:$G$353,IFERROR(MATCH(335,'كشف الحساب'!$N$4:$N$353,0),0))),"")</f>
        <v/>
      </c>
      <c r="H339" s="64" t="str">
        <f>IFERROR(IF(IFERROR(MATCH(335,'كشف الحساب'!$N$4:$N$353,0),0)=0,"",INDEX('كشف الحساب'!$H$4:$H$353,IFERROR(MATCH(335,'كشف الحساب'!$N$4:$N$353,0),0))),"")</f>
        <v/>
      </c>
      <c r="I339" s="64" t="str">
        <f>IFERROR(IF(IFERROR(MATCH(335,'كشف الحساب'!$N$4:$N$353,0),0)=0,"",INDEX('كشف الحساب'!$I$4:$I$353,IFERROR(MATCH(335,'كشف الحساب'!$N$4:$N$353,0),0))),"")</f>
        <v/>
      </c>
      <c r="J339" s="68" t="str">
        <f>IFERROR(IF(IFERROR(MATCH(335,'كشف الحساب'!$N$4:$N$353,0),0)=0,"",INDEX('كشف الحساب'!$J$4:$J$353,IFERROR(MATCH(335,'كشف الحساب'!$N$4:$N$353,0),0))),"")</f>
        <v/>
      </c>
      <c r="K339" s="64" t="str">
        <f>IFERROR(IF(IFERROR(MATCH(335,'كشف الحساب'!$N$4:$N$353,0),0)=0,"",INDEX('كشف الحساب'!$K$4:$K$353,IFERROR(MATCH(335,'كشف الحساب'!$N$4:$N$353,0),0))),"")</f>
        <v/>
      </c>
    </row>
    <row r="340" spans="1:11" ht="15" customHeight="1" x14ac:dyDescent="0.25">
      <c r="A340" s="69" t="str">
        <f>IFERROR(IF(IFERROR(MATCH(336,'كشف الحساب'!$N$4:$N$353,0),0)=0,"",INDEX('كشف الحساب'!$A$4:$A$353,IFERROR(MATCH(336,'كشف الحساب'!$N$4:$N$353,0),0))),"")</f>
        <v/>
      </c>
      <c r="B340" s="70" t="str">
        <f>IFERROR(IF(IFERROR(MATCH(336,'كشف الحساب'!$N$4:$N$353,0),0)=0,"",INDEX('كشف الحساب'!$B$4:$B$353,IFERROR(MATCH(336,'كشف الحساب'!$N$4:$N$353,0),0))),"")</f>
        <v/>
      </c>
      <c r="C340" s="71" t="str">
        <f>IFERROR(IF(IFERROR(MATCH(336,'كشف الحساب'!$N$4:$N$353,0),0)=0,"",INDEX('كشف الحساب'!$C$4:$C$353,IFERROR(MATCH(336,'كشف الحساب'!$N$4:$N$353,0),0))),"")</f>
        <v/>
      </c>
      <c r="D340" s="72" t="str">
        <f>IFERROR(IF(IFERROR(MATCH(336,'كشف الحساب'!$N$4:$N$353,0),0)=0,"",INDEX('كشف الحساب'!$D$4:$D$353,IFERROR(MATCH(336,'كشف الحساب'!$N$4:$N$353,0),0))),"")</f>
        <v/>
      </c>
      <c r="E340" s="73" t="str">
        <f>IFERROR(IF(IFERROR(MATCH(336,'كشف الحساب'!$N$4:$N$353,0),0)=0,"",INDEX('كشف الحساب'!$E$4:$E$353,IFERROR(MATCH(336,'كشف الحساب'!$N$4:$N$353,0),0))),"")</f>
        <v/>
      </c>
      <c r="F340" s="70" t="str">
        <f>IFERROR(IF(IFERROR(MATCH(336,'كشف الحساب'!$N$4:$N$353,0),0)=0,"",INDEX('كشف الحساب'!$F$4:$F$353,IFERROR(MATCH(336,'كشف الحساب'!$N$4:$N$353,0),0))),"")</f>
        <v/>
      </c>
      <c r="G340" s="70" t="str">
        <f>IFERROR(IF(IFERROR(MATCH(336,'كشف الحساب'!$N$4:$N$353,0),0)=0,"",INDEX('كشف الحساب'!$G$4:$G$353,IFERROR(MATCH(336,'كشف الحساب'!$N$4:$N$353,0),0))),"")</f>
        <v/>
      </c>
      <c r="H340" s="70" t="str">
        <f>IFERROR(IF(IFERROR(MATCH(336,'كشف الحساب'!$N$4:$N$353,0),0)=0,"",INDEX('كشف الحساب'!$H$4:$H$353,IFERROR(MATCH(336,'كشف الحساب'!$N$4:$N$353,0),0))),"")</f>
        <v/>
      </c>
      <c r="I340" s="70" t="str">
        <f>IFERROR(IF(IFERROR(MATCH(336,'كشف الحساب'!$N$4:$N$353,0),0)=0,"",INDEX('كشف الحساب'!$I$4:$I$353,IFERROR(MATCH(336,'كشف الحساب'!$N$4:$N$353,0),0))),"")</f>
        <v/>
      </c>
      <c r="J340" s="74" t="str">
        <f>IFERROR(IF(IFERROR(MATCH(336,'كشف الحساب'!$N$4:$N$353,0),0)=0,"",INDEX('كشف الحساب'!$J$4:$J$353,IFERROR(MATCH(336,'كشف الحساب'!$N$4:$N$353,0),0))),"")</f>
        <v/>
      </c>
      <c r="K340" s="70" t="str">
        <f>IFERROR(IF(IFERROR(MATCH(336,'كشف الحساب'!$N$4:$N$353,0),0)=0,"",INDEX('كشف الحساب'!$K$4:$K$353,IFERROR(MATCH(336,'كشف الحساب'!$N$4:$N$353,0),0))),"")</f>
        <v/>
      </c>
    </row>
    <row r="341" spans="1:11" ht="15" customHeight="1" x14ac:dyDescent="0.25">
      <c r="A341" s="63" t="str">
        <f>IFERROR(IF(IFERROR(MATCH(337,'كشف الحساب'!$N$4:$N$353,0),0)=0,"",INDEX('كشف الحساب'!$A$4:$A$353,IFERROR(MATCH(337,'كشف الحساب'!$N$4:$N$353,0),0))),"")</f>
        <v/>
      </c>
      <c r="B341" s="64" t="str">
        <f>IFERROR(IF(IFERROR(MATCH(337,'كشف الحساب'!$N$4:$N$353,0),0)=0,"",INDEX('كشف الحساب'!$B$4:$B$353,IFERROR(MATCH(337,'كشف الحساب'!$N$4:$N$353,0),0))),"")</f>
        <v/>
      </c>
      <c r="C341" s="65" t="str">
        <f>IFERROR(IF(IFERROR(MATCH(337,'كشف الحساب'!$N$4:$N$353,0),0)=0,"",INDEX('كشف الحساب'!$C$4:$C$353,IFERROR(MATCH(337,'كشف الحساب'!$N$4:$N$353,0),0))),"")</f>
        <v/>
      </c>
      <c r="D341" s="66" t="str">
        <f>IFERROR(IF(IFERROR(MATCH(337,'كشف الحساب'!$N$4:$N$353,0),0)=0,"",INDEX('كشف الحساب'!$D$4:$D$353,IFERROR(MATCH(337,'كشف الحساب'!$N$4:$N$353,0),0))),"")</f>
        <v/>
      </c>
      <c r="E341" s="67" t="str">
        <f>IFERROR(IF(IFERROR(MATCH(337,'كشف الحساب'!$N$4:$N$353,0),0)=0,"",INDEX('كشف الحساب'!$E$4:$E$353,IFERROR(MATCH(337,'كشف الحساب'!$N$4:$N$353,0),0))),"")</f>
        <v/>
      </c>
      <c r="F341" s="64" t="str">
        <f>IFERROR(IF(IFERROR(MATCH(337,'كشف الحساب'!$N$4:$N$353,0),0)=0,"",INDEX('كشف الحساب'!$F$4:$F$353,IFERROR(MATCH(337,'كشف الحساب'!$N$4:$N$353,0),0))),"")</f>
        <v/>
      </c>
      <c r="G341" s="64" t="str">
        <f>IFERROR(IF(IFERROR(MATCH(337,'كشف الحساب'!$N$4:$N$353,0),0)=0,"",INDEX('كشف الحساب'!$G$4:$G$353,IFERROR(MATCH(337,'كشف الحساب'!$N$4:$N$353,0),0))),"")</f>
        <v/>
      </c>
      <c r="H341" s="64" t="str">
        <f>IFERROR(IF(IFERROR(MATCH(337,'كشف الحساب'!$N$4:$N$353,0),0)=0,"",INDEX('كشف الحساب'!$H$4:$H$353,IFERROR(MATCH(337,'كشف الحساب'!$N$4:$N$353,0),0))),"")</f>
        <v/>
      </c>
      <c r="I341" s="64" t="str">
        <f>IFERROR(IF(IFERROR(MATCH(337,'كشف الحساب'!$N$4:$N$353,0),0)=0,"",INDEX('كشف الحساب'!$I$4:$I$353,IFERROR(MATCH(337,'كشف الحساب'!$N$4:$N$353,0),0))),"")</f>
        <v/>
      </c>
      <c r="J341" s="68" t="str">
        <f>IFERROR(IF(IFERROR(MATCH(337,'كشف الحساب'!$N$4:$N$353,0),0)=0,"",INDEX('كشف الحساب'!$J$4:$J$353,IFERROR(MATCH(337,'كشف الحساب'!$N$4:$N$353,0),0))),"")</f>
        <v/>
      </c>
      <c r="K341" s="64" t="str">
        <f>IFERROR(IF(IFERROR(MATCH(337,'كشف الحساب'!$N$4:$N$353,0),0)=0,"",INDEX('كشف الحساب'!$K$4:$K$353,IFERROR(MATCH(337,'كشف الحساب'!$N$4:$N$353,0),0))),"")</f>
        <v/>
      </c>
    </row>
    <row r="342" spans="1:11" ht="15" customHeight="1" x14ac:dyDescent="0.25">
      <c r="A342" s="69" t="str">
        <f>IFERROR(IF(IFERROR(MATCH(338,'كشف الحساب'!$N$4:$N$353,0),0)=0,"",INDEX('كشف الحساب'!$A$4:$A$353,IFERROR(MATCH(338,'كشف الحساب'!$N$4:$N$353,0),0))),"")</f>
        <v/>
      </c>
      <c r="B342" s="70" t="str">
        <f>IFERROR(IF(IFERROR(MATCH(338,'كشف الحساب'!$N$4:$N$353,0),0)=0,"",INDEX('كشف الحساب'!$B$4:$B$353,IFERROR(MATCH(338,'كشف الحساب'!$N$4:$N$353,0),0))),"")</f>
        <v/>
      </c>
      <c r="C342" s="71" t="str">
        <f>IFERROR(IF(IFERROR(MATCH(338,'كشف الحساب'!$N$4:$N$353,0),0)=0,"",INDEX('كشف الحساب'!$C$4:$C$353,IFERROR(MATCH(338,'كشف الحساب'!$N$4:$N$353,0),0))),"")</f>
        <v/>
      </c>
      <c r="D342" s="72" t="str">
        <f>IFERROR(IF(IFERROR(MATCH(338,'كشف الحساب'!$N$4:$N$353,0),0)=0,"",INDEX('كشف الحساب'!$D$4:$D$353,IFERROR(MATCH(338,'كشف الحساب'!$N$4:$N$353,0),0))),"")</f>
        <v/>
      </c>
      <c r="E342" s="73" t="str">
        <f>IFERROR(IF(IFERROR(MATCH(338,'كشف الحساب'!$N$4:$N$353,0),0)=0,"",INDEX('كشف الحساب'!$E$4:$E$353,IFERROR(MATCH(338,'كشف الحساب'!$N$4:$N$353,0),0))),"")</f>
        <v/>
      </c>
      <c r="F342" s="70" t="str">
        <f>IFERROR(IF(IFERROR(MATCH(338,'كشف الحساب'!$N$4:$N$353,0),0)=0,"",INDEX('كشف الحساب'!$F$4:$F$353,IFERROR(MATCH(338,'كشف الحساب'!$N$4:$N$353,0),0))),"")</f>
        <v/>
      </c>
      <c r="G342" s="70" t="str">
        <f>IFERROR(IF(IFERROR(MATCH(338,'كشف الحساب'!$N$4:$N$353,0),0)=0,"",INDEX('كشف الحساب'!$G$4:$G$353,IFERROR(MATCH(338,'كشف الحساب'!$N$4:$N$353,0),0))),"")</f>
        <v/>
      </c>
      <c r="H342" s="70" t="str">
        <f>IFERROR(IF(IFERROR(MATCH(338,'كشف الحساب'!$N$4:$N$353,0),0)=0,"",INDEX('كشف الحساب'!$H$4:$H$353,IFERROR(MATCH(338,'كشف الحساب'!$N$4:$N$353,0),0))),"")</f>
        <v/>
      </c>
      <c r="I342" s="70" t="str">
        <f>IFERROR(IF(IFERROR(MATCH(338,'كشف الحساب'!$N$4:$N$353,0),0)=0,"",INDEX('كشف الحساب'!$I$4:$I$353,IFERROR(MATCH(338,'كشف الحساب'!$N$4:$N$353,0),0))),"")</f>
        <v/>
      </c>
      <c r="J342" s="74" t="str">
        <f>IFERROR(IF(IFERROR(MATCH(338,'كشف الحساب'!$N$4:$N$353,0),0)=0,"",INDEX('كشف الحساب'!$J$4:$J$353,IFERROR(MATCH(338,'كشف الحساب'!$N$4:$N$353,0),0))),"")</f>
        <v/>
      </c>
      <c r="K342" s="70" t="str">
        <f>IFERROR(IF(IFERROR(MATCH(338,'كشف الحساب'!$N$4:$N$353,0),0)=0,"",INDEX('كشف الحساب'!$K$4:$K$353,IFERROR(MATCH(338,'كشف الحساب'!$N$4:$N$353,0),0))),"")</f>
        <v/>
      </c>
    </row>
    <row r="343" spans="1:11" ht="15" customHeight="1" x14ac:dyDescent="0.25">
      <c r="A343" s="63" t="str">
        <f>IFERROR(IF(IFERROR(MATCH(339,'كشف الحساب'!$N$4:$N$353,0),0)=0,"",INDEX('كشف الحساب'!$A$4:$A$353,IFERROR(MATCH(339,'كشف الحساب'!$N$4:$N$353,0),0))),"")</f>
        <v/>
      </c>
      <c r="B343" s="64" t="str">
        <f>IFERROR(IF(IFERROR(MATCH(339,'كشف الحساب'!$N$4:$N$353,0),0)=0,"",INDEX('كشف الحساب'!$B$4:$B$353,IFERROR(MATCH(339,'كشف الحساب'!$N$4:$N$353,0),0))),"")</f>
        <v/>
      </c>
      <c r="C343" s="65" t="str">
        <f>IFERROR(IF(IFERROR(MATCH(339,'كشف الحساب'!$N$4:$N$353,0),0)=0,"",INDEX('كشف الحساب'!$C$4:$C$353,IFERROR(MATCH(339,'كشف الحساب'!$N$4:$N$353,0),0))),"")</f>
        <v/>
      </c>
      <c r="D343" s="66" t="str">
        <f>IFERROR(IF(IFERROR(MATCH(339,'كشف الحساب'!$N$4:$N$353,0),0)=0,"",INDEX('كشف الحساب'!$D$4:$D$353,IFERROR(MATCH(339,'كشف الحساب'!$N$4:$N$353,0),0))),"")</f>
        <v/>
      </c>
      <c r="E343" s="67" t="str">
        <f>IFERROR(IF(IFERROR(MATCH(339,'كشف الحساب'!$N$4:$N$353,0),0)=0,"",INDEX('كشف الحساب'!$E$4:$E$353,IFERROR(MATCH(339,'كشف الحساب'!$N$4:$N$353,0),0))),"")</f>
        <v/>
      </c>
      <c r="F343" s="64" t="str">
        <f>IFERROR(IF(IFERROR(MATCH(339,'كشف الحساب'!$N$4:$N$353,0),0)=0,"",INDEX('كشف الحساب'!$F$4:$F$353,IFERROR(MATCH(339,'كشف الحساب'!$N$4:$N$353,0),0))),"")</f>
        <v/>
      </c>
      <c r="G343" s="64" t="str">
        <f>IFERROR(IF(IFERROR(MATCH(339,'كشف الحساب'!$N$4:$N$353,0),0)=0,"",INDEX('كشف الحساب'!$G$4:$G$353,IFERROR(MATCH(339,'كشف الحساب'!$N$4:$N$353,0),0))),"")</f>
        <v/>
      </c>
      <c r="H343" s="64" t="str">
        <f>IFERROR(IF(IFERROR(MATCH(339,'كشف الحساب'!$N$4:$N$353,0),0)=0,"",INDEX('كشف الحساب'!$H$4:$H$353,IFERROR(MATCH(339,'كشف الحساب'!$N$4:$N$353,0),0))),"")</f>
        <v/>
      </c>
      <c r="I343" s="64" t="str">
        <f>IFERROR(IF(IFERROR(MATCH(339,'كشف الحساب'!$N$4:$N$353,0),0)=0,"",INDEX('كشف الحساب'!$I$4:$I$353,IFERROR(MATCH(339,'كشف الحساب'!$N$4:$N$353,0),0))),"")</f>
        <v/>
      </c>
      <c r="J343" s="68" t="str">
        <f>IFERROR(IF(IFERROR(MATCH(339,'كشف الحساب'!$N$4:$N$353,0),0)=0,"",INDEX('كشف الحساب'!$J$4:$J$353,IFERROR(MATCH(339,'كشف الحساب'!$N$4:$N$353,0),0))),"")</f>
        <v/>
      </c>
      <c r="K343" s="64" t="str">
        <f>IFERROR(IF(IFERROR(MATCH(339,'كشف الحساب'!$N$4:$N$353,0),0)=0,"",INDEX('كشف الحساب'!$K$4:$K$353,IFERROR(MATCH(339,'كشف الحساب'!$N$4:$N$353,0),0))),"")</f>
        <v/>
      </c>
    </row>
    <row r="344" spans="1:11" ht="15" customHeight="1" x14ac:dyDescent="0.25">
      <c r="A344" s="69" t="str">
        <f>IFERROR(IF(IFERROR(MATCH(340,'كشف الحساب'!$N$4:$N$353,0),0)=0,"",INDEX('كشف الحساب'!$A$4:$A$353,IFERROR(MATCH(340,'كشف الحساب'!$N$4:$N$353,0),0))),"")</f>
        <v/>
      </c>
      <c r="B344" s="70" t="str">
        <f>IFERROR(IF(IFERROR(MATCH(340,'كشف الحساب'!$N$4:$N$353,0),0)=0,"",INDEX('كشف الحساب'!$B$4:$B$353,IFERROR(MATCH(340,'كشف الحساب'!$N$4:$N$353,0),0))),"")</f>
        <v/>
      </c>
      <c r="C344" s="71" t="str">
        <f>IFERROR(IF(IFERROR(MATCH(340,'كشف الحساب'!$N$4:$N$353,0),0)=0,"",INDEX('كشف الحساب'!$C$4:$C$353,IFERROR(MATCH(340,'كشف الحساب'!$N$4:$N$353,0),0))),"")</f>
        <v/>
      </c>
      <c r="D344" s="72" t="str">
        <f>IFERROR(IF(IFERROR(MATCH(340,'كشف الحساب'!$N$4:$N$353,0),0)=0,"",INDEX('كشف الحساب'!$D$4:$D$353,IFERROR(MATCH(340,'كشف الحساب'!$N$4:$N$353,0),0))),"")</f>
        <v/>
      </c>
      <c r="E344" s="73" t="str">
        <f>IFERROR(IF(IFERROR(MATCH(340,'كشف الحساب'!$N$4:$N$353,0),0)=0,"",INDEX('كشف الحساب'!$E$4:$E$353,IFERROR(MATCH(340,'كشف الحساب'!$N$4:$N$353,0),0))),"")</f>
        <v/>
      </c>
      <c r="F344" s="70" t="str">
        <f>IFERROR(IF(IFERROR(MATCH(340,'كشف الحساب'!$N$4:$N$353,0),0)=0,"",INDEX('كشف الحساب'!$F$4:$F$353,IFERROR(MATCH(340,'كشف الحساب'!$N$4:$N$353,0),0))),"")</f>
        <v/>
      </c>
      <c r="G344" s="70" t="str">
        <f>IFERROR(IF(IFERROR(MATCH(340,'كشف الحساب'!$N$4:$N$353,0),0)=0,"",INDEX('كشف الحساب'!$G$4:$G$353,IFERROR(MATCH(340,'كشف الحساب'!$N$4:$N$353,0),0))),"")</f>
        <v/>
      </c>
      <c r="H344" s="70" t="str">
        <f>IFERROR(IF(IFERROR(MATCH(340,'كشف الحساب'!$N$4:$N$353,0),0)=0,"",INDEX('كشف الحساب'!$H$4:$H$353,IFERROR(MATCH(340,'كشف الحساب'!$N$4:$N$353,0),0))),"")</f>
        <v/>
      </c>
      <c r="I344" s="70" t="str">
        <f>IFERROR(IF(IFERROR(MATCH(340,'كشف الحساب'!$N$4:$N$353,0),0)=0,"",INDEX('كشف الحساب'!$I$4:$I$353,IFERROR(MATCH(340,'كشف الحساب'!$N$4:$N$353,0),0))),"")</f>
        <v/>
      </c>
      <c r="J344" s="74" t="str">
        <f>IFERROR(IF(IFERROR(MATCH(340,'كشف الحساب'!$N$4:$N$353,0),0)=0,"",INDEX('كشف الحساب'!$J$4:$J$353,IFERROR(MATCH(340,'كشف الحساب'!$N$4:$N$353,0),0))),"")</f>
        <v/>
      </c>
      <c r="K344" s="70" t="str">
        <f>IFERROR(IF(IFERROR(MATCH(340,'كشف الحساب'!$N$4:$N$353,0),0)=0,"",INDEX('كشف الحساب'!$K$4:$K$353,IFERROR(MATCH(340,'كشف الحساب'!$N$4:$N$353,0),0))),"")</f>
        <v/>
      </c>
    </row>
    <row r="345" spans="1:11" ht="15" customHeight="1" x14ac:dyDescent="0.25">
      <c r="A345" s="63" t="str">
        <f>IFERROR(IF(IFERROR(MATCH(341,'كشف الحساب'!$N$4:$N$353,0),0)=0,"",INDEX('كشف الحساب'!$A$4:$A$353,IFERROR(MATCH(341,'كشف الحساب'!$N$4:$N$353,0),0))),"")</f>
        <v/>
      </c>
      <c r="B345" s="64" t="str">
        <f>IFERROR(IF(IFERROR(MATCH(341,'كشف الحساب'!$N$4:$N$353,0),0)=0,"",INDEX('كشف الحساب'!$B$4:$B$353,IFERROR(MATCH(341,'كشف الحساب'!$N$4:$N$353,0),0))),"")</f>
        <v/>
      </c>
      <c r="C345" s="65" t="str">
        <f>IFERROR(IF(IFERROR(MATCH(341,'كشف الحساب'!$N$4:$N$353,0),0)=0,"",INDEX('كشف الحساب'!$C$4:$C$353,IFERROR(MATCH(341,'كشف الحساب'!$N$4:$N$353,0),0))),"")</f>
        <v/>
      </c>
      <c r="D345" s="66" t="str">
        <f>IFERROR(IF(IFERROR(MATCH(341,'كشف الحساب'!$N$4:$N$353,0),0)=0,"",INDEX('كشف الحساب'!$D$4:$D$353,IFERROR(MATCH(341,'كشف الحساب'!$N$4:$N$353,0),0))),"")</f>
        <v/>
      </c>
      <c r="E345" s="67" t="str">
        <f>IFERROR(IF(IFERROR(MATCH(341,'كشف الحساب'!$N$4:$N$353,0),0)=0,"",INDEX('كشف الحساب'!$E$4:$E$353,IFERROR(MATCH(341,'كشف الحساب'!$N$4:$N$353,0),0))),"")</f>
        <v/>
      </c>
      <c r="F345" s="64" t="str">
        <f>IFERROR(IF(IFERROR(MATCH(341,'كشف الحساب'!$N$4:$N$353,0),0)=0,"",INDEX('كشف الحساب'!$F$4:$F$353,IFERROR(MATCH(341,'كشف الحساب'!$N$4:$N$353,0),0))),"")</f>
        <v/>
      </c>
      <c r="G345" s="64" t="str">
        <f>IFERROR(IF(IFERROR(MATCH(341,'كشف الحساب'!$N$4:$N$353,0),0)=0,"",INDEX('كشف الحساب'!$G$4:$G$353,IFERROR(MATCH(341,'كشف الحساب'!$N$4:$N$353,0),0))),"")</f>
        <v/>
      </c>
      <c r="H345" s="64" t="str">
        <f>IFERROR(IF(IFERROR(MATCH(341,'كشف الحساب'!$N$4:$N$353,0),0)=0,"",INDEX('كشف الحساب'!$H$4:$H$353,IFERROR(MATCH(341,'كشف الحساب'!$N$4:$N$353,0),0))),"")</f>
        <v/>
      </c>
      <c r="I345" s="64" t="str">
        <f>IFERROR(IF(IFERROR(MATCH(341,'كشف الحساب'!$N$4:$N$353,0),0)=0,"",INDEX('كشف الحساب'!$I$4:$I$353,IFERROR(MATCH(341,'كشف الحساب'!$N$4:$N$353,0),0))),"")</f>
        <v/>
      </c>
      <c r="J345" s="68" t="str">
        <f>IFERROR(IF(IFERROR(MATCH(341,'كشف الحساب'!$N$4:$N$353,0),0)=0,"",INDEX('كشف الحساب'!$J$4:$J$353,IFERROR(MATCH(341,'كشف الحساب'!$N$4:$N$353,0),0))),"")</f>
        <v/>
      </c>
      <c r="K345" s="64" t="str">
        <f>IFERROR(IF(IFERROR(MATCH(341,'كشف الحساب'!$N$4:$N$353,0),0)=0,"",INDEX('كشف الحساب'!$K$4:$K$353,IFERROR(MATCH(341,'كشف الحساب'!$N$4:$N$353,0),0))),"")</f>
        <v/>
      </c>
    </row>
    <row r="346" spans="1:11" ht="15" customHeight="1" x14ac:dyDescent="0.25">
      <c r="A346" s="69" t="str">
        <f>IFERROR(IF(IFERROR(MATCH(342,'كشف الحساب'!$N$4:$N$353,0),0)=0,"",INDEX('كشف الحساب'!$A$4:$A$353,IFERROR(MATCH(342,'كشف الحساب'!$N$4:$N$353,0),0))),"")</f>
        <v/>
      </c>
      <c r="B346" s="70" t="str">
        <f>IFERROR(IF(IFERROR(MATCH(342,'كشف الحساب'!$N$4:$N$353,0),0)=0,"",INDEX('كشف الحساب'!$B$4:$B$353,IFERROR(MATCH(342,'كشف الحساب'!$N$4:$N$353,0),0))),"")</f>
        <v/>
      </c>
      <c r="C346" s="71" t="str">
        <f>IFERROR(IF(IFERROR(MATCH(342,'كشف الحساب'!$N$4:$N$353,0),0)=0,"",INDEX('كشف الحساب'!$C$4:$C$353,IFERROR(MATCH(342,'كشف الحساب'!$N$4:$N$353,0),0))),"")</f>
        <v/>
      </c>
      <c r="D346" s="72" t="str">
        <f>IFERROR(IF(IFERROR(MATCH(342,'كشف الحساب'!$N$4:$N$353,0),0)=0,"",INDEX('كشف الحساب'!$D$4:$D$353,IFERROR(MATCH(342,'كشف الحساب'!$N$4:$N$353,0),0))),"")</f>
        <v/>
      </c>
      <c r="E346" s="73" t="str">
        <f>IFERROR(IF(IFERROR(MATCH(342,'كشف الحساب'!$N$4:$N$353,0),0)=0,"",INDEX('كشف الحساب'!$E$4:$E$353,IFERROR(MATCH(342,'كشف الحساب'!$N$4:$N$353,0),0))),"")</f>
        <v/>
      </c>
      <c r="F346" s="70" t="str">
        <f>IFERROR(IF(IFERROR(MATCH(342,'كشف الحساب'!$N$4:$N$353,0),0)=0,"",INDEX('كشف الحساب'!$F$4:$F$353,IFERROR(MATCH(342,'كشف الحساب'!$N$4:$N$353,0),0))),"")</f>
        <v/>
      </c>
      <c r="G346" s="70" t="str">
        <f>IFERROR(IF(IFERROR(MATCH(342,'كشف الحساب'!$N$4:$N$353,0),0)=0,"",INDEX('كشف الحساب'!$G$4:$G$353,IFERROR(MATCH(342,'كشف الحساب'!$N$4:$N$353,0),0))),"")</f>
        <v/>
      </c>
      <c r="H346" s="70" t="str">
        <f>IFERROR(IF(IFERROR(MATCH(342,'كشف الحساب'!$N$4:$N$353,0),0)=0,"",INDEX('كشف الحساب'!$H$4:$H$353,IFERROR(MATCH(342,'كشف الحساب'!$N$4:$N$353,0),0))),"")</f>
        <v/>
      </c>
      <c r="I346" s="70" t="str">
        <f>IFERROR(IF(IFERROR(MATCH(342,'كشف الحساب'!$N$4:$N$353,0),0)=0,"",INDEX('كشف الحساب'!$I$4:$I$353,IFERROR(MATCH(342,'كشف الحساب'!$N$4:$N$353,0),0))),"")</f>
        <v/>
      </c>
      <c r="J346" s="74" t="str">
        <f>IFERROR(IF(IFERROR(MATCH(342,'كشف الحساب'!$N$4:$N$353,0),0)=0,"",INDEX('كشف الحساب'!$J$4:$J$353,IFERROR(MATCH(342,'كشف الحساب'!$N$4:$N$353,0),0))),"")</f>
        <v/>
      </c>
      <c r="K346" s="70" t="str">
        <f>IFERROR(IF(IFERROR(MATCH(342,'كشف الحساب'!$N$4:$N$353,0),0)=0,"",INDEX('كشف الحساب'!$K$4:$K$353,IFERROR(MATCH(342,'كشف الحساب'!$N$4:$N$353,0),0))),"")</f>
        <v/>
      </c>
    </row>
    <row r="347" spans="1:11" ht="15" customHeight="1" x14ac:dyDescent="0.25">
      <c r="A347" s="63" t="str">
        <f>IFERROR(IF(IFERROR(MATCH(343,'كشف الحساب'!$N$4:$N$353,0),0)=0,"",INDEX('كشف الحساب'!$A$4:$A$353,IFERROR(MATCH(343,'كشف الحساب'!$N$4:$N$353,0),0))),"")</f>
        <v/>
      </c>
      <c r="B347" s="64" t="str">
        <f>IFERROR(IF(IFERROR(MATCH(343,'كشف الحساب'!$N$4:$N$353,0),0)=0,"",INDEX('كشف الحساب'!$B$4:$B$353,IFERROR(MATCH(343,'كشف الحساب'!$N$4:$N$353,0),0))),"")</f>
        <v/>
      </c>
      <c r="C347" s="65" t="str">
        <f>IFERROR(IF(IFERROR(MATCH(343,'كشف الحساب'!$N$4:$N$353,0),0)=0,"",INDEX('كشف الحساب'!$C$4:$C$353,IFERROR(MATCH(343,'كشف الحساب'!$N$4:$N$353,0),0))),"")</f>
        <v/>
      </c>
      <c r="D347" s="66" t="str">
        <f>IFERROR(IF(IFERROR(MATCH(343,'كشف الحساب'!$N$4:$N$353,0),0)=0,"",INDEX('كشف الحساب'!$D$4:$D$353,IFERROR(MATCH(343,'كشف الحساب'!$N$4:$N$353,0),0))),"")</f>
        <v/>
      </c>
      <c r="E347" s="67" t="str">
        <f>IFERROR(IF(IFERROR(MATCH(343,'كشف الحساب'!$N$4:$N$353,0),0)=0,"",INDEX('كشف الحساب'!$E$4:$E$353,IFERROR(MATCH(343,'كشف الحساب'!$N$4:$N$353,0),0))),"")</f>
        <v/>
      </c>
      <c r="F347" s="64" t="str">
        <f>IFERROR(IF(IFERROR(MATCH(343,'كشف الحساب'!$N$4:$N$353,0),0)=0,"",INDEX('كشف الحساب'!$F$4:$F$353,IFERROR(MATCH(343,'كشف الحساب'!$N$4:$N$353,0),0))),"")</f>
        <v/>
      </c>
      <c r="G347" s="64" t="str">
        <f>IFERROR(IF(IFERROR(MATCH(343,'كشف الحساب'!$N$4:$N$353,0),0)=0,"",INDEX('كشف الحساب'!$G$4:$G$353,IFERROR(MATCH(343,'كشف الحساب'!$N$4:$N$353,0),0))),"")</f>
        <v/>
      </c>
      <c r="H347" s="64" t="str">
        <f>IFERROR(IF(IFERROR(MATCH(343,'كشف الحساب'!$N$4:$N$353,0),0)=0,"",INDEX('كشف الحساب'!$H$4:$H$353,IFERROR(MATCH(343,'كشف الحساب'!$N$4:$N$353,0),0))),"")</f>
        <v/>
      </c>
      <c r="I347" s="64" t="str">
        <f>IFERROR(IF(IFERROR(MATCH(343,'كشف الحساب'!$N$4:$N$353,0),0)=0,"",INDEX('كشف الحساب'!$I$4:$I$353,IFERROR(MATCH(343,'كشف الحساب'!$N$4:$N$353,0),0))),"")</f>
        <v/>
      </c>
      <c r="J347" s="68" t="str">
        <f>IFERROR(IF(IFERROR(MATCH(343,'كشف الحساب'!$N$4:$N$353,0),0)=0,"",INDEX('كشف الحساب'!$J$4:$J$353,IFERROR(MATCH(343,'كشف الحساب'!$N$4:$N$353,0),0))),"")</f>
        <v/>
      </c>
      <c r="K347" s="64" t="str">
        <f>IFERROR(IF(IFERROR(MATCH(343,'كشف الحساب'!$N$4:$N$353,0),0)=0,"",INDEX('كشف الحساب'!$K$4:$K$353,IFERROR(MATCH(343,'كشف الحساب'!$N$4:$N$353,0),0))),"")</f>
        <v/>
      </c>
    </row>
    <row r="348" spans="1:11" ht="15" customHeight="1" x14ac:dyDescent="0.25">
      <c r="A348" s="69" t="str">
        <f>IFERROR(IF(IFERROR(MATCH(344,'كشف الحساب'!$N$4:$N$353,0),0)=0,"",INDEX('كشف الحساب'!$A$4:$A$353,IFERROR(MATCH(344,'كشف الحساب'!$N$4:$N$353,0),0))),"")</f>
        <v/>
      </c>
      <c r="B348" s="70" t="str">
        <f>IFERROR(IF(IFERROR(MATCH(344,'كشف الحساب'!$N$4:$N$353,0),0)=0,"",INDEX('كشف الحساب'!$B$4:$B$353,IFERROR(MATCH(344,'كشف الحساب'!$N$4:$N$353,0),0))),"")</f>
        <v/>
      </c>
      <c r="C348" s="71" t="str">
        <f>IFERROR(IF(IFERROR(MATCH(344,'كشف الحساب'!$N$4:$N$353,0),0)=0,"",INDEX('كشف الحساب'!$C$4:$C$353,IFERROR(MATCH(344,'كشف الحساب'!$N$4:$N$353,0),0))),"")</f>
        <v/>
      </c>
      <c r="D348" s="72" t="str">
        <f>IFERROR(IF(IFERROR(MATCH(344,'كشف الحساب'!$N$4:$N$353,0),0)=0,"",INDEX('كشف الحساب'!$D$4:$D$353,IFERROR(MATCH(344,'كشف الحساب'!$N$4:$N$353,0),0))),"")</f>
        <v/>
      </c>
      <c r="E348" s="73" t="str">
        <f>IFERROR(IF(IFERROR(MATCH(344,'كشف الحساب'!$N$4:$N$353,0),0)=0,"",INDEX('كشف الحساب'!$E$4:$E$353,IFERROR(MATCH(344,'كشف الحساب'!$N$4:$N$353,0),0))),"")</f>
        <v/>
      </c>
      <c r="F348" s="70" t="str">
        <f>IFERROR(IF(IFERROR(MATCH(344,'كشف الحساب'!$N$4:$N$353,0),0)=0,"",INDEX('كشف الحساب'!$F$4:$F$353,IFERROR(MATCH(344,'كشف الحساب'!$N$4:$N$353,0),0))),"")</f>
        <v/>
      </c>
      <c r="G348" s="70" t="str">
        <f>IFERROR(IF(IFERROR(MATCH(344,'كشف الحساب'!$N$4:$N$353,0),0)=0,"",INDEX('كشف الحساب'!$G$4:$G$353,IFERROR(MATCH(344,'كشف الحساب'!$N$4:$N$353,0),0))),"")</f>
        <v/>
      </c>
      <c r="H348" s="70" t="str">
        <f>IFERROR(IF(IFERROR(MATCH(344,'كشف الحساب'!$N$4:$N$353,0),0)=0,"",INDEX('كشف الحساب'!$H$4:$H$353,IFERROR(MATCH(344,'كشف الحساب'!$N$4:$N$353,0),0))),"")</f>
        <v/>
      </c>
      <c r="I348" s="70" t="str">
        <f>IFERROR(IF(IFERROR(MATCH(344,'كشف الحساب'!$N$4:$N$353,0),0)=0,"",INDEX('كشف الحساب'!$I$4:$I$353,IFERROR(MATCH(344,'كشف الحساب'!$N$4:$N$353,0),0))),"")</f>
        <v/>
      </c>
      <c r="J348" s="74" t="str">
        <f>IFERROR(IF(IFERROR(MATCH(344,'كشف الحساب'!$N$4:$N$353,0),0)=0,"",INDEX('كشف الحساب'!$J$4:$J$353,IFERROR(MATCH(344,'كشف الحساب'!$N$4:$N$353,0),0))),"")</f>
        <v/>
      </c>
      <c r="K348" s="70" t="str">
        <f>IFERROR(IF(IFERROR(MATCH(344,'كشف الحساب'!$N$4:$N$353,0),0)=0,"",INDEX('كشف الحساب'!$K$4:$K$353,IFERROR(MATCH(344,'كشف الحساب'!$N$4:$N$353,0),0))),"")</f>
        <v/>
      </c>
    </row>
    <row r="349" spans="1:11" ht="15" customHeight="1" x14ac:dyDescent="0.25">
      <c r="A349" s="63" t="str">
        <f>IFERROR(IF(IFERROR(MATCH(345,'كشف الحساب'!$N$4:$N$353,0),0)=0,"",INDEX('كشف الحساب'!$A$4:$A$353,IFERROR(MATCH(345,'كشف الحساب'!$N$4:$N$353,0),0))),"")</f>
        <v/>
      </c>
      <c r="B349" s="64" t="str">
        <f>IFERROR(IF(IFERROR(MATCH(345,'كشف الحساب'!$N$4:$N$353,0),0)=0,"",INDEX('كشف الحساب'!$B$4:$B$353,IFERROR(MATCH(345,'كشف الحساب'!$N$4:$N$353,0),0))),"")</f>
        <v/>
      </c>
      <c r="C349" s="65" t="str">
        <f>IFERROR(IF(IFERROR(MATCH(345,'كشف الحساب'!$N$4:$N$353,0),0)=0,"",INDEX('كشف الحساب'!$C$4:$C$353,IFERROR(MATCH(345,'كشف الحساب'!$N$4:$N$353,0),0))),"")</f>
        <v/>
      </c>
      <c r="D349" s="66" t="str">
        <f>IFERROR(IF(IFERROR(MATCH(345,'كشف الحساب'!$N$4:$N$353,0),0)=0,"",INDEX('كشف الحساب'!$D$4:$D$353,IFERROR(MATCH(345,'كشف الحساب'!$N$4:$N$353,0),0))),"")</f>
        <v/>
      </c>
      <c r="E349" s="67" t="str">
        <f>IFERROR(IF(IFERROR(MATCH(345,'كشف الحساب'!$N$4:$N$353,0),0)=0,"",INDEX('كشف الحساب'!$E$4:$E$353,IFERROR(MATCH(345,'كشف الحساب'!$N$4:$N$353,0),0))),"")</f>
        <v/>
      </c>
      <c r="F349" s="64" t="str">
        <f>IFERROR(IF(IFERROR(MATCH(345,'كشف الحساب'!$N$4:$N$353,0),0)=0,"",INDEX('كشف الحساب'!$F$4:$F$353,IFERROR(MATCH(345,'كشف الحساب'!$N$4:$N$353,0),0))),"")</f>
        <v/>
      </c>
      <c r="G349" s="64" t="str">
        <f>IFERROR(IF(IFERROR(MATCH(345,'كشف الحساب'!$N$4:$N$353,0),0)=0,"",INDEX('كشف الحساب'!$G$4:$G$353,IFERROR(MATCH(345,'كشف الحساب'!$N$4:$N$353,0),0))),"")</f>
        <v/>
      </c>
      <c r="H349" s="64" t="str">
        <f>IFERROR(IF(IFERROR(MATCH(345,'كشف الحساب'!$N$4:$N$353,0),0)=0,"",INDEX('كشف الحساب'!$H$4:$H$353,IFERROR(MATCH(345,'كشف الحساب'!$N$4:$N$353,0),0))),"")</f>
        <v/>
      </c>
      <c r="I349" s="64" t="str">
        <f>IFERROR(IF(IFERROR(MATCH(345,'كشف الحساب'!$N$4:$N$353,0),0)=0,"",INDEX('كشف الحساب'!$I$4:$I$353,IFERROR(MATCH(345,'كشف الحساب'!$N$4:$N$353,0),0))),"")</f>
        <v/>
      </c>
      <c r="J349" s="68" t="str">
        <f>IFERROR(IF(IFERROR(MATCH(345,'كشف الحساب'!$N$4:$N$353,0),0)=0,"",INDEX('كشف الحساب'!$J$4:$J$353,IFERROR(MATCH(345,'كشف الحساب'!$N$4:$N$353,0),0))),"")</f>
        <v/>
      </c>
      <c r="K349" s="64" t="str">
        <f>IFERROR(IF(IFERROR(MATCH(345,'كشف الحساب'!$N$4:$N$353,0),0)=0,"",INDEX('كشف الحساب'!$K$4:$K$353,IFERROR(MATCH(345,'كشف الحساب'!$N$4:$N$353,0),0))),"")</f>
        <v/>
      </c>
    </row>
    <row r="350" spans="1:11" ht="15" customHeight="1" x14ac:dyDescent="0.25">
      <c r="A350" s="69" t="str">
        <f>IFERROR(IF(IFERROR(MATCH(346,'كشف الحساب'!$N$4:$N$353,0),0)=0,"",INDEX('كشف الحساب'!$A$4:$A$353,IFERROR(MATCH(346,'كشف الحساب'!$N$4:$N$353,0),0))),"")</f>
        <v/>
      </c>
      <c r="B350" s="70" t="str">
        <f>IFERROR(IF(IFERROR(MATCH(346,'كشف الحساب'!$N$4:$N$353,0),0)=0,"",INDEX('كشف الحساب'!$B$4:$B$353,IFERROR(MATCH(346,'كشف الحساب'!$N$4:$N$353,0),0))),"")</f>
        <v/>
      </c>
      <c r="C350" s="71" t="str">
        <f>IFERROR(IF(IFERROR(MATCH(346,'كشف الحساب'!$N$4:$N$353,0),0)=0,"",INDEX('كشف الحساب'!$C$4:$C$353,IFERROR(MATCH(346,'كشف الحساب'!$N$4:$N$353,0),0))),"")</f>
        <v/>
      </c>
      <c r="D350" s="72" t="str">
        <f>IFERROR(IF(IFERROR(MATCH(346,'كشف الحساب'!$N$4:$N$353,0),0)=0,"",INDEX('كشف الحساب'!$D$4:$D$353,IFERROR(MATCH(346,'كشف الحساب'!$N$4:$N$353,0),0))),"")</f>
        <v/>
      </c>
      <c r="E350" s="73" t="str">
        <f>IFERROR(IF(IFERROR(MATCH(346,'كشف الحساب'!$N$4:$N$353,0),0)=0,"",INDEX('كشف الحساب'!$E$4:$E$353,IFERROR(MATCH(346,'كشف الحساب'!$N$4:$N$353,0),0))),"")</f>
        <v/>
      </c>
      <c r="F350" s="70" t="str">
        <f>IFERROR(IF(IFERROR(MATCH(346,'كشف الحساب'!$N$4:$N$353,0),0)=0,"",INDEX('كشف الحساب'!$F$4:$F$353,IFERROR(MATCH(346,'كشف الحساب'!$N$4:$N$353,0),0))),"")</f>
        <v/>
      </c>
      <c r="G350" s="70" t="str">
        <f>IFERROR(IF(IFERROR(MATCH(346,'كشف الحساب'!$N$4:$N$353,0),0)=0,"",INDEX('كشف الحساب'!$G$4:$G$353,IFERROR(MATCH(346,'كشف الحساب'!$N$4:$N$353,0),0))),"")</f>
        <v/>
      </c>
      <c r="H350" s="70" t="str">
        <f>IFERROR(IF(IFERROR(MATCH(346,'كشف الحساب'!$N$4:$N$353,0),0)=0,"",INDEX('كشف الحساب'!$H$4:$H$353,IFERROR(MATCH(346,'كشف الحساب'!$N$4:$N$353,0),0))),"")</f>
        <v/>
      </c>
      <c r="I350" s="70" t="str">
        <f>IFERROR(IF(IFERROR(MATCH(346,'كشف الحساب'!$N$4:$N$353,0),0)=0,"",INDEX('كشف الحساب'!$I$4:$I$353,IFERROR(MATCH(346,'كشف الحساب'!$N$4:$N$353,0),0))),"")</f>
        <v/>
      </c>
      <c r="J350" s="74" t="str">
        <f>IFERROR(IF(IFERROR(MATCH(346,'كشف الحساب'!$N$4:$N$353,0),0)=0,"",INDEX('كشف الحساب'!$J$4:$J$353,IFERROR(MATCH(346,'كشف الحساب'!$N$4:$N$353,0),0))),"")</f>
        <v/>
      </c>
      <c r="K350" s="70" t="str">
        <f>IFERROR(IF(IFERROR(MATCH(346,'كشف الحساب'!$N$4:$N$353,0),0)=0,"",INDEX('كشف الحساب'!$K$4:$K$353,IFERROR(MATCH(346,'كشف الحساب'!$N$4:$N$353,0),0))),"")</f>
        <v/>
      </c>
    </row>
    <row r="351" spans="1:11" ht="15" customHeight="1" x14ac:dyDescent="0.25">
      <c r="A351" s="63" t="str">
        <f>IFERROR(IF(IFERROR(MATCH(347,'كشف الحساب'!$N$4:$N$353,0),0)=0,"",INDEX('كشف الحساب'!$A$4:$A$353,IFERROR(MATCH(347,'كشف الحساب'!$N$4:$N$353,0),0))),"")</f>
        <v/>
      </c>
      <c r="B351" s="64" t="str">
        <f>IFERROR(IF(IFERROR(MATCH(347,'كشف الحساب'!$N$4:$N$353,0),0)=0,"",INDEX('كشف الحساب'!$B$4:$B$353,IFERROR(MATCH(347,'كشف الحساب'!$N$4:$N$353,0),0))),"")</f>
        <v/>
      </c>
      <c r="C351" s="65" t="str">
        <f>IFERROR(IF(IFERROR(MATCH(347,'كشف الحساب'!$N$4:$N$353,0),0)=0,"",INDEX('كشف الحساب'!$C$4:$C$353,IFERROR(MATCH(347,'كشف الحساب'!$N$4:$N$353,0),0))),"")</f>
        <v/>
      </c>
      <c r="D351" s="66" t="str">
        <f>IFERROR(IF(IFERROR(MATCH(347,'كشف الحساب'!$N$4:$N$353,0),0)=0,"",INDEX('كشف الحساب'!$D$4:$D$353,IFERROR(MATCH(347,'كشف الحساب'!$N$4:$N$353,0),0))),"")</f>
        <v/>
      </c>
      <c r="E351" s="67" t="str">
        <f>IFERROR(IF(IFERROR(MATCH(347,'كشف الحساب'!$N$4:$N$353,0),0)=0,"",INDEX('كشف الحساب'!$E$4:$E$353,IFERROR(MATCH(347,'كشف الحساب'!$N$4:$N$353,0),0))),"")</f>
        <v/>
      </c>
      <c r="F351" s="64" t="str">
        <f>IFERROR(IF(IFERROR(MATCH(347,'كشف الحساب'!$N$4:$N$353,0),0)=0,"",INDEX('كشف الحساب'!$F$4:$F$353,IFERROR(MATCH(347,'كشف الحساب'!$N$4:$N$353,0),0))),"")</f>
        <v/>
      </c>
      <c r="G351" s="64" t="str">
        <f>IFERROR(IF(IFERROR(MATCH(347,'كشف الحساب'!$N$4:$N$353,0),0)=0,"",INDEX('كشف الحساب'!$G$4:$G$353,IFERROR(MATCH(347,'كشف الحساب'!$N$4:$N$353,0),0))),"")</f>
        <v/>
      </c>
      <c r="H351" s="64" t="str">
        <f>IFERROR(IF(IFERROR(MATCH(347,'كشف الحساب'!$N$4:$N$353,0),0)=0,"",INDEX('كشف الحساب'!$H$4:$H$353,IFERROR(MATCH(347,'كشف الحساب'!$N$4:$N$353,0),0))),"")</f>
        <v/>
      </c>
      <c r="I351" s="64" t="str">
        <f>IFERROR(IF(IFERROR(MATCH(347,'كشف الحساب'!$N$4:$N$353,0),0)=0,"",INDEX('كشف الحساب'!$I$4:$I$353,IFERROR(MATCH(347,'كشف الحساب'!$N$4:$N$353,0),0))),"")</f>
        <v/>
      </c>
      <c r="J351" s="68" t="str">
        <f>IFERROR(IF(IFERROR(MATCH(347,'كشف الحساب'!$N$4:$N$353,0),0)=0,"",INDEX('كشف الحساب'!$J$4:$J$353,IFERROR(MATCH(347,'كشف الحساب'!$N$4:$N$353,0),0))),"")</f>
        <v/>
      </c>
      <c r="K351" s="64" t="str">
        <f>IFERROR(IF(IFERROR(MATCH(347,'كشف الحساب'!$N$4:$N$353,0),0)=0,"",INDEX('كشف الحساب'!$K$4:$K$353,IFERROR(MATCH(347,'كشف الحساب'!$N$4:$N$353,0),0))),"")</f>
        <v/>
      </c>
    </row>
    <row r="352" spans="1:11" ht="15" customHeight="1" x14ac:dyDescent="0.25">
      <c r="A352" s="69" t="str">
        <f>IFERROR(IF(IFERROR(MATCH(348,'كشف الحساب'!$N$4:$N$353,0),0)=0,"",INDEX('كشف الحساب'!$A$4:$A$353,IFERROR(MATCH(348,'كشف الحساب'!$N$4:$N$353,0),0))),"")</f>
        <v/>
      </c>
      <c r="B352" s="70" t="str">
        <f>IFERROR(IF(IFERROR(MATCH(348,'كشف الحساب'!$N$4:$N$353,0),0)=0,"",INDEX('كشف الحساب'!$B$4:$B$353,IFERROR(MATCH(348,'كشف الحساب'!$N$4:$N$353,0),0))),"")</f>
        <v/>
      </c>
      <c r="C352" s="71" t="str">
        <f>IFERROR(IF(IFERROR(MATCH(348,'كشف الحساب'!$N$4:$N$353,0),0)=0,"",INDEX('كشف الحساب'!$C$4:$C$353,IFERROR(MATCH(348,'كشف الحساب'!$N$4:$N$353,0),0))),"")</f>
        <v/>
      </c>
      <c r="D352" s="72" t="str">
        <f>IFERROR(IF(IFERROR(MATCH(348,'كشف الحساب'!$N$4:$N$353,0),0)=0,"",INDEX('كشف الحساب'!$D$4:$D$353,IFERROR(MATCH(348,'كشف الحساب'!$N$4:$N$353,0),0))),"")</f>
        <v/>
      </c>
      <c r="E352" s="73" t="str">
        <f>IFERROR(IF(IFERROR(MATCH(348,'كشف الحساب'!$N$4:$N$353,0),0)=0,"",INDEX('كشف الحساب'!$E$4:$E$353,IFERROR(MATCH(348,'كشف الحساب'!$N$4:$N$353,0),0))),"")</f>
        <v/>
      </c>
      <c r="F352" s="70" t="str">
        <f>IFERROR(IF(IFERROR(MATCH(348,'كشف الحساب'!$N$4:$N$353,0),0)=0,"",INDEX('كشف الحساب'!$F$4:$F$353,IFERROR(MATCH(348,'كشف الحساب'!$N$4:$N$353,0),0))),"")</f>
        <v/>
      </c>
      <c r="G352" s="70" t="str">
        <f>IFERROR(IF(IFERROR(MATCH(348,'كشف الحساب'!$N$4:$N$353,0),0)=0,"",INDEX('كشف الحساب'!$G$4:$G$353,IFERROR(MATCH(348,'كشف الحساب'!$N$4:$N$353,0),0))),"")</f>
        <v/>
      </c>
      <c r="H352" s="70" t="str">
        <f>IFERROR(IF(IFERROR(MATCH(348,'كشف الحساب'!$N$4:$N$353,0),0)=0,"",INDEX('كشف الحساب'!$H$4:$H$353,IFERROR(MATCH(348,'كشف الحساب'!$N$4:$N$353,0),0))),"")</f>
        <v/>
      </c>
      <c r="I352" s="70" t="str">
        <f>IFERROR(IF(IFERROR(MATCH(348,'كشف الحساب'!$N$4:$N$353,0),0)=0,"",INDEX('كشف الحساب'!$I$4:$I$353,IFERROR(MATCH(348,'كشف الحساب'!$N$4:$N$353,0),0))),"")</f>
        <v/>
      </c>
      <c r="J352" s="74" t="str">
        <f>IFERROR(IF(IFERROR(MATCH(348,'كشف الحساب'!$N$4:$N$353,0),0)=0,"",INDEX('كشف الحساب'!$J$4:$J$353,IFERROR(MATCH(348,'كشف الحساب'!$N$4:$N$353,0),0))),"")</f>
        <v/>
      </c>
      <c r="K352" s="70" t="str">
        <f>IFERROR(IF(IFERROR(MATCH(348,'كشف الحساب'!$N$4:$N$353,0),0)=0,"",INDEX('كشف الحساب'!$K$4:$K$353,IFERROR(MATCH(348,'كشف الحساب'!$N$4:$N$353,0),0))),"")</f>
        <v/>
      </c>
    </row>
    <row r="353" spans="1:11" ht="15" customHeight="1" x14ac:dyDescent="0.25">
      <c r="A353" s="63" t="str">
        <f>IFERROR(IF(IFERROR(MATCH(349,'كشف الحساب'!$N$4:$N$353,0),0)=0,"",INDEX('كشف الحساب'!$A$4:$A$353,IFERROR(MATCH(349,'كشف الحساب'!$N$4:$N$353,0),0))),"")</f>
        <v/>
      </c>
      <c r="B353" s="64" t="str">
        <f>IFERROR(IF(IFERROR(MATCH(349,'كشف الحساب'!$N$4:$N$353,0),0)=0,"",INDEX('كشف الحساب'!$B$4:$B$353,IFERROR(MATCH(349,'كشف الحساب'!$N$4:$N$353,0),0))),"")</f>
        <v/>
      </c>
      <c r="C353" s="65" t="str">
        <f>IFERROR(IF(IFERROR(MATCH(349,'كشف الحساب'!$N$4:$N$353,0),0)=0,"",INDEX('كشف الحساب'!$C$4:$C$353,IFERROR(MATCH(349,'كشف الحساب'!$N$4:$N$353,0),0))),"")</f>
        <v/>
      </c>
      <c r="D353" s="66" t="str">
        <f>IFERROR(IF(IFERROR(MATCH(349,'كشف الحساب'!$N$4:$N$353,0),0)=0,"",INDEX('كشف الحساب'!$D$4:$D$353,IFERROR(MATCH(349,'كشف الحساب'!$N$4:$N$353,0),0))),"")</f>
        <v/>
      </c>
      <c r="E353" s="67" t="str">
        <f>IFERROR(IF(IFERROR(MATCH(349,'كشف الحساب'!$N$4:$N$353,0),0)=0,"",INDEX('كشف الحساب'!$E$4:$E$353,IFERROR(MATCH(349,'كشف الحساب'!$N$4:$N$353,0),0))),"")</f>
        <v/>
      </c>
      <c r="F353" s="64" t="str">
        <f>IFERROR(IF(IFERROR(MATCH(349,'كشف الحساب'!$N$4:$N$353,0),0)=0,"",INDEX('كشف الحساب'!$F$4:$F$353,IFERROR(MATCH(349,'كشف الحساب'!$N$4:$N$353,0),0))),"")</f>
        <v/>
      </c>
      <c r="G353" s="64" t="str">
        <f>IFERROR(IF(IFERROR(MATCH(349,'كشف الحساب'!$N$4:$N$353,0),0)=0,"",INDEX('كشف الحساب'!$G$4:$G$353,IFERROR(MATCH(349,'كشف الحساب'!$N$4:$N$353,0),0))),"")</f>
        <v/>
      </c>
      <c r="H353" s="64" t="str">
        <f>IFERROR(IF(IFERROR(MATCH(349,'كشف الحساب'!$N$4:$N$353,0),0)=0,"",INDEX('كشف الحساب'!$H$4:$H$353,IFERROR(MATCH(349,'كشف الحساب'!$N$4:$N$353,0),0))),"")</f>
        <v/>
      </c>
      <c r="I353" s="64" t="str">
        <f>IFERROR(IF(IFERROR(MATCH(349,'كشف الحساب'!$N$4:$N$353,0),0)=0,"",INDEX('كشف الحساب'!$I$4:$I$353,IFERROR(MATCH(349,'كشف الحساب'!$N$4:$N$353,0),0))),"")</f>
        <v/>
      </c>
      <c r="J353" s="68" t="str">
        <f>IFERROR(IF(IFERROR(MATCH(349,'كشف الحساب'!$N$4:$N$353,0),0)=0,"",INDEX('كشف الحساب'!$J$4:$J$353,IFERROR(MATCH(349,'كشف الحساب'!$N$4:$N$353,0),0))),"")</f>
        <v/>
      </c>
      <c r="K353" s="64" t="str">
        <f>IFERROR(IF(IFERROR(MATCH(349,'كشف الحساب'!$N$4:$N$353,0),0)=0,"",INDEX('كشف الحساب'!$K$4:$K$353,IFERROR(MATCH(349,'كشف الحساب'!$N$4:$N$353,0),0))),"")</f>
        <v/>
      </c>
    </row>
    <row r="354" spans="1:11" ht="15" customHeight="1" x14ac:dyDescent="0.25">
      <c r="A354" s="69" t="str">
        <f>IFERROR(IF(IFERROR(MATCH(350,'كشف الحساب'!$N$4:$N$353,0),0)=0,"",INDEX('كشف الحساب'!$A$4:$A$353,IFERROR(MATCH(350,'كشف الحساب'!$N$4:$N$353,0),0))),"")</f>
        <v/>
      </c>
      <c r="B354" s="70" t="str">
        <f>IFERROR(IF(IFERROR(MATCH(350,'كشف الحساب'!$N$4:$N$353,0),0)=0,"",INDEX('كشف الحساب'!$B$4:$B$353,IFERROR(MATCH(350,'كشف الحساب'!$N$4:$N$353,0),0))),"")</f>
        <v/>
      </c>
      <c r="C354" s="71" t="str">
        <f>IFERROR(IF(IFERROR(MATCH(350,'كشف الحساب'!$N$4:$N$353,0),0)=0,"",INDEX('كشف الحساب'!$C$4:$C$353,IFERROR(MATCH(350,'كشف الحساب'!$N$4:$N$353,0),0))),"")</f>
        <v/>
      </c>
      <c r="D354" s="72" t="str">
        <f>IFERROR(IF(IFERROR(MATCH(350,'كشف الحساب'!$N$4:$N$353,0),0)=0,"",INDEX('كشف الحساب'!$D$4:$D$353,IFERROR(MATCH(350,'كشف الحساب'!$N$4:$N$353,0),0))),"")</f>
        <v/>
      </c>
      <c r="E354" s="73" t="str">
        <f>IFERROR(IF(IFERROR(MATCH(350,'كشف الحساب'!$N$4:$N$353,0),0)=0,"",INDEX('كشف الحساب'!$E$4:$E$353,IFERROR(MATCH(350,'كشف الحساب'!$N$4:$N$353,0),0))),"")</f>
        <v/>
      </c>
      <c r="F354" s="70" t="str">
        <f>IFERROR(IF(IFERROR(MATCH(350,'كشف الحساب'!$N$4:$N$353,0),0)=0,"",INDEX('كشف الحساب'!$F$4:$F$353,IFERROR(MATCH(350,'كشف الحساب'!$N$4:$N$353,0),0))),"")</f>
        <v/>
      </c>
      <c r="G354" s="70" t="str">
        <f>IFERROR(IF(IFERROR(MATCH(350,'كشف الحساب'!$N$4:$N$353,0),0)=0,"",INDEX('كشف الحساب'!$G$4:$G$353,IFERROR(MATCH(350,'كشف الحساب'!$N$4:$N$353,0),0))),"")</f>
        <v/>
      </c>
      <c r="H354" s="70" t="str">
        <f>IFERROR(IF(IFERROR(MATCH(350,'كشف الحساب'!$N$4:$N$353,0),0)=0,"",INDEX('كشف الحساب'!$H$4:$H$353,IFERROR(MATCH(350,'كشف الحساب'!$N$4:$N$353,0),0))),"")</f>
        <v/>
      </c>
      <c r="I354" s="70" t="str">
        <f>IFERROR(IF(IFERROR(MATCH(350,'كشف الحساب'!$N$4:$N$353,0),0)=0,"",INDEX('كشف الحساب'!$I$4:$I$353,IFERROR(MATCH(350,'كشف الحساب'!$N$4:$N$353,0),0))),"")</f>
        <v/>
      </c>
      <c r="J354" s="74" t="str">
        <f>IFERROR(IF(IFERROR(MATCH(350,'كشف الحساب'!$N$4:$N$353,0),0)=0,"",INDEX('كشف الحساب'!$J$4:$J$353,IFERROR(MATCH(350,'كشف الحساب'!$N$4:$N$353,0),0))),"")</f>
        <v/>
      </c>
      <c r="K354" s="70" t="str">
        <f>IFERROR(IF(IFERROR(MATCH(350,'كشف الحساب'!$N$4:$N$353,0),0)=0,"",INDEX('كشف الحساب'!$K$4:$K$353,IFERROR(MATCH(350,'كشف الحساب'!$N$4:$N$353,0),0))),"")</f>
        <v/>
      </c>
    </row>
    <row r="355" spans="1:11" ht="21.75" customHeight="1" x14ac:dyDescent="0.25">
      <c r="A355" s="175" t="s">
        <v>265</v>
      </c>
      <c r="B355" s="161"/>
      <c r="C355" s="161"/>
      <c r="D355" s="75">
        <f>SUM(D5:D354)</f>
        <v>1364.45</v>
      </c>
      <c r="E355" s="75">
        <f>SUM(E5:E354)</f>
        <v>602.5</v>
      </c>
      <c r="F355" s="176">
        <f>COUNTIF(H5:H354,"معلق")</f>
        <v>0</v>
      </c>
      <c r="G355" s="161"/>
      <c r="H355" s="161"/>
      <c r="I355" s="76"/>
      <c r="J355" s="75">
        <f>E355-D355</f>
        <v>-761.95</v>
      </c>
      <c r="K355" s="76"/>
    </row>
    <row r="356" spans="1:11" ht="15.75" customHeight="1" x14ac:dyDescent="0.25">
      <c r="A356" s="77"/>
      <c r="B356" s="77"/>
      <c r="C356" s="77"/>
      <c r="D356" s="47" t="s">
        <v>216</v>
      </c>
      <c r="E356" s="48" t="s">
        <v>266</v>
      </c>
      <c r="F356" s="49" t="s">
        <v>218</v>
      </c>
      <c r="G356" s="77"/>
      <c r="H356" s="77"/>
      <c r="I356" s="77"/>
      <c r="J356" s="50" t="s">
        <v>267</v>
      </c>
      <c r="K356" s="77"/>
    </row>
  </sheetData>
  <mergeCells count="7">
    <mergeCell ref="A1:K1"/>
    <mergeCell ref="A2:B2"/>
    <mergeCell ref="D2:E2"/>
    <mergeCell ref="A355:C355"/>
    <mergeCell ref="F355:H355"/>
    <mergeCell ref="G2:K2"/>
    <mergeCell ref="A3:C3"/>
  </mergeCells>
  <conditionalFormatting sqref="J5:J3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79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9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81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81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0">
        <f>SUM(E5:E107)</f>
        <v>0</v>
      </c>
      <c r="F108" s="161"/>
      <c r="G108" s="162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2026-10-05T09:32:42Z</dcterms:modified>
  <dc:language>en-US</dc:language>
</cp:coreProperties>
</file>