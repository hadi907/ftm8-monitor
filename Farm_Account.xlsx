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6546A8B5-17A7-4C94-9746-715417BE2FDB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6" i="2" l="1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<sst xmlns="http://schemas.openxmlformats.org/spreadsheetml/2006/main" count="718" uniqueCount="320">
  <si>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</si>
  <si>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</si>
  <si>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</si>
  <si>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</si>
  <si>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</si>
  <si>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</si>
  <si>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</si>
  <si>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</si>
  <si>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</si>
  <si>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</si>
  <si>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</si>
  <si>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</si>
  <si>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</si>
  <si>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</si>
  <si>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</si>
  <si>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</si>
  <si>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</si>
  <si>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</si>
  <si>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</si>
  <si>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</si>
  <si>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</si>
  <si>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</si>
  <si>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</si>
  <si>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</si>
  <si>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</si>
  <si>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</si>
  <si>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</si>
  <si>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</si>
  <si>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</si>
  <si>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</si>
  <si>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</si>
  <si>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</si>
  <si>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</si>
  <si>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</si>
  <si>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</si>
  <si>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</si>
  <si>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</si>
  <si>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</si>
  <si>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</si>
  <si>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</si>
  <si>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</si>
  <si>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</si>
  <si>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</si>
  <si>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</si>
  <si>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</si>
  <si>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</si>
  <si>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</si>
  <si>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</si>
  <si>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</si>
  <si>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</si>
  <si>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</si>
  <si>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</si>
  <si>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</si>
  <si>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</si>
  <si>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</si>
  <si>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</si>
  <si>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</si>
  <si>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</si>
  <si>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</si>
  <si>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</si>
  <si>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</si>
  <si>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</si>
  <si>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</si>
  <si>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</si>
  <si>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</si>
  <si>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</si>
  <si>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</si>
  <si>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</si>
  <si>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</si>
  <si>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</si>
  <si>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</si>
  <si>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</si>
  <si>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</si>
  <si>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</si>
  <si>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</si>
  <si>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</si>
  <si>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</si>
  <si>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</si>
  <si>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</si>
  <si>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</si>
  <si>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</si>
  <si>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</si>
  <si>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</si>
  <si>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</si>
  <si>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</si>
  <si>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</si>
  <si>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</si>
  <si>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</si>
  <si>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</si>
  <si>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</si>
  <si>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</si>
  <si>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</si>
  <si>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</si>
  <si>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</si>
  <si>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</si>
  <si>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</si>
  <si>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</si>
  <si>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</si>
  <si>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</si>
  <si>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</si>
  <si>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</si>
  <si>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</si>
  <si>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</si>
  <si>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</si>
  <si>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</si>
  <si>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</si>
  <si>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</si>
  <si>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</si>
  <si>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</si>
  <si>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</si>
  <si>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</si>
  <si>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</si>
  <si>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</si>
  <si>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</si>
  <si>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</si>
  <si>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</si>
  <si>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</si>
  <si>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</si>
  <si>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</si>
  <si>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</si>
  <si>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</si>
  <si>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</si>
  <si>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</si>
  <si>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</si>
  <si>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</si>
  <si>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</si>
  <si>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</si>
  <si>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</si>
  <si>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</si>
  <si>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</si>
  <si>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</si>
  <si>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</si>
  <si>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</si>
  <si>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</si>
  <si>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</si>
  <si>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</si>
  <si>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</si>
  <si>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</si>
  <si>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</si>
  <si>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</si>
  <si>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</si>
  <si>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</si>
  <si>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</si>
  <si>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</si>
  <si>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</si>
  <si>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</si>
  <si>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</si>
  <si>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</si>
  <si>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</si>
  <si>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</si>
  <si>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</si>
  <si>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</si>
  <si>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</si>
  <si>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</si>
  <si>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</si>
  <si>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</si>
  <si>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</si>
  <si>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</si>
  <si>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</si>
  <si>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</si>
  <si>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</si>
  <si>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</si>
  <si>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</si>
  <si>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</si>
  <si>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</si>
  <si>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</si>
  <si>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</si>
  <si>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</si>
  <si>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</si>
  <si>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</si>
  <si>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</si>
  <si>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</si>
  <si>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</si>
  <si>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</si>
  <si>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</si>
  <si>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</si>
  <si>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</si>
  <si>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</si>
  <si>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</si>
  <si>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</si>
  <si>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</si>
  <si>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</si>
  <si>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</si>
  <si>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</si>
  <si>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</si>
  <si>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</si>
  <si>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</si>
  <si>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</si>
  <si>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</si>
  <si>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</si>
  <si>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</si>
  <si>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</si>
  <si>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</si>
  <si>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</si>
  <si>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</si>
  <si>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</si>
  <si>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</si>
  <si>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</si>
  <si>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</si>
  <si>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</si>
  <si>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</si>
  <si>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</si>
  <si>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</si>
  <si>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</si>
  <si>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</si>
  <si>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</si>
  <si>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</si>
  <si>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</si>
  <si>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</si>
  <si>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</si>
  <si>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</si>
  <si>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</si>
  <si>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</si>
  <si>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</si>
  <si>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</si>
  <si>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</si>
  <si>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</si>
  <si>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</si>
  <si>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</si>
  <si>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</si>
  <si>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</si>
  <si>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</si>
  <si>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</si>
  <si>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</si>
  <si>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</si>
  <si>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</si>
  <si>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</si>
  <si>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</si>
  <si>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</si>
  <si>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</si>
  <si>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</si>
  <si>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</si>
  <si>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</si>
  <si>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</si>
  <si>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</si>
  <si>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</si>
  <si>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</si>
  <si>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</si>
  <si>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</si>
  <si>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</si>
  <si>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</si>
  <si>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</si>
  <si>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</si>
  <si>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</si>
  <si>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</si>
  <si>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</si>
  <si>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</si>
  <si>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</si>
  <si>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</si>
  <si>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</si>
  <si>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</si>
  <si>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</si>
  <si>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</si>
  <si>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</si>
  <si>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</si>
  <si>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</si>
  <si>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</si>
  <si>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</si>
  <si>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</si>
  <si>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</si>
  <si>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</si>
  <si>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</si>
  <si>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</si>
  <si>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</si>
  <si>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</si>
  <si>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</si>
  <si>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</si>
  <si>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</si>
  <si>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</si>
  <si>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</si>
  <si>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</si>
  <si>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</si>
  <si>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</si>
  <si>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</si>
  <si>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</si>
  <si>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</si>
  <si>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</si>
  <si>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</si>
  <si>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</si>
  <si>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</si>
  <si>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</si>
  <si>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</si>
  <si>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</si>
  <si>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</si>
  <si>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</si>
  <si>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</si>
  <si>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</si>
  <si>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</si>
  <si>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</si>
  <si>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</si>
  <si>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</si>
  <si>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</si>
  <si>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</si>
  <si>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</si>
  <si>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</si>
  <si>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</si>
  <si>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</si>
  <si>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</si>
  <si>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</si>
  <si>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</si>
  <si>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</si>
  <si>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</si>
  <si>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</si>
  <si>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</si>
  <si>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</si>
  <si>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</si>
  <si>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</si>
  <si>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</si>
  <si>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</si>
  <si>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</si>
  <si>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</si>
  <si>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</si>
  <si>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</si>
  <si>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</si>
  <si>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</si>
  <si>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</si>
  <si>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</si>
  <si>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</si>
  <si>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</si>
  <si>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الكاش الفعلي 16.750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</si>
</sst>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3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1" t="s">
        <v>0</v>
      </c>
      <c r="B1" s="148"/>
      <c r="C1" s="148"/>
      <c r="D1" s="148"/>
      <c r="E1" s="148"/>
      <c r="F1" s="149"/>
    </row>
    <row r="2" spans="1:6" ht="30" customHeight="1" x14ac:dyDescent="0.25">
      <c r="A2" s="150" t="s">
        <v>1</v>
      </c>
      <c r="B2" s="148"/>
      <c r="C2" s="148"/>
      <c r="D2" s="148"/>
      <c r="E2" s="149"/>
      <c r="F2" s="119">
        <f>F206</f>
        <v>16.75</v>
      </c>
    </row>
    <row r="3" spans="1:6" ht="6" customHeight="1" x14ac:dyDescent="0.25">
      <c r="A3" s="153"/>
      <c r="B3" s="148"/>
      <c r="C3" s="148"/>
      <c r="D3" s="148"/>
      <c r="E3" s="148"/>
      <c r="F3" s="149"/>
    </row>
    <row r="4" spans="1:6" ht="27.95" customHeight="1" x14ac:dyDescent="0.25">
      <c r="A4" s="152" t="s">
        <v>2</v>
      </c>
      <c r="B4" s="148"/>
      <c r="C4" s="148"/>
      <c r="D4" s="148"/>
      <c r="E4" s="148"/>
      <c r="F4" s="14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الكاش الفعلي 16.750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107.375</v>
      </c>
      <c r="F112" s="125">
        <f t="shared" si="3"/>
        <v>16.75</v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708.1</v>
      </c>
      <c r="E206" s="129">
        <f>SUM(E6:E205)</f>
        <v>691.34999999999991</v>
      </c>
      <c r="F206" s="130">
        <f>IFERROR(LOOKUP(2,1/($F$6:$F$205&lt;&gt;""),$F$6:$F$205),0)</f>
        <v>16.75</v>
      </c>
    </row>
    <row r="208" spans="1:6" ht="18" customHeight="1" x14ac:dyDescent="0.25">
      <c r="A208" s="147" t="s">
        <v>10</v>
      </c>
      <c r="B208" s="148"/>
      <c r="C208" s="148"/>
      <c r="D208" s="148"/>
      <c r="E208" s="148"/>
      <c r="F208" s="14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16" activePane="bottomLeft" state="frozen"/>
      <selection pane="bottomLeft" activeCell="C128" sqref="C12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7" ht="24" customHeight="1" x14ac:dyDescent="0.25">
      <c r="A2" s="157" t="s">
        <v>17</v>
      </c>
      <c r="B2" s="155"/>
      <c r="C2" s="155"/>
      <c r="D2" s="1">
        <v>0</v>
      </c>
      <c r="E2" s="158" t="s">
        <v>18</v>
      </c>
      <c r="F2" s="159"/>
      <c r="G2" s="159"/>
      <c r="H2" s="159"/>
      <c r="I2" s="159"/>
      <c r="J2" s="159"/>
      <c r="K2" s="15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107.375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16.75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1"/>
      <c r="B204" s="155"/>
      <c r="C204" s="156"/>
      <c r="D204" s="38"/>
      <c r="E204" s="39"/>
      <c r="F204" s="154"/>
      <c r="G204" s="155"/>
      <c r="H204" s="156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1713.85</v>
      </c>
      <c r="E205" s="46">
        <f>SUM(E4:E203)</f>
        <v>708.1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2" t="s">
        <v>220</v>
      </c>
      <c r="B1" s="155"/>
      <c r="C1" s="15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4" t="s">
        <v>236</v>
      </c>
      <c r="B1" s="155"/>
    </row>
    <row r="2" spans="1:2" ht="21.75" customHeight="1" x14ac:dyDescent="0.25">
      <c r="A2" s="163" t="s">
        <v>237</v>
      </c>
      <c r="B2" s="15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3" t="s">
        <v>242</v>
      </c>
      <c r="B5" s="15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3" t="s">
        <v>251</v>
      </c>
      <c r="B11" s="15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24" customHeight="1" x14ac:dyDescent="0.25">
      <c r="A2" s="165"/>
      <c r="B2" s="155"/>
      <c r="C2" s="56" t="s">
        <v>318</v>
      </c>
      <c r="D2" s="165">
        <v>2026</v>
      </c>
      <c r="E2" s="155"/>
      <c r="F2" s="56" t="s">
        <v>257</v>
      </c>
      <c r="G2" s="168" t="s">
        <v>258</v>
      </c>
      <c r="H2" s="159"/>
      <c r="I2" s="159"/>
      <c r="J2" s="159"/>
      <c r="K2" s="159"/>
    </row>
    <row r="3" spans="1:11" ht="19.5" customHeight="1" x14ac:dyDescent="0.25">
      <c r="A3" s="169" t="s">
        <v>259</v>
      </c>
      <c r="B3" s="155"/>
      <c r="C3" s="15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الكاش الفعلي 16.750</v>
      </c>
      <c r="D31" s="38">
        <f>IFERROR(IF(IFERROR(MATCH(27,'كشف الحساب'!$N$4:$N$203,0),0)=0,"",INDEX('كشف الحساب'!$D$4:$D$203,IFERROR(MATCH(27,'كشف الحساب'!$N$4:$N$203,0),0))),"")</f>
        <v>107.375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16.75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 t="str">
        <f>IFERROR(IF(IFERROR(MATCH(33,'كشف الحساب'!$N$4:$N$203,0),0)=0,"",INDEX('كشف الحساب'!$A$4:$A$203,IFERROR(MATCH(33,'كشف الحساب'!$N$4:$N$203,0),0))),"")</f>
        <v/>
      </c>
      <c r="B37" s="64" t="str">
        <f>IFERROR(IF(IFERROR(MATCH(33,'كشف الحساب'!$N$4:$N$203,0),0)=0,"",INDEX('كشف الحساب'!$B$4:$B$203,IFERROR(MATCH(33,'كشف الحساب'!$N$4:$N$203,0),0))),"")</f>
        <v/>
      </c>
      <c r="C37" s="65" t="str">
        <f>IFERROR(IF(IFERROR(MATCH(33,'كشف الحساب'!$N$4:$N$203,0),0)=0,"",INDEX('كشف الحساب'!$C$4:$C$203,IFERROR(MATCH(33,'كشف الحساب'!$N$4:$N$203,0),0))),"")</f>
        <v/>
      </c>
      <c r="D37" s="66" t="str">
        <f>IFERROR(IF(IFERROR(MATCH(33,'كشف الحساب'!$N$4:$N$203,0),0)=0,"",INDEX('كشف الحساب'!$D$4:$D$203,IFERROR(MATCH(33,'كشف الحساب'!$N$4:$N$203,0),0))),"")</f>
        <v/>
      </c>
      <c r="E37" s="67" t="str">
        <f>IFERROR(IF(IFERROR(MATCH(33,'كشف الحساب'!$N$4:$N$203,0),0)=0,"",INDEX('كشف الحساب'!$E$4:$E$203,IFERROR(MATCH(33,'كشف الحساب'!$N$4:$N$203,0),0))),"")</f>
        <v/>
      </c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6" t="s">
        <v>266</v>
      </c>
      <c r="B155" s="155"/>
      <c r="C155" s="155"/>
      <c r="D155" s="75">
        <f>SUM(D5:D154)</f>
        <v>159.30000000000001</v>
      </c>
      <c r="E155" s="75">
        <f>SUM(E5:E154)</f>
        <v>151</v>
      </c>
      <c r="F155" s="167">
        <f>COUNTIF(H5:H154,"معلق")</f>
        <v>0</v>
      </c>
      <c r="G155" s="155"/>
      <c r="H155" s="155"/>
      <c r="I155" s="76"/>
      <c r="J155" s="75">
        <f>E155-D155</f>
        <v>-8.3000000000000114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0" t="s">
        <v>269</v>
      </c>
      <c r="B1" s="155"/>
      <c r="C1" s="155"/>
      <c r="D1" s="155"/>
      <c r="E1" s="155"/>
      <c r="F1" s="155"/>
      <c r="G1" s="155"/>
    </row>
    <row r="2" spans="1:7" ht="24" customHeight="1" x14ac:dyDescent="0.25">
      <c r="A2" s="165" t="s">
        <v>270</v>
      </c>
      <c r="B2" s="155"/>
      <c r="C2" s="56" t="s">
        <v>256</v>
      </c>
      <c r="D2" s="165" t="s">
        <v>271</v>
      </c>
      <c r="E2" s="155"/>
      <c r="F2" s="56">
        <v>2026</v>
      </c>
    </row>
    <row r="3" spans="1:7" ht="21.75" customHeight="1" x14ac:dyDescent="0.25">
      <c r="A3" s="169" t="s">
        <v>272</v>
      </c>
      <c r="B3" s="155"/>
      <c r="C3" s="57">
        <f>المحفظة!$D$2</f>
        <v>0</v>
      </c>
      <c r="D3" s="169" t="s">
        <v>273</v>
      </c>
      <c r="E3" s="155"/>
      <c r="F3" s="78">
        <f>المحفظة!$C$3</f>
        <v>0</v>
      </c>
    </row>
    <row r="4" spans="1:7" ht="21.75" customHeight="1" x14ac:dyDescent="0.25">
      <c r="A4" s="170" t="s">
        <v>274</v>
      </c>
      <c r="B4" s="155"/>
      <c r="C4" s="155"/>
      <c r="D4" s="155"/>
      <c r="E4" s="155"/>
      <c r="F4" s="155"/>
      <c r="G4" s="15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0" t="s">
        <v>267</v>
      </c>
      <c r="B55" s="155"/>
      <c r="C55" s="155"/>
      <c r="D55" s="15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2" t="s">
        <v>276</v>
      </c>
      <c r="B56" s="155"/>
      <c r="C56" s="155"/>
      <c r="D56" s="155"/>
      <c r="E56" s="155"/>
      <c r="F56" s="155"/>
      <c r="G56" s="15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2" t="s">
        <v>277</v>
      </c>
      <c r="B107" s="155"/>
      <c r="C107" s="15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6" t="s">
        <v>278</v>
      </c>
      <c r="B108" s="155"/>
      <c r="C108" s="155"/>
      <c r="D108" s="75">
        <f>E55-D107</f>
        <v>0</v>
      </c>
      <c r="E108" s="171">
        <f>SUM(E5:E107)</f>
        <v>0</v>
      </c>
      <c r="F108" s="155"/>
      <c r="G108" s="15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2026-07-26T20:37:18Z</dcterms:modified>
  <dc:language>en-US</dc:language>
</cp:coreProperties>
</file>