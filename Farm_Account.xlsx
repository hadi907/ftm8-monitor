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109A310B-722F-42E6-AE76-77D7BEE8C8C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E227" i="1" s="1"/>
  <c r="P136" i="2"/>
  <c r="O136" i="2"/>
  <c r="M136" i="2"/>
  <c r="L136" i="2"/>
  <c r="Q135" i="2"/>
  <c r="P135" i="2"/>
  <c r="O135" i="2"/>
  <c r="M135" i="2"/>
  <c r="L135" i="2"/>
  <c r="Q134" i="2"/>
  <c r="E308" i="1" s="1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E244" i="1" s="1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C270" i="1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A7" i="1" l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206" i="1" l="1"/>
  <c r="H5" i="5"/>
  <c r="F34" i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s="1"/>
</calcChain>
</file>

<file path=xl/sharedStrings.xml><?xml version="1.0" encoding="utf-8"?>
<sst xmlns="http://schemas.openxmlformats.org/spreadsheetml/2006/main" count="1230" uniqueCount="519">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</sst>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50" activePane="bottomLeft" state="frozen"/>
      <selection pane="bottomLeft" activeCell="D257" sqref="D25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65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/>
      <c r="B256" s="36"/>
      <c r="C256" s="37"/>
      <c r="D256" s="38"/>
      <c r="E256" s="39"/>
      <c r="F256" s="136"/>
      <c r="G256" s="40"/>
      <c r="H256" s="41"/>
      <c r="I256" s="42"/>
      <c r="J256" s="43" t="str">
        <f>IF(AND(D256="",E256="",A256="",B256="",C256=""),"", IFERROR(IF(J255="",D2,J255),D2)+IF(OR(E256="",H256="معلق"),0,E256)-IF(OR(G256="أبو اسحاق",G256="أبو آدم",G256="أبو اسحاق ",G256="أبو آدم "),0,IF(D256="",0,D256)))</f>
        <v/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 t="str">
        <f>IF(OR($A256="",$F256="أحد الشركاء",AND($D256="",$E256="")),"",SUMPRODUCT(($A$4:$A256&lt;&gt;"")*($F$4:$F256&lt;&gt;"أحد الشركاء")*((($D$4:$D256&lt;&gt;"")+($E$4:$E256&lt;&gt;""))&gt;0)))</f>
        <v/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/>
      <c r="B257" s="26"/>
      <c r="C257" s="27"/>
      <c r="D257" s="28"/>
      <c r="E257" s="29"/>
      <c r="F257" s="30"/>
      <c r="G257" s="31"/>
      <c r="H257" s="32"/>
      <c r="I257" s="33"/>
      <c r="J257" s="34" t="str">
        <f>IF(AND(D257="",E257="",A257="",B257="",C257=""),"", IFERROR(IF(J256="",D2,J256),D2)+IF(OR(E257="",H257="معلق"),0,E257)-IF(OR(G257="أبو اسحاق",G257="أبو آدم",G257="أبو اسحاق ",G257="أبو آدم "),0,IF(D257="",0,D257)))</f>
        <v/>
      </c>
      <c r="K257" s="35"/>
      <c r="L257" t="str">
        <f>IF(E256&gt;0,COUNTIF($E$4:E256,"&gt;0"),"")</f>
        <v/>
      </c>
      <c r="M257" t="str">
        <f>IF(AND(D256&gt;0,G256="المحفظة"),COUNTIFS($D$4:D256,"&gt;"&amp;0,$G$4:G256,"المحفظة"),"")</f>
        <v/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 t="str">
        <f>IF(OR($A257="",$F257="أحد الشركاء",AND($D257="",$E257="")),"",SUMPRODUCT(($A$4:$A257&lt;&gt;"")*($F$4:$F257&lt;&gt;"أحد الشركاء")*((($D$4:$D257&lt;&gt;"")+($E$4:$E257&lt;&gt;""))&gt;0)))</f>
        <v/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/>
      <c r="B258" s="36"/>
      <c r="C258" s="37"/>
      <c r="D258" s="38"/>
      <c r="E258" s="39"/>
      <c r="F258" s="136"/>
      <c r="G258" s="40"/>
      <c r="H258" s="41"/>
      <c r="I258" s="42"/>
      <c r="J258" s="43" t="str">
        <f>IF(AND(D258="",E258="",A258="",B258="",C258=""),"", IFERROR(IF(J257="",D2,J257),D2)+IF(OR(E258="",H258="معلق"),0,E258)-IF(OR(G258="أبو اسحاق",G258="أبو آدم",G258="أبو اسحاق ",G258="أبو آدم "),0,IF(D258="",0,D258)))</f>
        <v/>
      </c>
      <c r="K258" s="44"/>
      <c r="L258" t="str">
        <f>IF(E257&gt;0,COUNTIF($E$4:E257,"&gt;0"),"")</f>
        <v/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 t="str">
        <f>IF(OR($A258="",$F258="أحد الشركاء",AND($D258="",$E258="")),"",SUMPRODUCT(($A$4:$A258&lt;&gt;"")*($F$4:$F258&lt;&gt;"أحد الشركاء")*((($D$4:$D258&lt;&gt;"")+($E$4:$E258&lt;&gt;""))&gt;0)))</f>
        <v/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/>
      <c r="B259" s="26"/>
      <c r="C259" s="27"/>
      <c r="D259" s="28"/>
      <c r="E259" s="29"/>
      <c r="F259" s="30"/>
      <c r="G259" s="31"/>
      <c r="H259" s="32"/>
      <c r="I259" s="33"/>
      <c r="J259" s="34" t="str">
        <f>IF(AND(D259="",E259="",A259="",B259="",C259=""),"", IFERROR(IF(J258="",D2,J258),D2)+IF(OR(E259="",H259="معلق"),0,E259)-IF(OR(G259="أبو اسحاق",G259="أبو آدم",G259="أبو اسحاق ",G259="أبو آدم "),0,IF(D259="",0,D259)))</f>
        <v/>
      </c>
      <c r="K259" s="35"/>
      <c r="L259" t="str">
        <f>IF(E258&gt;0,COUNTIF($E$4:E258,"&gt;0"),"")</f>
        <v/>
      </c>
      <c r="M259" t="str">
        <f>IF(AND(D258&gt;0,G258="المحفظة"),COUNTIFS($D$4:D258,"&gt;"&amp;0,$G$4:G258,"المحفظة"),"")</f>
        <v/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 t="str">
        <f>IF(OR($A259="",$F259="أحد الشركاء",AND($D259="",$E259="")),"",SUMPRODUCT(($A$4:$A259&lt;&gt;"")*($F$4:$F259&lt;&gt;"أحد الشركاء")*((($D$4:$D259&lt;&gt;"")+($E$4:$E259&lt;&gt;""))&gt;0)))</f>
        <v/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/>
      <c r="B260" s="36"/>
      <c r="C260" s="37"/>
      <c r="D260" s="38"/>
      <c r="E260" s="39"/>
      <c r="F260" s="136"/>
      <c r="G260" s="40"/>
      <c r="H260" s="41"/>
      <c r="I260" s="42"/>
      <c r="J260" s="43" t="str">
        <f>IF(AND(D260="",E260="",A260="",B260="",C260=""),"", IFERROR(IF(J259="",D2,J259),D2)+IF(OR(E260="",H260="معلق"),0,E260)-IF(OR(G260="أبو اسحاق",G260="أبو آدم",G260="أبو اسحاق ",G260="أبو آدم "),0,IF(D260="",0,D260)))</f>
        <v/>
      </c>
      <c r="K260" s="44"/>
      <c r="L260" t="str">
        <f>IF(E259&gt;0,COUNTIF($E$4:E259,"&gt;0"),"")</f>
        <v/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 t="str">
        <f>IF(OR($A260="",$F260="أحد الشركاء",AND($D260="",$E260="")),"",SUMPRODUCT(($A$4:$A260&lt;&gt;"")*($F$4:$F260&lt;&gt;"أحد الشركاء")*((($D$4:$D260&lt;&gt;"")+($E$4:$E260&lt;&gt;""))&gt;0)))</f>
        <v/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/>
      <c r="B261" s="26"/>
      <c r="C261" s="27"/>
      <c r="D261" s="28"/>
      <c r="E261" s="29"/>
      <c r="F261" s="30"/>
      <c r="G261" s="31"/>
      <c r="H261" s="32"/>
      <c r="I261" s="33"/>
      <c r="J261" s="34" t="str">
        <f>IF(AND(D261="",E261="",A261="",B261="",C261=""),"", IFERROR(IF(J260="",D2,J260),D2)+IF(OR(E261="",H261="معلق"),0,E261)-IF(OR(G261="أبو اسحاق",G261="أبو آدم",G261="أبو اسحاق ",G261="أبو آدم "),0,IF(D261="",0,D261)))</f>
        <v/>
      </c>
      <c r="K261" s="35"/>
      <c r="L261" t="str">
        <f>IF(E260&gt;0,COUNTIF($E$4:E260,"&gt;0"),"")</f>
        <v/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 t="str">
        <f>IF(OR($A261="",$F261="أحد الشركاء",AND($D261="",$E261="")),"",SUMPRODUCT(($A$4:$A261&lt;&gt;"")*($F$4:$F261&lt;&gt;"أحد الشركاء")*((($D$4:$D261&lt;&gt;"")+($E$4:$E261&lt;&gt;""))&gt;0)))</f>
        <v/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/>
      <c r="B262" s="36"/>
      <c r="C262" s="37"/>
      <c r="D262" s="38"/>
      <c r="E262" s="39"/>
      <c r="F262" s="136"/>
      <c r="G262" s="40"/>
      <c r="H262" s="41"/>
      <c r="I262" s="42"/>
      <c r="J262" s="43" t="str">
        <f>IF(AND(D262="",E262="",A262="",B262="",C262=""),"", IFERROR(IF(J261="",D2,J261),D2)+IF(OR(E262="",H262="معلق"),0,E262)-IF(OR(G262="أبو اسحاق",G262="أبو آدم",G262="أبو اسحاق ",G262="أبو آدم "),0,IF(D262="",0,D262)))</f>
        <v/>
      </c>
      <c r="K262" s="44"/>
      <c r="L262" t="str">
        <f>IF(E261&gt;0,COUNTIF($E$4:E261,"&gt;0"),"")</f>
        <v/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 t="str">
        <f>IF(OR($A262="",$F262="أحد الشركاء",AND($D262="",$E262="")),"",SUMPRODUCT(($A$4:$A262&lt;&gt;"")*($F$4:$F262&lt;&gt;"أحد الشركاء")*((($D$4:$D262&lt;&gt;"")+($E$4:$E262&lt;&gt;""))&gt;0)))</f>
        <v/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IFERROR(IF(J262="",D2,J262),D2)+IF(OR(E263="",H263="معلق"),0,E263)-IF(OR(G263="أبو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 t="str">
        <f>IF(AND(D262&gt;0,G262="المحفظة"),COUNTIFS($D$4:D262,"&gt;"&amp;0,$G$4:G262,"المحفظة"),"")</f>
        <v/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IFERROR(IF(J263="",D2,J263),D2)+IF(OR(E264="",H264="معلق"),0,E264)-IF(OR(G264="أبو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IFERROR(IF(J264="",D2,J264),D2)+IF(OR(E265="",H265="معلق"),0,E265)-IF(OR(G265="أبو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1316.2950000000001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4443.8950000000004</v>
      </c>
      <c r="E355" s="46">
        <f ca="1">SUMPRODUCT(SUBTOTAL(9,OFFSET(E4,ROW(E4:E353)-ROW(E4),0)),--(H4:H353&lt;&gt;"معلق"))</f>
        <v>3978.69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1316.2950000000001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2026-10-05T19:29:42Z</dcterms:modified>
  <dc:language>en-US</dc:language>
</cp:coreProperties>
</file>