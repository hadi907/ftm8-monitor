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A76999E5-8F8D-47D4-B089-0979F972C35E}" xr6:coauthVersionLast="36" xr6:coauthVersionMax="36" xr10:uidLastSave="{00000000-0000-0000-0000-000000000000}"/>
  <bookViews>
    <workbookView xWindow="0" yWindow="0" windowWidth="16380" windowHeight="8190" tabRatio="500" firstSheet="1" activeTab="5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6" l="1"/>
  <c r="D3" i="5"/>
  <c r="J205" i="2"/>
  <c r="F205" i="2"/>
  <c r="E205" i="2"/>
  <c r="D205" i="2"/>
  <c r="O204" i="2"/>
  <c r="N204" i="2"/>
  <c r="M204" i="2"/>
  <c r="L204" i="2"/>
  <c r="J204" i="2"/>
  <c r="O203" i="2"/>
  <c r="N203" i="2"/>
  <c r="M203" i="2"/>
  <c r="L203" i="2"/>
  <c r="J203" i="2"/>
  <c r="O202" i="2"/>
  <c r="N202" i="2"/>
  <c r="M202" i="2"/>
  <c r="L202" i="2"/>
  <c r="J202" i="2"/>
  <c r="O201" i="2"/>
  <c r="N201" i="2"/>
  <c r="M201" i="2"/>
  <c r="L201" i="2"/>
  <c r="J201" i="2"/>
  <c r="O200" i="2"/>
  <c r="N200" i="2"/>
  <c r="M200" i="2"/>
  <c r="L200" i="2"/>
  <c r="J200" i="2"/>
  <c r="O199" i="2"/>
  <c r="N199" i="2"/>
  <c r="M199" i="2"/>
  <c r="L199" i="2"/>
  <c r="J199" i="2"/>
  <c r="O198" i="2"/>
  <c r="N198" i="2"/>
  <c r="M198" i="2"/>
  <c r="L198" i="2"/>
  <c r="J198" i="2"/>
  <c r="O197" i="2"/>
  <c r="N197" i="2"/>
  <c r="M197" i="2"/>
  <c r="L197" i="2"/>
  <c r="J197" i="2"/>
  <c r="O196" i="2"/>
  <c r="N196" i="2"/>
  <c r="M196" i="2"/>
  <c r="L196" i="2"/>
  <c r="J196" i="2"/>
  <c r="O195" i="2"/>
  <c r="N195" i="2"/>
  <c r="M195" i="2"/>
  <c r="L195" i="2"/>
  <c r="J195" i="2"/>
  <c r="O194" i="2"/>
  <c r="N194" i="2"/>
  <c r="M194" i="2"/>
  <c r="L194" i="2"/>
  <c r="J194" i="2"/>
  <c r="O193" i="2"/>
  <c r="N193" i="2"/>
  <c r="M193" i="2"/>
  <c r="L193" i="2"/>
  <c r="J193" i="2"/>
  <c r="O192" i="2"/>
  <c r="N192" i="2"/>
  <c r="M192" i="2"/>
  <c r="L192" i="2"/>
  <c r="J192" i="2"/>
  <c r="O191" i="2"/>
  <c r="N191" i="2"/>
  <c r="M191" i="2"/>
  <c r="L191" i="2"/>
  <c r="J191" i="2"/>
  <c r="O190" i="2"/>
  <c r="N190" i="2"/>
  <c r="M190" i="2"/>
  <c r="L190" i="2"/>
  <c r="J190" i="2"/>
  <c r="O189" i="2"/>
  <c r="N189" i="2"/>
  <c r="M189" i="2"/>
  <c r="L189" i="2"/>
  <c r="J189" i="2"/>
  <c r="O188" i="2"/>
  <c r="N188" i="2"/>
  <c r="M188" i="2"/>
  <c r="L188" i="2"/>
  <c r="J188" i="2"/>
  <c r="O187" i="2"/>
  <c r="N187" i="2"/>
  <c r="M187" i="2"/>
  <c r="L187" i="2"/>
  <c r="J187" i="2"/>
  <c r="O186" i="2"/>
  <c r="N186" i="2"/>
  <c r="M186" i="2"/>
  <c r="L186" i="2"/>
  <c r="J186" i="2"/>
  <c r="O185" i="2"/>
  <c r="N185" i="2"/>
  <c r="M185" i="2"/>
  <c r="L185" i="2"/>
  <c r="J185" i="2"/>
  <c r="O184" i="2"/>
  <c r="N184" i="2"/>
  <c r="M184" i="2"/>
  <c r="L184" i="2"/>
  <c r="J184" i="2"/>
  <c r="O183" i="2"/>
  <c r="N183" i="2"/>
  <c r="M183" i="2"/>
  <c r="L183" i="2"/>
  <c r="J183" i="2"/>
  <c r="O182" i="2"/>
  <c r="N182" i="2"/>
  <c r="M182" i="2"/>
  <c r="L182" i="2"/>
  <c r="J182" i="2"/>
  <c r="O181" i="2"/>
  <c r="N181" i="2"/>
  <c r="M181" i="2"/>
  <c r="L181" i="2"/>
  <c r="J181" i="2"/>
  <c r="O180" i="2"/>
  <c r="N180" i="2"/>
  <c r="M180" i="2"/>
  <c r="L180" i="2"/>
  <c r="J180" i="2"/>
  <c r="O179" i="2"/>
  <c r="N179" i="2"/>
  <c r="M179" i="2"/>
  <c r="L179" i="2"/>
  <c r="J179" i="2"/>
  <c r="O178" i="2"/>
  <c r="N178" i="2"/>
  <c r="M178" i="2"/>
  <c r="L178" i="2"/>
  <c r="J178" i="2"/>
  <c r="O177" i="2"/>
  <c r="N177" i="2"/>
  <c r="M177" i="2"/>
  <c r="L177" i="2"/>
  <c r="J177" i="2"/>
  <c r="O176" i="2"/>
  <c r="N176" i="2"/>
  <c r="M176" i="2"/>
  <c r="L176" i="2"/>
  <c r="J176" i="2"/>
  <c r="O175" i="2"/>
  <c r="N175" i="2"/>
  <c r="M175" i="2"/>
  <c r="L175" i="2"/>
  <c r="J175" i="2"/>
  <c r="O174" i="2"/>
  <c r="N174" i="2"/>
  <c r="M174" i="2"/>
  <c r="L174" i="2"/>
  <c r="J174" i="2"/>
  <c r="O173" i="2"/>
  <c r="N173" i="2"/>
  <c r="M173" i="2"/>
  <c r="L173" i="2"/>
  <c r="J173" i="2"/>
  <c r="O172" i="2"/>
  <c r="N172" i="2"/>
  <c r="M172" i="2"/>
  <c r="L172" i="2"/>
  <c r="J172" i="2"/>
  <c r="O171" i="2"/>
  <c r="N171" i="2"/>
  <c r="M171" i="2"/>
  <c r="L171" i="2"/>
  <c r="J171" i="2"/>
  <c r="O170" i="2"/>
  <c r="N170" i="2"/>
  <c r="M170" i="2"/>
  <c r="L170" i="2"/>
  <c r="J170" i="2"/>
  <c r="O169" i="2"/>
  <c r="N169" i="2"/>
  <c r="M169" i="2"/>
  <c r="L169" i="2"/>
  <c r="J169" i="2"/>
  <c r="O168" i="2"/>
  <c r="N168" i="2"/>
  <c r="M168" i="2"/>
  <c r="L168" i="2"/>
  <c r="J168" i="2"/>
  <c r="O167" i="2"/>
  <c r="N167" i="2"/>
  <c r="M167" i="2"/>
  <c r="L167" i="2"/>
  <c r="J167" i="2"/>
  <c r="O166" i="2"/>
  <c r="N166" i="2"/>
  <c r="M166" i="2"/>
  <c r="L166" i="2"/>
  <c r="J166" i="2"/>
  <c r="O165" i="2"/>
  <c r="N165" i="2"/>
  <c r="M165" i="2"/>
  <c r="L165" i="2"/>
  <c r="J165" i="2"/>
  <c r="O164" i="2"/>
  <c r="N164" i="2"/>
  <c r="M164" i="2"/>
  <c r="L164" i="2"/>
  <c r="J164" i="2"/>
  <c r="O163" i="2"/>
  <c r="N163" i="2"/>
  <c r="M163" i="2"/>
  <c r="L163" i="2"/>
  <c r="J163" i="2"/>
  <c r="O162" i="2"/>
  <c r="N162" i="2"/>
  <c r="M162" i="2"/>
  <c r="L162" i="2"/>
  <c r="J162" i="2"/>
  <c r="O161" i="2"/>
  <c r="N161" i="2"/>
  <c r="M161" i="2"/>
  <c r="L161" i="2"/>
  <c r="J161" i="2"/>
  <c r="O160" i="2"/>
  <c r="N160" i="2"/>
  <c r="M160" i="2"/>
  <c r="L160" i="2"/>
  <c r="J160" i="2"/>
  <c r="O159" i="2"/>
  <c r="N159" i="2"/>
  <c r="M159" i="2"/>
  <c r="L159" i="2"/>
  <c r="J159" i="2"/>
  <c r="O158" i="2"/>
  <c r="N158" i="2"/>
  <c r="M158" i="2"/>
  <c r="L158" i="2"/>
  <c r="J158" i="2"/>
  <c r="O157" i="2"/>
  <c r="N157" i="2"/>
  <c r="M157" i="2"/>
  <c r="L157" i="2"/>
  <c r="J157" i="2"/>
  <c r="O156" i="2"/>
  <c r="N156" i="2"/>
  <c r="M156" i="2"/>
  <c r="L156" i="2"/>
  <c r="J156" i="2"/>
  <c r="O155" i="2"/>
  <c r="N155" i="2"/>
  <c r="M155" i="2"/>
  <c r="L155" i="2"/>
  <c r="J155" i="2"/>
  <c r="O154" i="2"/>
  <c r="N154" i="2"/>
  <c r="M154" i="2"/>
  <c r="L154" i="2"/>
  <c r="J154" i="2"/>
  <c r="O153" i="2"/>
  <c r="N153" i="2"/>
  <c r="M153" i="2"/>
  <c r="L153" i="2"/>
  <c r="J153" i="2"/>
  <c r="O152" i="2"/>
  <c r="N152" i="2"/>
  <c r="M152" i="2"/>
  <c r="L152" i="2"/>
  <c r="J152" i="2"/>
  <c r="O151" i="2"/>
  <c r="N151" i="2"/>
  <c r="M151" i="2"/>
  <c r="L151" i="2"/>
  <c r="J151" i="2"/>
  <c r="O150" i="2"/>
  <c r="N150" i="2"/>
  <c r="M150" i="2"/>
  <c r="L150" i="2"/>
  <c r="J150" i="2"/>
  <c r="O149" i="2"/>
  <c r="N149" i="2"/>
  <c r="M149" i="2"/>
  <c r="L149" i="2"/>
  <c r="J149" i="2"/>
  <c r="O148" i="2"/>
  <c r="N148" i="2"/>
  <c r="M148" i="2"/>
  <c r="L148" i="2"/>
  <c r="J148" i="2"/>
  <c r="O147" i="2"/>
  <c r="N147" i="2"/>
  <c r="M147" i="2"/>
  <c r="L147" i="2"/>
  <c r="J147" i="2"/>
  <c r="O146" i="2"/>
  <c r="N146" i="2"/>
  <c r="M146" i="2"/>
  <c r="L146" i="2"/>
  <c r="J146" i="2"/>
  <c r="O145" i="2"/>
  <c r="N145" i="2"/>
  <c r="M145" i="2"/>
  <c r="L145" i="2"/>
  <c r="J145" i="2"/>
  <c r="O144" i="2"/>
  <c r="N144" i="2"/>
  <c r="M144" i="2"/>
  <c r="L144" i="2"/>
  <c r="J144" i="2"/>
  <c r="O143" i="2"/>
  <c r="N143" i="2"/>
  <c r="M143" i="2"/>
  <c r="L143" i="2"/>
  <c r="J143" i="2"/>
  <c r="O142" i="2"/>
  <c r="N142" i="2"/>
  <c r="M142" i="2"/>
  <c r="L142" i="2"/>
  <c r="J142" i="2"/>
  <c r="O141" i="2"/>
  <c r="N141" i="2"/>
  <c r="M141" i="2"/>
  <c r="L141" i="2"/>
  <c r="J141" i="2"/>
  <c r="O140" i="2"/>
  <c r="N140" i="2"/>
  <c r="M140" i="2"/>
  <c r="L140" i="2"/>
  <c r="J140" i="2"/>
  <c r="O139" i="2"/>
  <c r="N139" i="2"/>
  <c r="M139" i="2"/>
  <c r="L139" i="2"/>
  <c r="J139" i="2"/>
  <c r="O138" i="2"/>
  <c r="N138" i="2"/>
  <c r="M138" i="2"/>
  <c r="L138" i="2"/>
  <c r="J138" i="2"/>
  <c r="O137" i="2"/>
  <c r="N137" i="2"/>
  <c r="M137" i="2"/>
  <c r="L137" i="2"/>
  <c r="J137" i="2"/>
  <c r="O136" i="2"/>
  <c r="N136" i="2"/>
  <c r="M136" i="2"/>
  <c r="L136" i="2"/>
  <c r="J136" i="2"/>
  <c r="O135" i="2"/>
  <c r="N135" i="2"/>
  <c r="M135" i="2"/>
  <c r="L135" i="2"/>
  <c r="J135" i="2"/>
  <c r="O134" i="2"/>
  <c r="N134" i="2"/>
  <c r="M134" i="2"/>
  <c r="L134" i="2"/>
  <c r="J134" i="2"/>
  <c r="O133" i="2"/>
  <c r="N133" i="2"/>
  <c r="M133" i="2"/>
  <c r="L133" i="2"/>
  <c r="J133" i="2"/>
  <c r="O132" i="2"/>
  <c r="N132" i="2"/>
  <c r="M132" i="2"/>
  <c r="L132" i="2"/>
  <c r="J132" i="2"/>
  <c r="O131" i="2"/>
  <c r="N131" i="2"/>
  <c r="M131" i="2"/>
  <c r="L131" i="2"/>
  <c r="J131" i="2"/>
  <c r="O130" i="2"/>
  <c r="N130" i="2"/>
  <c r="M130" i="2"/>
  <c r="L130" i="2"/>
  <c r="J130" i="2"/>
  <c r="O129" i="2"/>
  <c r="N129" i="2"/>
  <c r="M129" i="2"/>
  <c r="L129" i="2"/>
  <c r="J129" i="2"/>
  <c r="O128" i="2"/>
  <c r="N128" i="2"/>
  <c r="M128" i="2"/>
  <c r="L128" i="2"/>
  <c r="J128" i="2"/>
  <c r="O127" i="2"/>
  <c r="N127" i="2"/>
  <c r="M127" i="2"/>
  <c r="L127" i="2"/>
  <c r="J127" i="2"/>
  <c r="O126" i="2"/>
  <c r="N126" i="2"/>
  <c r="M126" i="2"/>
  <c r="L126" i="2"/>
  <c r="J126" i="2"/>
  <c r="O125" i="2"/>
  <c r="N125" i="2"/>
  <c r="M125" i="2"/>
  <c r="L125" i="2"/>
  <c r="J125" i="2"/>
  <c r="O124" i="2"/>
  <c r="N124" i="2"/>
  <c r="M124" i="2"/>
  <c r="L124" i="2"/>
  <c r="J124" i="2"/>
  <c r="O123" i="2"/>
  <c r="N123" i="2"/>
  <c r="M123" i="2"/>
  <c r="L123" i="2"/>
  <c r="J123" i="2"/>
  <c r="O122" i="2"/>
  <c r="N122" i="2"/>
  <c r="M122" i="2"/>
  <c r="L122" i="2"/>
  <c r="J122" i="2"/>
  <c r="O121" i="2"/>
  <c r="N121" i="2"/>
  <c r="M121" i="2"/>
  <c r="L121" i="2"/>
  <c r="J121" i="2"/>
  <c r="O120" i="2"/>
  <c r="N120" i="2"/>
  <c r="M120" i="2"/>
  <c r="L120" i="2"/>
  <c r="J120" i="2"/>
  <c r="O119" i="2"/>
  <c r="N119" i="2"/>
  <c r="M119" i="2"/>
  <c r="L119" i="2"/>
  <c r="J119" i="2"/>
  <c r="O118" i="2"/>
  <c r="N118" i="2"/>
  <c r="M118" i="2"/>
  <c r="L118" i="2"/>
  <c r="J118" i="2"/>
  <c r="O117" i="2"/>
  <c r="N117" i="2"/>
  <c r="M117" i="2"/>
  <c r="L117" i="2"/>
  <c r="J117" i="2"/>
  <c r="O116" i="2"/>
  <c r="N116" i="2"/>
  <c r="M116" i="2"/>
  <c r="L116" i="2"/>
  <c r="J116" i="2"/>
  <c r="O115" i="2"/>
  <c r="N115" i="2"/>
  <c r="M115" i="2"/>
  <c r="L115" i="2"/>
  <c r="J115" i="2"/>
  <c r="O114" i="2"/>
  <c r="N114" i="2"/>
  <c r="M114" i="2"/>
  <c r="L114" i="2"/>
  <c r="J114" i="2"/>
  <c r="O113" i="2"/>
  <c r="N113" i="2"/>
  <c r="M113" i="2"/>
  <c r="L113" i="2"/>
  <c r="J113" i="2"/>
  <c r="O112" i="2"/>
  <c r="N112" i="2"/>
  <c r="M112" i="2"/>
  <c r="L112" i="2"/>
  <c r="J112" i="2"/>
  <c r="O111" i="2"/>
  <c r="N111" i="2"/>
  <c r="M111" i="2"/>
  <c r="L111" i="2"/>
  <c r="J111" i="2"/>
  <c r="O110" i="2"/>
  <c r="N110" i="2"/>
  <c r="M110" i="2"/>
  <c r="L110" i="2"/>
  <c r="J110" i="2"/>
  <c r="O109" i="2"/>
  <c r="N109" i="2"/>
  <c r="M109" i="2"/>
  <c r="L109" i="2"/>
  <c r="J109" i="2"/>
  <c r="O108" i="2"/>
  <c r="N108" i="2"/>
  <c r="M108" i="2"/>
  <c r="L108" i="2"/>
  <c r="J108" i="2"/>
  <c r="O107" i="2"/>
  <c r="N107" i="2"/>
  <c r="M107" i="2"/>
  <c r="L107" i="2"/>
  <c r="J107" i="2"/>
  <c r="O106" i="2"/>
  <c r="N106" i="2"/>
  <c r="M106" i="2"/>
  <c r="L106" i="2"/>
  <c r="J106" i="2"/>
  <c r="O105" i="2"/>
  <c r="N105" i="2"/>
  <c r="M105" i="2"/>
  <c r="L105" i="2"/>
  <c r="J105" i="2"/>
  <c r="O104" i="2"/>
  <c r="N104" i="2"/>
  <c r="M104" i="2"/>
  <c r="L104" i="2"/>
  <c r="J104" i="2"/>
  <c r="O103" i="2"/>
  <c r="N103" i="2"/>
  <c r="M103" i="2"/>
  <c r="L103" i="2"/>
  <c r="J103" i="2"/>
  <c r="O102" i="2"/>
  <c r="N102" i="2"/>
  <c r="M102" i="2"/>
  <c r="L102" i="2"/>
  <c r="J102" i="2"/>
  <c r="O101" i="2"/>
  <c r="N101" i="2"/>
  <c r="M101" i="2"/>
  <c r="L101" i="2"/>
  <c r="J101" i="2"/>
  <c r="O100" i="2"/>
  <c r="N100" i="2"/>
  <c r="M100" i="2"/>
  <c r="L100" i="2"/>
  <c r="J100" i="2"/>
  <c r="O99" i="2"/>
  <c r="N99" i="2"/>
  <c r="M99" i="2"/>
  <c r="L99" i="2"/>
  <c r="J99" i="2"/>
  <c r="O98" i="2"/>
  <c r="N98" i="2"/>
  <c r="M98" i="2"/>
  <c r="L98" i="2"/>
  <c r="J98" i="2"/>
  <c r="O97" i="2"/>
  <c r="N97" i="2"/>
  <c r="M97" i="2"/>
  <c r="L97" i="2"/>
  <c r="J97" i="2"/>
  <c r="O96" i="2"/>
  <c r="N96" i="2"/>
  <c r="M96" i="2"/>
  <c r="L96" i="2"/>
  <c r="J96" i="2"/>
  <c r="O95" i="2"/>
  <c r="N95" i="2"/>
  <c r="M95" i="2"/>
  <c r="L95" i="2"/>
  <c r="J95" i="2"/>
  <c r="O94" i="2"/>
  <c r="N94" i="2"/>
  <c r="M94" i="2"/>
  <c r="L94" i="2"/>
  <c r="J94" i="2"/>
  <c r="O93" i="2"/>
  <c r="N93" i="2"/>
  <c r="M93" i="2"/>
  <c r="L93" i="2"/>
  <c r="J93" i="2"/>
  <c r="O92" i="2"/>
  <c r="N92" i="2"/>
  <c r="M92" i="2"/>
  <c r="L92" i="2"/>
  <c r="J92" i="2"/>
  <c r="O91" i="2"/>
  <c r="N91" i="2"/>
  <c r="M91" i="2"/>
  <c r="L91" i="2"/>
  <c r="J91" i="2"/>
  <c r="O90" i="2"/>
  <c r="N90" i="2"/>
  <c r="M90" i="2"/>
  <c r="L90" i="2"/>
  <c r="J90" i="2"/>
  <c r="O89" i="2"/>
  <c r="N89" i="2"/>
  <c r="M89" i="2"/>
  <c r="L89" i="2"/>
  <c r="J89" i="2"/>
  <c r="O88" i="2"/>
  <c r="N88" i="2"/>
  <c r="M88" i="2"/>
  <c r="L88" i="2"/>
  <c r="J88" i="2"/>
  <c r="O87" i="2"/>
  <c r="N87" i="2"/>
  <c r="M87" i="2"/>
  <c r="L87" i="2"/>
  <c r="J87" i="2"/>
  <c r="O86" i="2"/>
  <c r="N86" i="2"/>
  <c r="M86" i="2"/>
  <c r="L86" i="2"/>
  <c r="J86" i="2"/>
  <c r="O85" i="2"/>
  <c r="N85" i="2"/>
  <c r="M85" i="2"/>
  <c r="L85" i="2"/>
  <c r="J85" i="2"/>
  <c r="O84" i="2"/>
  <c r="N84" i="2"/>
  <c r="M84" i="2"/>
  <c r="L84" i="2"/>
  <c r="J84" i="2"/>
  <c r="O83" i="2"/>
  <c r="M83" i="2"/>
  <c r="L83" i="2"/>
  <c r="A103" i="1" s="1"/>
  <c r="H103" i="1" s="1"/>
  <c r="J83" i="2"/>
  <c r="O82" i="2"/>
  <c r="M82" i="2"/>
  <c r="L82" i="2"/>
  <c r="O81" i="2"/>
  <c r="M81" i="2"/>
  <c r="L81" i="2"/>
  <c r="O80" i="2"/>
  <c r="M80" i="2"/>
  <c r="L80" i="2"/>
  <c r="O79" i="2"/>
  <c r="M79" i="2"/>
  <c r="L79" i="2"/>
  <c r="O78" i="2"/>
  <c r="M78" i="2"/>
  <c r="L78" i="2"/>
  <c r="O77" i="2"/>
  <c r="M77" i="2"/>
  <c r="L77" i="2"/>
  <c r="O76" i="2"/>
  <c r="M76" i="2"/>
  <c r="L76" i="2"/>
  <c r="O75" i="2"/>
  <c r="M75" i="2"/>
  <c r="L75" i="2"/>
  <c r="O74" i="2"/>
  <c r="M74" i="2"/>
  <c r="L74" i="2"/>
  <c r="O73" i="2"/>
  <c r="M73" i="2"/>
  <c r="L73" i="2"/>
  <c r="O72" i="2"/>
  <c r="M72" i="2"/>
  <c r="L72" i="2"/>
  <c r="O71" i="2"/>
  <c r="M71" i="2"/>
  <c r="L71" i="2"/>
  <c r="O70" i="2"/>
  <c r="M70" i="2"/>
  <c r="L70" i="2"/>
  <c r="O69" i="2"/>
  <c r="M69" i="2"/>
  <c r="L69" i="2"/>
  <c r="O68" i="2"/>
  <c r="M68" i="2"/>
  <c r="L68" i="2"/>
  <c r="O67" i="2"/>
  <c r="M67" i="2"/>
  <c r="L67" i="2"/>
  <c r="O66" i="2"/>
  <c r="M66" i="2"/>
  <c r="L66" i="2"/>
  <c r="O65" i="2"/>
  <c r="M65" i="2"/>
  <c r="L65" i="2"/>
  <c r="O64" i="2"/>
  <c r="M64" i="2"/>
  <c r="L64" i="2"/>
  <c r="O63" i="2"/>
  <c r="M63" i="2"/>
  <c r="L63" i="2"/>
  <c r="O62" i="2"/>
  <c r="M62" i="2"/>
  <c r="L62" i="2"/>
  <c r="O61" i="2"/>
  <c r="M61" i="2"/>
  <c r="L61" i="2"/>
  <c r="O60" i="2"/>
  <c r="M60" i="2"/>
  <c r="L60" i="2"/>
  <c r="O59" i="2"/>
  <c r="M59" i="2"/>
  <c r="L59" i="2"/>
  <c r="O58" i="2"/>
  <c r="M58" i="2"/>
  <c r="L58" i="2"/>
  <c r="O57" i="2"/>
  <c r="M57" i="2"/>
  <c r="L57" i="2"/>
  <c r="O56" i="2"/>
  <c r="M56" i="2"/>
  <c r="L56" i="2"/>
  <c r="O55" i="2"/>
  <c r="M55" i="2"/>
  <c r="L55" i="2"/>
  <c r="O54" i="2"/>
  <c r="M54" i="2"/>
  <c r="L54" i="2"/>
  <c r="O53" i="2"/>
  <c r="M53" i="2"/>
  <c r="L53" i="2"/>
  <c r="O52" i="2"/>
  <c r="M52" i="2"/>
  <c r="L52" i="2"/>
  <c r="O51" i="2"/>
  <c r="M51" i="2"/>
  <c r="L51" i="2"/>
  <c r="O50" i="2"/>
  <c r="M50" i="2"/>
  <c r="L50" i="2"/>
  <c r="O49" i="2"/>
  <c r="M49" i="2"/>
  <c r="L49" i="2"/>
  <c r="O48" i="2"/>
  <c r="M48" i="2"/>
  <c r="L48" i="2"/>
  <c r="O47" i="2"/>
  <c r="M47" i="2"/>
  <c r="L47" i="2"/>
  <c r="O46" i="2"/>
  <c r="M46" i="2"/>
  <c r="L46" i="2"/>
  <c r="O45" i="2"/>
  <c r="M45" i="2"/>
  <c r="L45" i="2"/>
  <c r="O44" i="2"/>
  <c r="M44" i="2"/>
  <c r="L44" i="2"/>
  <c r="O43" i="2"/>
  <c r="M43" i="2"/>
  <c r="L43" i="2"/>
  <c r="O42" i="2"/>
  <c r="M42" i="2"/>
  <c r="L42" i="2"/>
  <c r="O41" i="2"/>
  <c r="M41" i="2"/>
  <c r="L41" i="2"/>
  <c r="O40" i="2"/>
  <c r="M40" i="2"/>
  <c r="L40" i="2"/>
  <c r="O39" i="2"/>
  <c r="M39" i="2"/>
  <c r="L39" i="2"/>
  <c r="O38" i="2"/>
  <c r="M38" i="2"/>
  <c r="L38" i="2"/>
  <c r="O37" i="2"/>
  <c r="M37" i="2"/>
  <c r="L37" i="2"/>
  <c r="O36" i="2"/>
  <c r="M36" i="2"/>
  <c r="L36" i="2"/>
  <c r="O35" i="2"/>
  <c r="M35" i="2"/>
  <c r="L35" i="2"/>
  <c r="O34" i="2"/>
  <c r="M34" i="2"/>
  <c r="L34" i="2"/>
  <c r="O33" i="2"/>
  <c r="M33" i="2"/>
  <c r="L33" i="2"/>
  <c r="O32" i="2"/>
  <c r="M32" i="2"/>
  <c r="L32" i="2"/>
  <c r="O31" i="2"/>
  <c r="M31" i="2"/>
  <c r="L31" i="2"/>
  <c r="O30" i="2"/>
  <c r="M30" i="2"/>
  <c r="L30" i="2"/>
  <c r="O29" i="2"/>
  <c r="M29" i="2"/>
  <c r="L29" i="2"/>
  <c r="O28" i="2"/>
  <c r="M28" i="2"/>
  <c r="L28" i="2"/>
  <c r="O27" i="2"/>
  <c r="M27" i="2"/>
  <c r="L27" i="2"/>
  <c r="O26" i="2"/>
  <c r="M26" i="2"/>
  <c r="L26" i="2"/>
  <c r="O25" i="2"/>
  <c r="M25" i="2"/>
  <c r="L25" i="2"/>
  <c r="O24" i="2"/>
  <c r="M24" i="2"/>
  <c r="L24" i="2"/>
  <c r="O23" i="2"/>
  <c r="M23" i="2"/>
  <c r="L23" i="2"/>
  <c r="O22" i="2"/>
  <c r="M22" i="2"/>
  <c r="L22" i="2"/>
  <c r="O21" i="2"/>
  <c r="M21" i="2"/>
  <c r="L21" i="2"/>
  <c r="O20" i="2"/>
  <c r="M20" i="2"/>
  <c r="L20" i="2"/>
  <c r="O19" i="2"/>
  <c r="M19" i="2"/>
  <c r="L19" i="2"/>
  <c r="O18" i="2"/>
  <c r="M18" i="2"/>
  <c r="L18" i="2"/>
  <c r="J18" i="2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O17" i="2"/>
  <c r="M17" i="2"/>
  <c r="L17" i="2"/>
  <c r="J17" i="2"/>
  <c r="O16" i="2"/>
  <c r="M16" i="2"/>
  <c r="L16" i="2"/>
  <c r="J16" i="2"/>
  <c r="L15" i="2"/>
  <c r="O14" i="2"/>
  <c r="M14" i="2"/>
  <c r="L14" i="2"/>
  <c r="O13" i="2"/>
  <c r="M13" i="2"/>
  <c r="L13" i="2"/>
  <c r="O12" i="2"/>
  <c r="M12" i="2"/>
  <c r="L12" i="2"/>
  <c r="O11" i="2"/>
  <c r="M11" i="2"/>
  <c r="L11" i="2"/>
  <c r="O10" i="2"/>
  <c r="M10" i="2"/>
  <c r="L10" i="2"/>
  <c r="O9" i="2"/>
  <c r="M9" i="2"/>
  <c r="L9" i="2"/>
  <c r="O8" i="2"/>
  <c r="M8" i="2"/>
  <c r="L8" i="2"/>
  <c r="O7" i="2"/>
  <c r="M7" i="2"/>
  <c r="L7" i="2"/>
  <c r="O6" i="2"/>
  <c r="M6" i="2"/>
  <c r="L6" i="2"/>
  <c r="O5" i="2"/>
  <c r="M5" i="2"/>
  <c r="L5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D264" i="1"/>
  <c r="D263" i="1"/>
  <c r="D218" i="1"/>
  <c r="G216" i="1"/>
  <c r="A215" i="1"/>
  <c r="C214" i="1"/>
  <c r="B214" i="1"/>
  <c r="D213" i="1"/>
  <c r="B213" i="1"/>
  <c r="D212" i="1"/>
  <c r="C212" i="1"/>
  <c r="D121" i="1"/>
  <c r="B120" i="1"/>
  <c r="D117" i="1"/>
  <c r="B116" i="1"/>
  <c r="D113" i="1"/>
  <c r="B112" i="1"/>
  <c r="D109" i="1"/>
  <c r="C108" i="1"/>
  <c r="B108" i="1"/>
  <c r="F107" i="1"/>
  <c r="D107" i="1"/>
  <c r="C107" i="1"/>
  <c r="B107" i="1"/>
  <c r="A107" i="1"/>
  <c r="H107" i="1" s="1"/>
  <c r="C56" i="1"/>
  <c r="F55" i="1"/>
  <c r="E55" i="1"/>
  <c r="C55" i="1"/>
  <c r="B55" i="1"/>
  <c r="A55" i="1"/>
  <c r="F54" i="1"/>
  <c r="E54" i="1"/>
  <c r="C54" i="1"/>
  <c r="B54" i="1"/>
  <c r="A54" i="1"/>
  <c r="F53" i="1"/>
  <c r="E53" i="1"/>
  <c r="C53" i="1"/>
  <c r="B53" i="1"/>
  <c r="A53" i="1"/>
  <c r="F52" i="1"/>
  <c r="E52" i="1"/>
  <c r="C52" i="1"/>
  <c r="B52" i="1"/>
  <c r="A52" i="1"/>
  <c r="F51" i="1"/>
  <c r="E51" i="1"/>
  <c r="C51" i="1"/>
  <c r="B51" i="1"/>
  <c r="A51" i="1"/>
  <c r="F50" i="1"/>
  <c r="E50" i="1"/>
  <c r="C50" i="1"/>
  <c r="B50" i="1"/>
  <c r="A50" i="1"/>
  <c r="F49" i="1"/>
  <c r="E49" i="1"/>
  <c r="C49" i="1"/>
  <c r="B49" i="1"/>
  <c r="A49" i="1"/>
  <c r="F48" i="1"/>
  <c r="E48" i="1"/>
  <c r="C48" i="1"/>
  <c r="B48" i="1"/>
  <c r="A48" i="1"/>
  <c r="F47" i="1"/>
  <c r="E47" i="1"/>
  <c r="C47" i="1"/>
  <c r="B47" i="1"/>
  <c r="A47" i="1"/>
  <c r="F46" i="1"/>
  <c r="E46" i="1"/>
  <c r="C46" i="1"/>
  <c r="B46" i="1"/>
  <c r="A46" i="1"/>
  <c r="F45" i="1"/>
  <c r="E45" i="1"/>
  <c r="C45" i="1"/>
  <c r="B45" i="1"/>
  <c r="A45" i="1"/>
  <c r="F44" i="1"/>
  <c r="E44" i="1"/>
  <c r="C44" i="1"/>
  <c r="B44" i="1"/>
  <c r="A44" i="1"/>
  <c r="F43" i="1"/>
  <c r="E43" i="1"/>
  <c r="C43" i="1"/>
  <c r="B43" i="1"/>
  <c r="A43" i="1"/>
  <c r="F42" i="1"/>
  <c r="E42" i="1"/>
  <c r="C42" i="1"/>
  <c r="B42" i="1"/>
  <c r="A42" i="1"/>
  <c r="F41" i="1"/>
  <c r="E41" i="1"/>
  <c r="C41" i="1"/>
  <c r="B41" i="1"/>
  <c r="A41" i="1"/>
  <c r="F40" i="1"/>
  <c r="E40" i="1"/>
  <c r="C40" i="1"/>
  <c r="B40" i="1"/>
  <c r="A40" i="1"/>
  <c r="F39" i="1"/>
  <c r="E39" i="1"/>
  <c r="C39" i="1"/>
  <c r="B39" i="1"/>
  <c r="A39" i="1"/>
  <c r="F38" i="1"/>
  <c r="E38" i="1"/>
  <c r="C38" i="1"/>
  <c r="B38" i="1"/>
  <c r="A38" i="1"/>
  <c r="F37" i="1"/>
  <c r="E37" i="1"/>
  <c r="C37" i="1"/>
  <c r="B37" i="1"/>
  <c r="A37" i="1"/>
  <c r="F36" i="1"/>
  <c r="E36" i="1"/>
  <c r="C36" i="1"/>
  <c r="B36" i="1"/>
  <c r="A36" i="1"/>
  <c r="F35" i="1"/>
  <c r="E35" i="1"/>
  <c r="C35" i="1"/>
  <c r="B35" i="1"/>
  <c r="A35" i="1"/>
  <c r="F34" i="1"/>
  <c r="E34" i="1"/>
  <c r="C34" i="1"/>
  <c r="B34" i="1"/>
  <c r="A34" i="1"/>
  <c r="F33" i="1"/>
  <c r="E33" i="1"/>
  <c r="C33" i="1"/>
  <c r="B33" i="1"/>
  <c r="A33" i="1"/>
  <c r="F32" i="1"/>
  <c r="E32" i="1"/>
  <c r="C32" i="1"/>
  <c r="B32" i="1"/>
  <c r="A32" i="1"/>
  <c r="F31" i="1"/>
  <c r="E31" i="1"/>
  <c r="C31" i="1"/>
  <c r="B31" i="1"/>
  <c r="A31" i="1"/>
  <c r="F30" i="1"/>
  <c r="E30" i="1"/>
  <c r="C30" i="1"/>
  <c r="B30" i="1"/>
  <c r="A30" i="1"/>
  <c r="F29" i="1"/>
  <c r="E29" i="1"/>
  <c r="C29" i="1"/>
  <c r="B29" i="1"/>
  <c r="A29" i="1"/>
  <c r="F28" i="1"/>
  <c r="E28" i="1"/>
  <c r="C28" i="1"/>
  <c r="B28" i="1"/>
  <c r="A28" i="1"/>
  <c r="F27" i="1"/>
  <c r="E27" i="1"/>
  <c r="C27" i="1"/>
  <c r="B27" i="1"/>
  <c r="A27" i="1"/>
  <c r="F26" i="1"/>
  <c r="E26" i="1"/>
  <c r="C26" i="1"/>
  <c r="B26" i="1"/>
  <c r="A26" i="1"/>
  <c r="F25" i="1"/>
  <c r="E25" i="1"/>
  <c r="C25" i="1"/>
  <c r="B25" i="1"/>
  <c r="A25" i="1"/>
  <c r="F24" i="1"/>
  <c r="E24" i="1"/>
  <c r="C24" i="1"/>
  <c r="B24" i="1"/>
  <c r="A24" i="1"/>
  <c r="F23" i="1"/>
  <c r="E23" i="1"/>
  <c r="C23" i="1"/>
  <c r="B23" i="1"/>
  <c r="A23" i="1"/>
  <c r="F22" i="1"/>
  <c r="E22" i="1"/>
  <c r="C22" i="1"/>
  <c r="B22" i="1"/>
  <c r="A22" i="1"/>
  <c r="F21" i="1"/>
  <c r="E21" i="1"/>
  <c r="C21" i="1"/>
  <c r="B21" i="1"/>
  <c r="A21" i="1"/>
  <c r="F20" i="1"/>
  <c r="E20" i="1"/>
  <c r="C20" i="1"/>
  <c r="B20" i="1"/>
  <c r="A20" i="1"/>
  <c r="F19" i="1"/>
  <c r="E19" i="1"/>
  <c r="C19" i="1"/>
  <c r="B19" i="1"/>
  <c r="A19" i="1"/>
  <c r="F18" i="1"/>
  <c r="E18" i="1"/>
  <c r="C18" i="1"/>
  <c r="B18" i="1"/>
  <c r="A18" i="1"/>
  <c r="F17" i="1"/>
  <c r="E17" i="1"/>
  <c r="C17" i="1"/>
  <c r="B17" i="1"/>
  <c r="A17" i="1"/>
  <c r="F16" i="1"/>
  <c r="E16" i="1"/>
  <c r="C16" i="1"/>
  <c r="B16" i="1"/>
  <c r="A16" i="1"/>
  <c r="F15" i="1"/>
  <c r="E15" i="1"/>
  <c r="C15" i="1"/>
  <c r="B15" i="1"/>
  <c r="A15" i="1"/>
  <c r="F14" i="1"/>
  <c r="E14" i="1"/>
  <c r="C14" i="1"/>
  <c r="B14" i="1"/>
  <c r="A14" i="1"/>
  <c r="F13" i="1"/>
  <c r="E13" i="1"/>
  <c r="C13" i="1"/>
  <c r="B13" i="1"/>
  <c r="A13" i="1"/>
  <c r="F12" i="1"/>
  <c r="E12" i="1"/>
  <c r="C12" i="1"/>
  <c r="B12" i="1"/>
  <c r="A12" i="1"/>
  <c r="F11" i="1"/>
  <c r="E11" i="1"/>
  <c r="C11" i="1"/>
  <c r="B11" i="1"/>
  <c r="A11" i="1"/>
  <c r="F10" i="1"/>
  <c r="E10" i="1"/>
  <c r="C10" i="1"/>
  <c r="B10" i="1"/>
  <c r="A10" i="1"/>
  <c r="F9" i="1"/>
  <c r="E9" i="1"/>
  <c r="C9" i="1"/>
  <c r="B9" i="1"/>
  <c r="A9" i="1"/>
  <c r="F8" i="1"/>
  <c r="E8" i="1"/>
  <c r="C8" i="1"/>
  <c r="B8" i="1"/>
  <c r="A8" i="1"/>
  <c r="F7" i="1"/>
  <c r="E7" i="1"/>
  <c r="C7" i="1"/>
  <c r="B7" i="1"/>
  <c r="A7" i="1"/>
  <c r="F6" i="1"/>
  <c r="E6" i="1"/>
  <c r="C6" i="1"/>
  <c r="B6" i="1"/>
  <c r="A6" i="1"/>
  <c r="H6" i="1" s="1"/>
  <c r="F5" i="1"/>
  <c r="E5" i="1"/>
  <c r="C5" i="1"/>
  <c r="B5" i="1"/>
  <c r="A5" i="1"/>
  <c r="H5" i="1" s="1"/>
  <c r="D125" i="1" l="1"/>
  <c r="D157" i="1"/>
  <c r="C194" i="1"/>
  <c r="C72" i="1"/>
  <c r="F93" i="1"/>
  <c r="A99" i="1"/>
  <c r="H99" i="1" s="1"/>
  <c r="A261" i="1"/>
  <c r="C60" i="1"/>
  <c r="F77" i="1"/>
  <c r="F61" i="1"/>
  <c r="A83" i="1"/>
  <c r="H83" i="1" s="1"/>
  <c r="C104" i="1"/>
  <c r="A67" i="1"/>
  <c r="H67" i="1" s="1"/>
  <c r="C88" i="1"/>
  <c r="F101" i="1"/>
  <c r="G223" i="1"/>
  <c r="C258" i="1"/>
  <c r="G259" i="1"/>
  <c r="F57" i="1"/>
  <c r="A63" i="1"/>
  <c r="H63" i="1" s="1"/>
  <c r="C68" i="1"/>
  <c r="F73" i="1"/>
  <c r="A79" i="1"/>
  <c r="H79" i="1" s="1"/>
  <c r="C84" i="1"/>
  <c r="F89" i="1"/>
  <c r="A95" i="1"/>
  <c r="H95" i="1" s="1"/>
  <c r="C100" i="1"/>
  <c r="A59" i="1"/>
  <c r="C64" i="1"/>
  <c r="F69" i="1"/>
  <c r="A75" i="1"/>
  <c r="H75" i="1" s="1"/>
  <c r="C80" i="1"/>
  <c r="F85" i="1"/>
  <c r="A91" i="1"/>
  <c r="H91" i="1" s="1"/>
  <c r="C96" i="1"/>
  <c r="F65" i="1"/>
  <c r="A71" i="1"/>
  <c r="H71" i="1" s="1"/>
  <c r="C76" i="1"/>
  <c r="F81" i="1"/>
  <c r="A87" i="1"/>
  <c r="H87" i="1" s="1"/>
  <c r="C92" i="1"/>
  <c r="F97" i="1"/>
  <c r="B187" i="1"/>
  <c r="D133" i="1"/>
  <c r="D201" i="1"/>
  <c r="F167" i="1"/>
  <c r="B203" i="1"/>
  <c r="D141" i="1"/>
  <c r="D176" i="1"/>
  <c r="D149" i="1"/>
  <c r="D185" i="1"/>
  <c r="B136" i="1"/>
  <c r="B152" i="1"/>
  <c r="D169" i="1"/>
  <c r="C178" i="1"/>
  <c r="B196" i="1"/>
  <c r="A205" i="1"/>
  <c r="H205" i="1" s="1"/>
  <c r="B128" i="1"/>
  <c r="B144" i="1"/>
  <c r="B160" i="1"/>
  <c r="D129" i="1"/>
  <c r="D137" i="1"/>
  <c r="D145" i="1"/>
  <c r="D153" i="1"/>
  <c r="D161" i="1"/>
  <c r="B171" i="1"/>
  <c r="B180" i="1"/>
  <c r="A189" i="1"/>
  <c r="H189" i="1" s="1"/>
  <c r="F199" i="1"/>
  <c r="B206" i="1"/>
  <c r="B124" i="1"/>
  <c r="B132" i="1"/>
  <c r="B140" i="1"/>
  <c r="B148" i="1"/>
  <c r="B156" i="1"/>
  <c r="B164" i="1"/>
  <c r="A173" i="1"/>
  <c r="H173" i="1" s="1"/>
  <c r="F183" i="1"/>
  <c r="D192" i="1"/>
  <c r="A231" i="1"/>
  <c r="F239" i="1"/>
  <c r="C250" i="1"/>
  <c r="F255" i="1"/>
  <c r="F225" i="1"/>
  <c r="G232" i="1"/>
  <c r="C242" i="1"/>
  <c r="A253" i="1"/>
  <c r="C220" i="1"/>
  <c r="D227" i="1"/>
  <c r="D234" i="1"/>
  <c r="A245" i="1"/>
  <c r="B222" i="1"/>
  <c r="B229" i="1"/>
  <c r="A237" i="1"/>
  <c r="F247" i="1"/>
  <c r="B104" i="1"/>
  <c r="E103" i="1"/>
  <c r="B102" i="1"/>
  <c r="E101" i="1"/>
  <c r="B100" i="1"/>
  <c r="E99" i="1"/>
  <c r="B98" i="1"/>
  <c r="E97" i="1"/>
  <c r="B96" i="1"/>
  <c r="E95" i="1"/>
  <c r="B94" i="1"/>
  <c r="E93" i="1"/>
  <c r="B92" i="1"/>
  <c r="E91" i="1"/>
  <c r="B90" i="1"/>
  <c r="E89" i="1"/>
  <c r="B88" i="1"/>
  <c r="E87" i="1"/>
  <c r="B86" i="1"/>
  <c r="E85" i="1"/>
  <c r="B84" i="1"/>
  <c r="E83" i="1"/>
  <c r="B82" i="1"/>
  <c r="E81" i="1"/>
  <c r="B80" i="1"/>
  <c r="E79" i="1"/>
  <c r="B78" i="1"/>
  <c r="E77" i="1"/>
  <c r="B76" i="1"/>
  <c r="E75" i="1"/>
  <c r="B74" i="1"/>
  <c r="E73" i="1"/>
  <c r="B72" i="1"/>
  <c r="E71" i="1"/>
  <c r="B70" i="1"/>
  <c r="E69" i="1"/>
  <c r="B68" i="1"/>
  <c r="E67" i="1"/>
  <c r="B66" i="1"/>
  <c r="E65" i="1"/>
  <c r="B64" i="1"/>
  <c r="E63" i="1"/>
  <c r="B62" i="1"/>
  <c r="E61" i="1"/>
  <c r="B60" i="1"/>
  <c r="E59" i="1"/>
  <c r="B58" i="1"/>
  <c r="E57" i="1"/>
  <c r="B56" i="1"/>
  <c r="C61" i="1"/>
  <c r="C59" i="1"/>
  <c r="A58" i="1"/>
  <c r="F56" i="1"/>
  <c r="F104" i="1"/>
  <c r="A104" i="1"/>
  <c r="H104" i="1" s="1"/>
  <c r="C103" i="1"/>
  <c r="F102" i="1"/>
  <c r="A102" i="1"/>
  <c r="H102" i="1" s="1"/>
  <c r="C101" i="1"/>
  <c r="F100" i="1"/>
  <c r="A100" i="1"/>
  <c r="H100" i="1" s="1"/>
  <c r="C99" i="1"/>
  <c r="F98" i="1"/>
  <c r="A98" i="1"/>
  <c r="H98" i="1" s="1"/>
  <c r="C97" i="1"/>
  <c r="F96" i="1"/>
  <c r="A96" i="1"/>
  <c r="H96" i="1" s="1"/>
  <c r="C95" i="1"/>
  <c r="F94" i="1"/>
  <c r="A94" i="1"/>
  <c r="H94" i="1" s="1"/>
  <c r="C93" i="1"/>
  <c r="F92" i="1"/>
  <c r="A92" i="1"/>
  <c r="H92" i="1" s="1"/>
  <c r="C91" i="1"/>
  <c r="F90" i="1"/>
  <c r="A90" i="1"/>
  <c r="H90" i="1" s="1"/>
  <c r="C89" i="1"/>
  <c r="F88" i="1"/>
  <c r="A88" i="1"/>
  <c r="H88" i="1" s="1"/>
  <c r="C87" i="1"/>
  <c r="F86" i="1"/>
  <c r="A86" i="1"/>
  <c r="H86" i="1" s="1"/>
  <c r="C85" i="1"/>
  <c r="F84" i="1"/>
  <c r="A84" i="1"/>
  <c r="H84" i="1" s="1"/>
  <c r="C83" i="1"/>
  <c r="F82" i="1"/>
  <c r="A82" i="1"/>
  <c r="H82" i="1" s="1"/>
  <c r="C81" i="1"/>
  <c r="F80" i="1"/>
  <c r="A80" i="1"/>
  <c r="H80" i="1" s="1"/>
  <c r="C79" i="1"/>
  <c r="F78" i="1"/>
  <c r="A78" i="1"/>
  <c r="H78" i="1" s="1"/>
  <c r="C77" i="1"/>
  <c r="F76" i="1"/>
  <c r="A76" i="1"/>
  <c r="H76" i="1" s="1"/>
  <c r="C75" i="1"/>
  <c r="F74" i="1"/>
  <c r="A74" i="1"/>
  <c r="H74" i="1" s="1"/>
  <c r="C73" i="1"/>
  <c r="F72" i="1"/>
  <c r="A72" i="1"/>
  <c r="H72" i="1" s="1"/>
  <c r="C71" i="1"/>
  <c r="F70" i="1"/>
  <c r="A70" i="1"/>
  <c r="H70" i="1" s="1"/>
  <c r="C69" i="1"/>
  <c r="F68" i="1"/>
  <c r="A68" i="1"/>
  <c r="H68" i="1" s="1"/>
  <c r="C67" i="1"/>
  <c r="F66" i="1"/>
  <c r="A66" i="1"/>
  <c r="H66" i="1" s="1"/>
  <c r="C65" i="1"/>
  <c r="F64" i="1"/>
  <c r="A64" i="1"/>
  <c r="H64" i="1" s="1"/>
  <c r="C63" i="1"/>
  <c r="F62" i="1"/>
  <c r="A62" i="1"/>
  <c r="H62" i="1" s="1"/>
  <c r="F60" i="1"/>
  <c r="A60" i="1"/>
  <c r="H60" i="1" s="1"/>
  <c r="F58" i="1"/>
  <c r="C57" i="1"/>
  <c r="A56" i="1"/>
  <c r="E56" i="1"/>
  <c r="B59" i="1"/>
  <c r="B67" i="1"/>
  <c r="E72" i="1"/>
  <c r="E76" i="1"/>
  <c r="E80" i="1"/>
  <c r="B87" i="1"/>
  <c r="B95" i="1"/>
  <c r="E100" i="1"/>
  <c r="C112" i="1"/>
  <c r="C116" i="1"/>
  <c r="C120" i="1"/>
  <c r="C124" i="1"/>
  <c r="A127" i="1"/>
  <c r="H127" i="1" s="1"/>
  <c r="A131" i="1"/>
  <c r="H131" i="1" s="1"/>
  <c r="A135" i="1"/>
  <c r="H135" i="1" s="1"/>
  <c r="A139" i="1"/>
  <c r="H139" i="1" s="1"/>
  <c r="F141" i="1"/>
  <c r="A147" i="1"/>
  <c r="H147" i="1" s="1"/>
  <c r="A151" i="1"/>
  <c r="H151" i="1" s="1"/>
  <c r="A155" i="1"/>
  <c r="H155" i="1" s="1"/>
  <c r="A159" i="1"/>
  <c r="H159" i="1" s="1"/>
  <c r="A163" i="1"/>
  <c r="H163" i="1" s="1"/>
  <c r="B166" i="1"/>
  <c r="B173" i="1"/>
  <c r="D178" i="1"/>
  <c r="B182" i="1"/>
  <c r="D187" i="1"/>
  <c r="D194" i="1"/>
  <c r="B198" i="1"/>
  <c r="F201" i="1"/>
  <c r="B205" i="1"/>
  <c r="A217" i="1"/>
  <c r="E60" i="1"/>
  <c r="E64" i="1"/>
  <c r="B71" i="1"/>
  <c r="B79" i="1"/>
  <c r="E84" i="1"/>
  <c r="E88" i="1"/>
  <c r="E92" i="1"/>
  <c r="B99" i="1"/>
  <c r="E104" i="1"/>
  <c r="A111" i="1"/>
  <c r="H111" i="1" s="1"/>
  <c r="F113" i="1"/>
  <c r="F117" i="1"/>
  <c r="F121" i="1"/>
  <c r="F125" i="1"/>
  <c r="C128" i="1"/>
  <c r="C132" i="1"/>
  <c r="C136" i="1"/>
  <c r="C140" i="1"/>
  <c r="A143" i="1"/>
  <c r="H143" i="1" s="1"/>
  <c r="F145" i="1"/>
  <c r="F149" i="1"/>
  <c r="F153" i="1"/>
  <c r="F157" i="1"/>
  <c r="C160" i="1"/>
  <c r="C164" i="1"/>
  <c r="F169" i="1"/>
  <c r="A175" i="1"/>
  <c r="H175" i="1" s="1"/>
  <c r="C180" i="1"/>
  <c r="F185" i="1"/>
  <c r="B189" i="1"/>
  <c r="C196" i="1"/>
  <c r="D203" i="1"/>
  <c r="B215" i="1"/>
  <c r="G218" i="1"/>
  <c r="D220" i="1"/>
  <c r="C222" i="1"/>
  <c r="B224" i="1"/>
  <c r="G225" i="1"/>
  <c r="F227" i="1"/>
  <c r="D229" i="1"/>
  <c r="B231" i="1"/>
  <c r="A233" i="1"/>
  <c r="G234" i="1"/>
  <c r="B237" i="1"/>
  <c r="G239" i="1"/>
  <c r="D242" i="1"/>
  <c r="B245" i="1"/>
  <c r="G247" i="1"/>
  <c r="D250" i="1"/>
  <c r="B253" i="1"/>
  <c r="G255" i="1"/>
  <c r="D258" i="1"/>
  <c r="B261" i="1"/>
  <c r="A57" i="1"/>
  <c r="C58" i="1"/>
  <c r="F59" i="1"/>
  <c r="A61" i="1"/>
  <c r="H61" i="1" s="1"/>
  <c r="C62" i="1"/>
  <c r="F63" i="1"/>
  <c r="A65" i="1"/>
  <c r="H65" i="1" s="1"/>
  <c r="C66" i="1"/>
  <c r="F67" i="1"/>
  <c r="A69" i="1"/>
  <c r="H69" i="1" s="1"/>
  <c r="C70" i="1"/>
  <c r="F71" i="1"/>
  <c r="A73" i="1"/>
  <c r="H73" i="1" s="1"/>
  <c r="C74" i="1"/>
  <c r="F75" i="1"/>
  <c r="A77" i="1"/>
  <c r="H77" i="1" s="1"/>
  <c r="C78" i="1"/>
  <c r="F79" i="1"/>
  <c r="A81" i="1"/>
  <c r="H81" i="1" s="1"/>
  <c r="C82" i="1"/>
  <c r="F83" i="1"/>
  <c r="A85" i="1"/>
  <c r="H85" i="1" s="1"/>
  <c r="C86" i="1"/>
  <c r="F87" i="1"/>
  <c r="A89" i="1"/>
  <c r="H89" i="1" s="1"/>
  <c r="C90" i="1"/>
  <c r="F91" i="1"/>
  <c r="A93" i="1"/>
  <c r="H93" i="1" s="1"/>
  <c r="C94" i="1"/>
  <c r="F95" i="1"/>
  <c r="A97" i="1"/>
  <c r="H97" i="1" s="1"/>
  <c r="C98" i="1"/>
  <c r="F99" i="1"/>
  <c r="A101" i="1"/>
  <c r="H101" i="1" s="1"/>
  <c r="C102" i="1"/>
  <c r="F103" i="1"/>
  <c r="B110" i="1"/>
  <c r="D111" i="1"/>
  <c r="B114" i="1"/>
  <c r="D115" i="1"/>
  <c r="B118" i="1"/>
  <c r="D119" i="1"/>
  <c r="B122" i="1"/>
  <c r="D123" i="1"/>
  <c r="B126" i="1"/>
  <c r="D127" i="1"/>
  <c r="B130" i="1"/>
  <c r="D131" i="1"/>
  <c r="B134" i="1"/>
  <c r="D135" i="1"/>
  <c r="B138" i="1"/>
  <c r="D139" i="1"/>
  <c r="B142" i="1"/>
  <c r="D143" i="1"/>
  <c r="B146" i="1"/>
  <c r="D147" i="1"/>
  <c r="B150" i="1"/>
  <c r="D151" i="1"/>
  <c r="B154" i="1"/>
  <c r="D155" i="1"/>
  <c r="B158" i="1"/>
  <c r="D159" i="1"/>
  <c r="B162" i="1"/>
  <c r="D163" i="1"/>
  <c r="A165" i="1"/>
  <c r="H165" i="1" s="1"/>
  <c r="D168" i="1"/>
  <c r="C170" i="1"/>
  <c r="B172" i="1"/>
  <c r="F175" i="1"/>
  <c r="D177" i="1"/>
  <c r="B179" i="1"/>
  <c r="A181" i="1"/>
  <c r="H181" i="1" s="1"/>
  <c r="D184" i="1"/>
  <c r="C186" i="1"/>
  <c r="B188" i="1"/>
  <c r="F191" i="1"/>
  <c r="D193" i="1"/>
  <c r="B195" i="1"/>
  <c r="A197" i="1"/>
  <c r="H197" i="1" s="1"/>
  <c r="D200" i="1"/>
  <c r="C202" i="1"/>
  <c r="B204" i="1"/>
  <c r="G215" i="1"/>
  <c r="F217" i="1"/>
  <c r="D219" i="1"/>
  <c r="B221" i="1"/>
  <c r="A223" i="1"/>
  <c r="G224" i="1"/>
  <c r="D226" i="1"/>
  <c r="C228" i="1"/>
  <c r="B230" i="1"/>
  <c r="G231" i="1"/>
  <c r="F233" i="1"/>
  <c r="F235" i="1"/>
  <c r="C238" i="1"/>
  <c r="A241" i="1"/>
  <c r="F243" i="1"/>
  <c r="C246" i="1"/>
  <c r="A249" i="1"/>
  <c r="F251" i="1"/>
  <c r="C254" i="1"/>
  <c r="A257" i="1"/>
  <c r="F259" i="1"/>
  <c r="F206" i="1"/>
  <c r="A206" i="1"/>
  <c r="H206" i="1" s="1"/>
  <c r="C205" i="1"/>
  <c r="F204" i="1"/>
  <c r="A204" i="1"/>
  <c r="H204" i="1" s="1"/>
  <c r="C203" i="1"/>
  <c r="F202" i="1"/>
  <c r="A202" i="1"/>
  <c r="H202" i="1" s="1"/>
  <c r="C201" i="1"/>
  <c r="F200" i="1"/>
  <c r="A200" i="1"/>
  <c r="H200" i="1" s="1"/>
  <c r="C199" i="1"/>
  <c r="F198" i="1"/>
  <c r="A198" i="1"/>
  <c r="H198" i="1" s="1"/>
  <c r="C197" i="1"/>
  <c r="F196" i="1"/>
  <c r="A196" i="1"/>
  <c r="H196" i="1" s="1"/>
  <c r="C195" i="1"/>
  <c r="F194" i="1"/>
  <c r="A194" i="1"/>
  <c r="H194" i="1" s="1"/>
  <c r="C193" i="1"/>
  <c r="F192" i="1"/>
  <c r="A192" i="1"/>
  <c r="H192" i="1" s="1"/>
  <c r="C191" i="1"/>
  <c r="F190" i="1"/>
  <c r="A190" i="1"/>
  <c r="H190" i="1" s="1"/>
  <c r="C189" i="1"/>
  <c r="F188" i="1"/>
  <c r="A188" i="1"/>
  <c r="H188" i="1" s="1"/>
  <c r="C187" i="1"/>
  <c r="F186" i="1"/>
  <c r="A186" i="1"/>
  <c r="H186" i="1" s="1"/>
  <c r="C185" i="1"/>
  <c r="F184" i="1"/>
  <c r="A184" i="1"/>
  <c r="H184" i="1" s="1"/>
  <c r="C183" i="1"/>
  <c r="F182" i="1"/>
  <c r="A182" i="1"/>
  <c r="H182" i="1" s="1"/>
  <c r="C181" i="1"/>
  <c r="F180" i="1"/>
  <c r="A180" i="1"/>
  <c r="H180" i="1" s="1"/>
  <c r="C179" i="1"/>
  <c r="F178" i="1"/>
  <c r="A178" i="1"/>
  <c r="H178" i="1" s="1"/>
  <c r="C177" i="1"/>
  <c r="F176" i="1"/>
  <c r="A176" i="1"/>
  <c r="H176" i="1" s="1"/>
  <c r="C175" i="1"/>
  <c r="F174" i="1"/>
  <c r="A174" i="1"/>
  <c r="H174" i="1" s="1"/>
  <c r="C173" i="1"/>
  <c r="F172" i="1"/>
  <c r="A172" i="1"/>
  <c r="H172" i="1" s="1"/>
  <c r="C171" i="1"/>
  <c r="F170" i="1"/>
  <c r="A170" i="1"/>
  <c r="H170" i="1" s="1"/>
  <c r="C169" i="1"/>
  <c r="F168" i="1"/>
  <c r="A168" i="1"/>
  <c r="H168" i="1" s="1"/>
  <c r="C167" i="1"/>
  <c r="F166" i="1"/>
  <c r="A166" i="1"/>
  <c r="H166" i="1" s="1"/>
  <c r="C165" i="1"/>
  <c r="F164" i="1"/>
  <c r="D206" i="1"/>
  <c r="F205" i="1"/>
  <c r="A203" i="1"/>
  <c r="H203" i="1" s="1"/>
  <c r="B202" i="1"/>
  <c r="B201" i="1"/>
  <c r="C200" i="1"/>
  <c r="D199" i="1"/>
  <c r="D198" i="1"/>
  <c r="F197" i="1"/>
  <c r="A195" i="1"/>
  <c r="H195" i="1" s="1"/>
  <c r="B194" i="1"/>
  <c r="B193" i="1"/>
  <c r="C192" i="1"/>
  <c r="D191" i="1"/>
  <c r="D190" i="1"/>
  <c r="F189" i="1"/>
  <c r="A187" i="1"/>
  <c r="H187" i="1" s="1"/>
  <c r="B186" i="1"/>
  <c r="B185" i="1"/>
  <c r="C184" i="1"/>
  <c r="D183" i="1"/>
  <c r="D182" i="1"/>
  <c r="F181" i="1"/>
  <c r="A179" i="1"/>
  <c r="H179" i="1" s="1"/>
  <c r="B178" i="1"/>
  <c r="B177" i="1"/>
  <c r="C176" i="1"/>
  <c r="D175" i="1"/>
  <c r="D174" i="1"/>
  <c r="F173" i="1"/>
  <c r="A171" i="1"/>
  <c r="H171" i="1" s="1"/>
  <c r="B170" i="1"/>
  <c r="B169" i="1"/>
  <c r="C168" i="1"/>
  <c r="D167" i="1"/>
  <c r="D166" i="1"/>
  <c r="F165" i="1"/>
  <c r="A164" i="1"/>
  <c r="H164" i="1" s="1"/>
  <c r="C163" i="1"/>
  <c r="F162" i="1"/>
  <c r="A162" i="1"/>
  <c r="H162" i="1" s="1"/>
  <c r="C161" i="1"/>
  <c r="F160" i="1"/>
  <c r="A160" i="1"/>
  <c r="H160" i="1" s="1"/>
  <c r="C159" i="1"/>
  <c r="F158" i="1"/>
  <c r="A158" i="1"/>
  <c r="H158" i="1" s="1"/>
  <c r="C157" i="1"/>
  <c r="F156" i="1"/>
  <c r="A156" i="1"/>
  <c r="H156" i="1" s="1"/>
  <c r="C155" i="1"/>
  <c r="F154" i="1"/>
  <c r="A154" i="1"/>
  <c r="H154" i="1" s="1"/>
  <c r="C153" i="1"/>
  <c r="F152" i="1"/>
  <c r="A152" i="1"/>
  <c r="H152" i="1" s="1"/>
  <c r="C151" i="1"/>
  <c r="F150" i="1"/>
  <c r="A150" i="1"/>
  <c r="H150" i="1" s="1"/>
  <c r="C149" i="1"/>
  <c r="F148" i="1"/>
  <c r="A148" i="1"/>
  <c r="H148" i="1" s="1"/>
  <c r="C147" i="1"/>
  <c r="F146" i="1"/>
  <c r="A146" i="1"/>
  <c r="H146" i="1" s="1"/>
  <c r="C145" i="1"/>
  <c r="F144" i="1"/>
  <c r="A144" i="1"/>
  <c r="H144" i="1" s="1"/>
  <c r="C143" i="1"/>
  <c r="F142" i="1"/>
  <c r="A142" i="1"/>
  <c r="H142" i="1" s="1"/>
  <c r="C141" i="1"/>
  <c r="F140" i="1"/>
  <c r="A140" i="1"/>
  <c r="H140" i="1" s="1"/>
  <c r="C139" i="1"/>
  <c r="F138" i="1"/>
  <c r="A138" i="1"/>
  <c r="H138" i="1" s="1"/>
  <c r="C137" i="1"/>
  <c r="F136" i="1"/>
  <c r="A136" i="1"/>
  <c r="H136" i="1" s="1"/>
  <c r="C135" i="1"/>
  <c r="F134" i="1"/>
  <c r="A134" i="1"/>
  <c r="H134" i="1" s="1"/>
  <c r="C133" i="1"/>
  <c r="F132" i="1"/>
  <c r="A132" i="1"/>
  <c r="H132" i="1" s="1"/>
  <c r="C131" i="1"/>
  <c r="F130" i="1"/>
  <c r="A130" i="1"/>
  <c r="H130" i="1" s="1"/>
  <c r="C129" i="1"/>
  <c r="F128" i="1"/>
  <c r="A128" i="1"/>
  <c r="H128" i="1" s="1"/>
  <c r="C127" i="1"/>
  <c r="F126" i="1"/>
  <c r="A126" i="1"/>
  <c r="H126" i="1" s="1"/>
  <c r="C125" i="1"/>
  <c r="F124" i="1"/>
  <c r="A124" i="1"/>
  <c r="H124" i="1" s="1"/>
  <c r="C123" i="1"/>
  <c r="F122" i="1"/>
  <c r="A122" i="1"/>
  <c r="H122" i="1" s="1"/>
  <c r="C121" i="1"/>
  <c r="F120" i="1"/>
  <c r="A120" i="1"/>
  <c r="C119" i="1"/>
  <c r="F118" i="1"/>
  <c r="A118" i="1"/>
  <c r="C117" i="1"/>
  <c r="F116" i="1"/>
  <c r="A116" i="1"/>
  <c r="C115" i="1"/>
  <c r="F114" i="1"/>
  <c r="A114" i="1"/>
  <c r="C113" i="1"/>
  <c r="F112" i="1"/>
  <c r="A112" i="1"/>
  <c r="C111" i="1"/>
  <c r="F110" i="1"/>
  <c r="A110" i="1"/>
  <c r="H110" i="1" s="1"/>
  <c r="C109" i="1"/>
  <c r="F108" i="1"/>
  <c r="A108" i="1"/>
  <c r="H108" i="1" s="1"/>
  <c r="C206" i="1"/>
  <c r="D205" i="1"/>
  <c r="D204" i="1"/>
  <c r="F203" i="1"/>
  <c r="A201" i="1"/>
  <c r="H201" i="1" s="1"/>
  <c r="B200" i="1"/>
  <c r="B199" i="1"/>
  <c r="C198" i="1"/>
  <c r="D197" i="1"/>
  <c r="D196" i="1"/>
  <c r="F195" i="1"/>
  <c r="A193" i="1"/>
  <c r="H193" i="1" s="1"/>
  <c r="B192" i="1"/>
  <c r="B191" i="1"/>
  <c r="C190" i="1"/>
  <c r="D189" i="1"/>
  <c r="D188" i="1"/>
  <c r="F187" i="1"/>
  <c r="A185" i="1"/>
  <c r="H185" i="1" s="1"/>
  <c r="B184" i="1"/>
  <c r="B183" i="1"/>
  <c r="C182" i="1"/>
  <c r="D181" i="1"/>
  <c r="D180" i="1"/>
  <c r="F179" i="1"/>
  <c r="A177" i="1"/>
  <c r="H177" i="1" s="1"/>
  <c r="B176" i="1"/>
  <c r="B175" i="1"/>
  <c r="C174" i="1"/>
  <c r="D173" i="1"/>
  <c r="D172" i="1"/>
  <c r="F171" i="1"/>
  <c r="A169" i="1"/>
  <c r="H169" i="1" s="1"/>
  <c r="B168" i="1"/>
  <c r="B167" i="1"/>
  <c r="C166" i="1"/>
  <c r="D165" i="1"/>
  <c r="D164" i="1"/>
  <c r="B163" i="1"/>
  <c r="D162" i="1"/>
  <c r="B161" i="1"/>
  <c r="D160" i="1"/>
  <c r="B159" i="1"/>
  <c r="D158" i="1"/>
  <c r="B157" i="1"/>
  <c r="D156" i="1"/>
  <c r="B155" i="1"/>
  <c r="D154" i="1"/>
  <c r="B153" i="1"/>
  <c r="D152" i="1"/>
  <c r="B151" i="1"/>
  <c r="D150" i="1"/>
  <c r="B149" i="1"/>
  <c r="D148" i="1"/>
  <c r="B147" i="1"/>
  <c r="D146" i="1"/>
  <c r="B145" i="1"/>
  <c r="D144" i="1"/>
  <c r="B143" i="1"/>
  <c r="D142" i="1"/>
  <c r="B141" i="1"/>
  <c r="D140" i="1"/>
  <c r="B139" i="1"/>
  <c r="D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F261" i="1"/>
  <c r="C260" i="1"/>
  <c r="A259" i="1"/>
  <c r="F257" i="1"/>
  <c r="C256" i="1"/>
  <c r="A255" i="1"/>
  <c r="F253" i="1"/>
  <c r="C252" i="1"/>
  <c r="A251" i="1"/>
  <c r="F249" i="1"/>
  <c r="C248" i="1"/>
  <c r="A247" i="1"/>
  <c r="F245" i="1"/>
  <c r="C244" i="1"/>
  <c r="A243" i="1"/>
  <c r="F241" i="1"/>
  <c r="C240" i="1"/>
  <c r="A239" i="1"/>
  <c r="F237" i="1"/>
  <c r="C236" i="1"/>
  <c r="A235" i="1"/>
  <c r="B234" i="1"/>
  <c r="B233" i="1"/>
  <c r="C232" i="1"/>
  <c r="D231" i="1"/>
  <c r="D230" i="1"/>
  <c r="F229" i="1"/>
  <c r="G228" i="1"/>
  <c r="G227" i="1"/>
  <c r="A227" i="1"/>
  <c r="B226" i="1"/>
  <c r="B225" i="1"/>
  <c r="C224" i="1"/>
  <c r="D223" i="1"/>
  <c r="D222" i="1"/>
  <c r="F221" i="1"/>
  <c r="G220" i="1"/>
  <c r="G219" i="1"/>
  <c r="A219" i="1"/>
  <c r="B218" i="1"/>
  <c r="B217" i="1"/>
  <c r="C216" i="1"/>
  <c r="D215" i="1"/>
  <c r="D214" i="1"/>
  <c r="F213" i="1"/>
  <c r="G212" i="1"/>
  <c r="B63" i="1"/>
  <c r="E68" i="1"/>
  <c r="B75" i="1"/>
  <c r="B83" i="1"/>
  <c r="B91" i="1"/>
  <c r="E96" i="1"/>
  <c r="B103" i="1"/>
  <c r="F109" i="1"/>
  <c r="A115" i="1"/>
  <c r="A119" i="1"/>
  <c r="A123" i="1"/>
  <c r="H123" i="1" s="1"/>
  <c r="F129" i="1"/>
  <c r="F133" i="1"/>
  <c r="F137" i="1"/>
  <c r="C144" i="1"/>
  <c r="C148" i="1"/>
  <c r="C152" i="1"/>
  <c r="C156" i="1"/>
  <c r="F161" i="1"/>
  <c r="D171" i="1"/>
  <c r="A191" i="1"/>
  <c r="H191" i="1" s="1"/>
  <c r="H7" i="1"/>
  <c r="B57" i="1"/>
  <c r="E58" i="1"/>
  <c r="B61" i="1"/>
  <c r="E62" i="1"/>
  <c r="B65" i="1"/>
  <c r="E66" i="1"/>
  <c r="B69" i="1"/>
  <c r="E70" i="1"/>
  <c r="B73" i="1"/>
  <c r="E74" i="1"/>
  <c r="B77" i="1"/>
  <c r="E78" i="1"/>
  <c r="B81" i="1"/>
  <c r="E82" i="1"/>
  <c r="B85" i="1"/>
  <c r="E86" i="1"/>
  <c r="B89" i="1"/>
  <c r="E90" i="1"/>
  <c r="B93" i="1"/>
  <c r="E94" i="1"/>
  <c r="B97" i="1"/>
  <c r="E98" i="1"/>
  <c r="B101" i="1"/>
  <c r="E102" i="1"/>
  <c r="A109" i="1"/>
  <c r="H109" i="1" s="1"/>
  <c r="C110" i="1"/>
  <c r="F111" i="1"/>
  <c r="A113" i="1"/>
  <c r="C114" i="1"/>
  <c r="F115" i="1"/>
  <c r="A117" i="1"/>
  <c r="C118" i="1"/>
  <c r="F119" i="1"/>
  <c r="A121" i="1"/>
  <c r="C122" i="1"/>
  <c r="F123" i="1"/>
  <c r="A125" i="1"/>
  <c r="H125" i="1" s="1"/>
  <c r="C126" i="1"/>
  <c r="F127" i="1"/>
  <c r="A129" i="1"/>
  <c r="H129" i="1" s="1"/>
  <c r="C130" i="1"/>
  <c r="F131" i="1"/>
  <c r="A133" i="1"/>
  <c r="H133" i="1" s="1"/>
  <c r="C134" i="1"/>
  <c r="F135" i="1"/>
  <c r="A137" i="1"/>
  <c r="H137" i="1" s="1"/>
  <c r="C138" i="1"/>
  <c r="F139" i="1"/>
  <c r="A141" i="1"/>
  <c r="H141" i="1" s="1"/>
  <c r="C142" i="1"/>
  <c r="F143" i="1"/>
  <c r="A145" i="1"/>
  <c r="H145" i="1" s="1"/>
  <c r="C146" i="1"/>
  <c r="F147" i="1"/>
  <c r="A149" i="1"/>
  <c r="H149" i="1" s="1"/>
  <c r="C150" i="1"/>
  <c r="F151" i="1"/>
  <c r="A153" i="1"/>
  <c r="H153" i="1" s="1"/>
  <c r="C154" i="1"/>
  <c r="F155" i="1"/>
  <c r="A157" i="1"/>
  <c r="H157" i="1" s="1"/>
  <c r="C158" i="1"/>
  <c r="F159" i="1"/>
  <c r="A161" i="1"/>
  <c r="H161" i="1" s="1"/>
  <c r="C162" i="1"/>
  <c r="F163" i="1"/>
  <c r="B165" i="1"/>
  <c r="A167" i="1"/>
  <c r="H167" i="1" s="1"/>
  <c r="D170" i="1"/>
  <c r="C172" i="1"/>
  <c r="B174" i="1"/>
  <c r="F177" i="1"/>
  <c r="D179" i="1"/>
  <c r="B181" i="1"/>
  <c r="A183" i="1"/>
  <c r="H183" i="1" s="1"/>
  <c r="D186" i="1"/>
  <c r="C188" i="1"/>
  <c r="B190" i="1"/>
  <c r="F193" i="1"/>
  <c r="D195" i="1"/>
  <c r="B197" i="1"/>
  <c r="A199" i="1"/>
  <c r="H199" i="1" s="1"/>
  <c r="D202" i="1"/>
  <c r="C204" i="1"/>
  <c r="B216" i="1"/>
  <c r="G217" i="1"/>
  <c r="F219" i="1"/>
  <c r="D221" i="1"/>
  <c r="B223" i="1"/>
  <c r="A225" i="1"/>
  <c r="G226" i="1"/>
  <c r="D228" i="1"/>
  <c r="C230" i="1"/>
  <c r="B232" i="1"/>
  <c r="G233" i="1"/>
  <c r="G235" i="1"/>
  <c r="D238" i="1"/>
  <c r="B241" i="1"/>
  <c r="G243" i="1"/>
  <c r="D246" i="1"/>
  <c r="B249" i="1"/>
  <c r="G251" i="1"/>
  <c r="D254" i="1"/>
  <c r="B257" i="1"/>
  <c r="N5" i="2"/>
  <c r="D261" i="1"/>
  <c r="G260" i="1"/>
  <c r="B260" i="1"/>
  <c r="D259" i="1"/>
  <c r="G258" i="1"/>
  <c r="B258" i="1"/>
  <c r="D257" i="1"/>
  <c r="G256" i="1"/>
  <c r="B256" i="1"/>
  <c r="D255" i="1"/>
  <c r="G254" i="1"/>
  <c r="B254" i="1"/>
  <c r="D253" i="1"/>
  <c r="G252" i="1"/>
  <c r="B252" i="1"/>
  <c r="D251" i="1"/>
  <c r="G250" i="1"/>
  <c r="B250" i="1"/>
  <c r="D249" i="1"/>
  <c r="G248" i="1"/>
  <c r="B248" i="1"/>
  <c r="D247" i="1"/>
  <c r="G246" i="1"/>
  <c r="B246" i="1"/>
  <c r="D245" i="1"/>
  <c r="G244" i="1"/>
  <c r="B244" i="1"/>
  <c r="D243" i="1"/>
  <c r="G242" i="1"/>
  <c r="B242" i="1"/>
  <c r="D241" i="1"/>
  <c r="G240" i="1"/>
  <c r="B240" i="1"/>
  <c r="D239" i="1"/>
  <c r="G238" i="1"/>
  <c r="B238" i="1"/>
  <c r="D237" i="1"/>
  <c r="G236" i="1"/>
  <c r="B236" i="1"/>
  <c r="D235" i="1"/>
  <c r="C261" i="1"/>
  <c r="F260" i="1"/>
  <c r="A260" i="1"/>
  <c r="C259" i="1"/>
  <c r="F258" i="1"/>
  <c r="A258" i="1"/>
  <c r="C257" i="1"/>
  <c r="F256" i="1"/>
  <c r="A256" i="1"/>
  <c r="C255" i="1"/>
  <c r="F254" i="1"/>
  <c r="A254" i="1"/>
  <c r="C253" i="1"/>
  <c r="F252" i="1"/>
  <c r="A252" i="1"/>
  <c r="C251" i="1"/>
  <c r="F250" i="1"/>
  <c r="A250" i="1"/>
  <c r="C249" i="1"/>
  <c r="F248" i="1"/>
  <c r="A248" i="1"/>
  <c r="C247" i="1"/>
  <c r="F246" i="1"/>
  <c r="A246" i="1"/>
  <c r="C245" i="1"/>
  <c r="F244" i="1"/>
  <c r="A244" i="1"/>
  <c r="C243" i="1"/>
  <c r="F242" i="1"/>
  <c r="A242" i="1"/>
  <c r="C241" i="1"/>
  <c r="F240" i="1"/>
  <c r="A240" i="1"/>
  <c r="C239" i="1"/>
  <c r="F238" i="1"/>
  <c r="A238" i="1"/>
  <c r="C237" i="1"/>
  <c r="F236" i="1"/>
  <c r="A236" i="1"/>
  <c r="C235" i="1"/>
  <c r="F234" i="1"/>
  <c r="A234" i="1"/>
  <c r="C233" i="1"/>
  <c r="F232" i="1"/>
  <c r="A232" i="1"/>
  <c r="C231" i="1"/>
  <c r="F230" i="1"/>
  <c r="A230" i="1"/>
  <c r="C229" i="1"/>
  <c r="F228" i="1"/>
  <c r="A228" i="1"/>
  <c r="C227" i="1"/>
  <c r="F226" i="1"/>
  <c r="A226" i="1"/>
  <c r="C225" i="1"/>
  <c r="F224" i="1"/>
  <c r="A224" i="1"/>
  <c r="C223" i="1"/>
  <c r="F222" i="1"/>
  <c r="A222" i="1"/>
  <c r="C221" i="1"/>
  <c r="F220" i="1"/>
  <c r="A220" i="1"/>
  <c r="C219" i="1"/>
  <c r="F218" i="1"/>
  <c r="A218" i="1"/>
  <c r="C217" i="1"/>
  <c r="F216" i="1"/>
  <c r="A216" i="1"/>
  <c r="C215" i="1"/>
  <c r="F214" i="1"/>
  <c r="A214" i="1"/>
  <c r="C213" i="1"/>
  <c r="F212" i="1"/>
  <c r="A212" i="1"/>
  <c r="B212" i="1"/>
  <c r="A213" i="1"/>
  <c r="G213" i="1"/>
  <c r="G214" i="1"/>
  <c r="F215" i="1"/>
  <c r="D216" i="1"/>
  <c r="D217" i="1"/>
  <c r="C218" i="1"/>
  <c r="B219" i="1"/>
  <c r="B220" i="1"/>
  <c r="A221" i="1"/>
  <c r="G221" i="1"/>
  <c r="G222" i="1"/>
  <c r="F223" i="1"/>
  <c r="D224" i="1"/>
  <c r="D225" i="1"/>
  <c r="C226" i="1"/>
  <c r="B227" i="1"/>
  <c r="B228" i="1"/>
  <c r="A229" i="1"/>
  <c r="G229" i="1"/>
  <c r="G230" i="1"/>
  <c r="F231" i="1"/>
  <c r="D232" i="1"/>
  <c r="D233" i="1"/>
  <c r="C234" i="1"/>
  <c r="B235" i="1"/>
  <c r="D236" i="1"/>
  <c r="G237" i="1"/>
  <c r="B239" i="1"/>
  <c r="D240" i="1"/>
  <c r="G241" i="1"/>
  <c r="B243" i="1"/>
  <c r="D244" i="1"/>
  <c r="G245" i="1"/>
  <c r="B247" i="1"/>
  <c r="D248" i="1"/>
  <c r="G249" i="1"/>
  <c r="B251" i="1"/>
  <c r="D252" i="1"/>
  <c r="G253" i="1"/>
  <c r="B255" i="1"/>
  <c r="D256" i="1"/>
  <c r="G257" i="1"/>
  <c r="B259" i="1"/>
  <c r="D260" i="1"/>
  <c r="G261" i="1"/>
  <c r="E105" i="1" l="1"/>
  <c r="D262" i="1"/>
  <c r="D207" i="1"/>
  <c r="C3" i="1"/>
  <c r="F3" i="6" s="1"/>
  <c r="N6" i="2"/>
  <c r="H8" i="1"/>
  <c r="H112" i="1"/>
  <c r="D208" i="1" l="1"/>
  <c r="H9" i="1"/>
  <c r="N7" i="2"/>
  <c r="H113" i="1"/>
  <c r="H114" i="1" l="1"/>
  <c r="A57" i="6" s="1"/>
  <c r="H10" i="1"/>
  <c r="H11" i="1"/>
  <c r="N9" i="2"/>
  <c r="N8" i="2"/>
  <c r="H115" i="1" l="1"/>
  <c r="C58" i="6" s="1"/>
  <c r="D57" i="6"/>
  <c r="C57" i="6"/>
  <c r="F57" i="6"/>
  <c r="B57" i="6"/>
  <c r="H12" i="1"/>
  <c r="N10" i="2"/>
  <c r="A58" i="6" l="1"/>
  <c r="B58" i="6"/>
  <c r="H116" i="1"/>
  <c r="D59" i="6" s="1"/>
  <c r="D58" i="6"/>
  <c r="F58" i="6"/>
  <c r="A59" i="6"/>
  <c r="H117" i="1"/>
  <c r="B59" i="6"/>
  <c r="D60" i="6"/>
  <c r="C59" i="6"/>
  <c r="F60" i="6"/>
  <c r="N11" i="2"/>
  <c r="H13" i="1"/>
  <c r="H118" i="1" l="1"/>
  <c r="H119" i="1" s="1"/>
  <c r="H120" i="1" s="1"/>
  <c r="H121" i="1" s="1"/>
  <c r="F66" i="6" s="1"/>
  <c r="C60" i="6"/>
  <c r="F59" i="6"/>
  <c r="B60" i="6"/>
  <c r="A60" i="6"/>
  <c r="H14" i="1"/>
  <c r="N12" i="2"/>
  <c r="D61" i="6" l="1"/>
  <c r="C62" i="6"/>
  <c r="A62" i="6"/>
  <c r="D62" i="6"/>
  <c r="B62" i="6"/>
  <c r="A61" i="6"/>
  <c r="F61" i="6"/>
  <c r="F62" i="6"/>
  <c r="C61" i="6"/>
  <c r="B61" i="6"/>
  <c r="B68" i="6"/>
  <c r="F103" i="6"/>
  <c r="B88" i="6"/>
  <c r="C65" i="6"/>
  <c r="A99" i="6"/>
  <c r="C93" i="6"/>
  <c r="D79" i="6"/>
  <c r="F86" i="6"/>
  <c r="C69" i="6"/>
  <c r="D98" i="6"/>
  <c r="C70" i="6"/>
  <c r="B75" i="6"/>
  <c r="F69" i="6"/>
  <c r="F83" i="6"/>
  <c r="C104" i="6"/>
  <c r="C96" i="6"/>
  <c r="F74" i="6"/>
  <c r="B73" i="6"/>
  <c r="D73" i="6"/>
  <c r="A78" i="6"/>
  <c r="C76" i="6"/>
  <c r="B79" i="6"/>
  <c r="D88" i="6"/>
  <c r="C106" i="6"/>
  <c r="B65" i="6"/>
  <c r="B99" i="6"/>
  <c r="F95" i="6"/>
  <c r="F70" i="6"/>
  <c r="F90" i="6"/>
  <c r="A66" i="6"/>
  <c r="B100" i="6"/>
  <c r="D93" i="6"/>
  <c r="B64" i="6"/>
  <c r="A82" i="6"/>
  <c r="A67" i="6"/>
  <c r="A76" i="6"/>
  <c r="F63" i="6"/>
  <c r="F65" i="6"/>
  <c r="B77" i="6"/>
  <c r="C87" i="6"/>
  <c r="A104" i="6"/>
  <c r="A103" i="6"/>
  <c r="C97" i="6"/>
  <c r="C78" i="6"/>
  <c r="B103" i="6"/>
  <c r="C74" i="6"/>
  <c r="C63" i="6"/>
  <c r="C68" i="6"/>
  <c r="C92" i="6"/>
  <c r="B102" i="6"/>
  <c r="A73" i="6"/>
  <c r="A86" i="6"/>
  <c r="B95" i="6"/>
  <c r="C66" i="6"/>
  <c r="D75" i="6"/>
  <c r="F98" i="6"/>
  <c r="F68" i="6"/>
  <c r="D91" i="6"/>
  <c r="A96" i="6"/>
  <c r="F104" i="6"/>
  <c r="C64" i="6"/>
  <c r="A90" i="6"/>
  <c r="D78" i="6"/>
  <c r="A102" i="6"/>
  <c r="B83" i="6"/>
  <c r="A93" i="6"/>
  <c r="D77" i="6"/>
  <c r="B66" i="6"/>
  <c r="C91" i="6"/>
  <c r="D64" i="6"/>
  <c r="C79" i="6"/>
  <c r="A100" i="6"/>
  <c r="B69" i="6"/>
  <c r="A87" i="6"/>
  <c r="B70" i="6"/>
  <c r="A77" i="6"/>
  <c r="F64" i="6"/>
  <c r="B67" i="6"/>
  <c r="A74" i="6"/>
  <c r="D71" i="6"/>
  <c r="A79" i="6"/>
  <c r="F99" i="6"/>
  <c r="F72" i="6"/>
  <c r="F78" i="6"/>
  <c r="B93" i="6"/>
  <c r="F102" i="6"/>
  <c r="A101" i="6"/>
  <c r="B80" i="6"/>
  <c r="D107" i="6"/>
  <c r="F71" i="6"/>
  <c r="B105" i="6"/>
  <c r="C85" i="6"/>
  <c r="C84" i="6"/>
  <c r="C77" i="6"/>
  <c r="D86" i="6"/>
  <c r="C80" i="6"/>
  <c r="B81" i="6"/>
  <c r="C105" i="6"/>
  <c r="A69" i="6"/>
  <c r="F91" i="6"/>
  <c r="B74" i="6"/>
  <c r="D100" i="6"/>
  <c r="D105" i="6"/>
  <c r="B96" i="6"/>
  <c r="D84" i="6"/>
  <c r="C100" i="6"/>
  <c r="F101" i="6"/>
  <c r="F100" i="6"/>
  <c r="A83" i="6"/>
  <c r="C73" i="6"/>
  <c r="F96" i="6"/>
  <c r="C101" i="6"/>
  <c r="F105" i="6"/>
  <c r="A81" i="6"/>
  <c r="A65" i="6"/>
  <c r="B84" i="6"/>
  <c r="A88" i="6"/>
  <c r="F77" i="6"/>
  <c r="D94" i="6"/>
  <c r="F81" i="6"/>
  <c r="C75" i="6"/>
  <c r="F73" i="6"/>
  <c r="F75" i="6"/>
  <c r="A94" i="6"/>
  <c r="A71" i="6"/>
  <c r="D70" i="6"/>
  <c r="B98" i="6"/>
  <c r="D67" i="6"/>
  <c r="C103" i="6"/>
  <c r="D69" i="6"/>
  <c r="B106" i="6"/>
  <c r="D102" i="6"/>
  <c r="F106" i="6"/>
  <c r="B104" i="6"/>
  <c r="F67" i="6"/>
  <c r="D68" i="6"/>
  <c r="D63" i="6"/>
  <c r="C71" i="6"/>
  <c r="B63" i="6"/>
  <c r="A64" i="6"/>
  <c r="D101" i="6"/>
  <c r="A105" i="6"/>
  <c r="B101" i="6"/>
  <c r="F88" i="6"/>
  <c r="D90" i="6"/>
  <c r="C98" i="6"/>
  <c r="B90" i="6"/>
  <c r="D97" i="6"/>
  <c r="A75" i="6"/>
  <c r="B92" i="6"/>
  <c r="C99" i="6"/>
  <c r="A98" i="6"/>
  <c r="C89" i="6"/>
  <c r="D96" i="6"/>
  <c r="D95" i="6"/>
  <c r="D83" i="6"/>
  <c r="C81" i="6"/>
  <c r="B86" i="6"/>
  <c r="D87" i="6"/>
  <c r="D85" i="6"/>
  <c r="A89" i="6"/>
  <c r="B82" i="6"/>
  <c r="F80" i="6"/>
  <c r="D66" i="6"/>
  <c r="A85" i="6"/>
  <c r="D104" i="6"/>
  <c r="D99" i="6"/>
  <c r="A95" i="6"/>
  <c r="D106" i="6"/>
  <c r="C90" i="6"/>
  <c r="D80" i="6"/>
  <c r="C67" i="6"/>
  <c r="A72" i="6"/>
  <c r="A106" i="6"/>
  <c r="B78" i="6"/>
  <c r="A63" i="6"/>
  <c r="C94" i="6"/>
  <c r="F92" i="6"/>
  <c r="F76" i="6"/>
  <c r="D81" i="6"/>
  <c r="F84" i="6"/>
  <c r="F89" i="6"/>
  <c r="B97" i="6"/>
  <c r="D92" i="6"/>
  <c r="C86" i="6"/>
  <c r="C72" i="6"/>
  <c r="C82" i="6"/>
  <c r="F94" i="6"/>
  <c r="C95" i="6"/>
  <c r="A70" i="6"/>
  <c r="B76" i="6"/>
  <c r="B72" i="6"/>
  <c r="D72" i="6"/>
  <c r="A80" i="6"/>
  <c r="C102" i="6"/>
  <c r="B89" i="6"/>
  <c r="F97" i="6"/>
  <c r="D65" i="6"/>
  <c r="C88" i="6"/>
  <c r="B87" i="6"/>
  <c r="F87" i="6"/>
  <c r="F82" i="6"/>
  <c r="A84" i="6"/>
  <c r="B94" i="6"/>
  <c r="B85" i="6"/>
  <c r="D82" i="6"/>
  <c r="B71" i="6"/>
  <c r="C83" i="6"/>
  <c r="A91" i="6"/>
  <c r="D103" i="6"/>
  <c r="F85" i="6"/>
  <c r="B91" i="6"/>
  <c r="F93" i="6"/>
  <c r="D74" i="6"/>
  <c r="D89" i="6"/>
  <c r="F79" i="6"/>
  <c r="A97" i="6"/>
  <c r="A68" i="6"/>
  <c r="D76" i="6"/>
  <c r="A92" i="6"/>
  <c r="H15" i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N13" i="2"/>
  <c r="A5" i="6" l="1"/>
  <c r="F5" i="6"/>
  <c r="B5" i="6"/>
  <c r="C5" i="6"/>
  <c r="E5" i="6"/>
  <c r="A9" i="6"/>
  <c r="B8" i="6"/>
  <c r="C7" i="6"/>
  <c r="F7" i="6"/>
  <c r="A6" i="6"/>
  <c r="C9" i="6"/>
  <c r="C8" i="6"/>
  <c r="E8" i="6"/>
  <c r="E6" i="6"/>
  <c r="A8" i="6"/>
  <c r="B10" i="6"/>
  <c r="E7" i="6"/>
  <c r="E9" i="6"/>
  <c r="F8" i="6"/>
  <c r="B11" i="6"/>
  <c r="C11" i="6"/>
  <c r="F6" i="6"/>
  <c r="A10" i="6"/>
  <c r="B7" i="6"/>
  <c r="B6" i="6"/>
  <c r="C6" i="6"/>
  <c r="F10" i="6"/>
  <c r="A7" i="6"/>
  <c r="F9" i="6"/>
  <c r="F11" i="6"/>
  <c r="E10" i="6"/>
  <c r="B9" i="6"/>
  <c r="C10" i="6"/>
  <c r="F16" i="6"/>
  <c r="E11" i="6"/>
  <c r="C23" i="6"/>
  <c r="A22" i="6"/>
  <c r="A19" i="6"/>
  <c r="F30" i="6"/>
  <c r="B37" i="6"/>
  <c r="C31" i="6"/>
  <c r="C48" i="6"/>
  <c r="A30" i="6"/>
  <c r="A15" i="6"/>
  <c r="C41" i="6"/>
  <c r="A35" i="6"/>
  <c r="A17" i="6"/>
  <c r="F46" i="6"/>
  <c r="C36" i="6"/>
  <c r="F44" i="6"/>
  <c r="F27" i="6"/>
  <c r="E25" i="6"/>
  <c r="B46" i="6"/>
  <c r="C32" i="6"/>
  <c r="E45" i="6"/>
  <c r="C40" i="6"/>
  <c r="A27" i="6"/>
  <c r="C51" i="6"/>
  <c r="C27" i="6"/>
  <c r="A43" i="6"/>
  <c r="F47" i="6"/>
  <c r="E29" i="6"/>
  <c r="E49" i="6"/>
  <c r="B21" i="6"/>
  <c r="A34" i="6"/>
  <c r="A29" i="6"/>
  <c r="C24" i="6"/>
  <c r="C18" i="6"/>
  <c r="B48" i="6"/>
  <c r="F52" i="6"/>
  <c r="A26" i="6"/>
  <c r="B53" i="6"/>
  <c r="E36" i="6"/>
  <c r="F19" i="6"/>
  <c r="B25" i="6"/>
  <c r="A36" i="6"/>
  <c r="A11" i="6"/>
  <c r="F31" i="6"/>
  <c r="A25" i="6"/>
  <c r="B44" i="6"/>
  <c r="C35" i="6"/>
  <c r="F14" i="6"/>
  <c r="E50" i="6"/>
  <c r="E34" i="6"/>
  <c r="E32" i="6"/>
  <c r="F35" i="6"/>
  <c r="B27" i="6"/>
  <c r="A20" i="6"/>
  <c r="B24" i="6"/>
  <c r="F40" i="6"/>
  <c r="E53" i="6"/>
  <c r="C49" i="6"/>
  <c r="A23" i="6"/>
  <c r="A51" i="6"/>
  <c r="A31" i="6"/>
  <c r="B16" i="6"/>
  <c r="A39" i="6"/>
  <c r="F36" i="6"/>
  <c r="C12" i="6"/>
  <c r="B52" i="6"/>
  <c r="F41" i="6"/>
  <c r="E23" i="6"/>
  <c r="A24" i="6"/>
  <c r="C29" i="6"/>
  <c r="B41" i="6"/>
  <c r="B50" i="6"/>
  <c r="E14" i="6"/>
  <c r="F48" i="6"/>
  <c r="E38" i="6"/>
  <c r="B30" i="6"/>
  <c r="F34" i="6"/>
  <c r="A12" i="6"/>
  <c r="C37" i="6"/>
  <c r="F22" i="6"/>
  <c r="F51" i="6"/>
  <c r="C19" i="6"/>
  <c r="F25" i="6"/>
  <c r="C26" i="6"/>
  <c r="F24" i="6"/>
  <c r="E28" i="6"/>
  <c r="B40" i="6"/>
  <c r="A49" i="6"/>
  <c r="A16" i="6"/>
  <c r="C47" i="6"/>
  <c r="B35" i="6"/>
  <c r="E22" i="6"/>
  <c r="B49" i="6"/>
  <c r="F39" i="6"/>
  <c r="B22" i="6"/>
  <c r="F20" i="6"/>
  <c r="B54" i="6"/>
  <c r="B33" i="6"/>
  <c r="B29" i="6"/>
  <c r="A37" i="6"/>
  <c r="B17" i="6"/>
  <c r="F37" i="6"/>
  <c r="E43" i="6"/>
  <c r="F28" i="6"/>
  <c r="C50" i="6"/>
  <c r="C54" i="6"/>
  <c r="C39" i="6"/>
  <c r="E27" i="6"/>
  <c r="B38" i="6"/>
  <c r="B28" i="6"/>
  <c r="E52" i="6"/>
  <c r="C33" i="6"/>
  <c r="A42" i="6"/>
  <c r="A47" i="6"/>
  <c r="F15" i="6"/>
  <c r="B23" i="6"/>
  <c r="F50" i="6"/>
  <c r="F29" i="6"/>
  <c r="F23" i="6"/>
  <c r="E46" i="6"/>
  <c r="C42" i="6"/>
  <c r="F42" i="6"/>
  <c r="F33" i="6"/>
  <c r="A38" i="6"/>
  <c r="B14" i="6"/>
  <c r="B34" i="6"/>
  <c r="A54" i="6"/>
  <c r="C38" i="6"/>
  <c r="A32" i="6"/>
  <c r="C53" i="6"/>
  <c r="E33" i="6"/>
  <c r="E17" i="6"/>
  <c r="A28" i="6"/>
  <c r="C13" i="6"/>
  <c r="E20" i="6"/>
  <c r="E41" i="6"/>
  <c r="E40" i="6"/>
  <c r="C43" i="6"/>
  <c r="E35" i="6"/>
  <c r="F12" i="6"/>
  <c r="E37" i="6"/>
  <c r="A41" i="6"/>
  <c r="B47" i="6"/>
  <c r="B12" i="6"/>
  <c r="E48" i="6"/>
  <c r="C22" i="6"/>
  <c r="A46" i="6"/>
  <c r="F32" i="6"/>
  <c r="A21" i="6"/>
  <c r="E39" i="6"/>
  <c r="B19" i="6"/>
  <c r="C34" i="6"/>
  <c r="E55" i="6"/>
  <c r="C15" i="6"/>
  <c r="E13" i="6"/>
  <c r="A40" i="6"/>
  <c r="A13" i="6"/>
  <c r="C28" i="6"/>
  <c r="E26" i="6"/>
  <c r="E51" i="6"/>
  <c r="A45" i="6"/>
  <c r="F54" i="6"/>
  <c r="B39" i="6"/>
  <c r="E42" i="6"/>
  <c r="A18" i="6"/>
  <c r="F18" i="6"/>
  <c r="F26" i="6"/>
  <c r="B13" i="6"/>
  <c r="E21" i="6"/>
  <c r="A52" i="6"/>
  <c r="C20" i="6"/>
  <c r="E19" i="6"/>
  <c r="C52" i="6"/>
  <c r="F38" i="6"/>
  <c r="C25" i="6"/>
  <c r="A50" i="6"/>
  <c r="E16" i="6"/>
  <c r="A44" i="6"/>
  <c r="B26" i="6"/>
  <c r="B45" i="6"/>
  <c r="A53" i="6"/>
  <c r="B18" i="6"/>
  <c r="E24" i="6"/>
  <c r="E18" i="6"/>
  <c r="A48" i="6"/>
  <c r="F43" i="6"/>
  <c r="B32" i="6"/>
  <c r="C30" i="6"/>
  <c r="B51" i="6"/>
  <c r="A33" i="6"/>
  <c r="C46" i="6"/>
  <c r="F17" i="6"/>
  <c r="E44" i="6"/>
  <c r="C17" i="6"/>
  <c r="E31" i="6"/>
  <c r="E54" i="6"/>
  <c r="E12" i="6"/>
  <c r="B15" i="6"/>
  <c r="C14" i="6"/>
  <c r="F45" i="6"/>
  <c r="C44" i="6"/>
  <c r="E47" i="6"/>
  <c r="F21" i="6"/>
  <c r="C16" i="6"/>
  <c r="C45" i="6"/>
  <c r="E15" i="6"/>
  <c r="A14" i="6"/>
  <c r="F49" i="6"/>
  <c r="B31" i="6"/>
  <c r="B36" i="6"/>
  <c r="F13" i="6"/>
  <c r="F53" i="6"/>
  <c r="B42" i="6"/>
  <c r="B20" i="6"/>
  <c r="C21" i="6"/>
  <c r="B43" i="6"/>
  <c r="E30" i="6"/>
  <c r="N14" i="2"/>
  <c r="N15" i="2" l="1"/>
  <c r="N16" i="2" s="1"/>
  <c r="N17" i="2" s="1"/>
  <c r="N18" i="2" s="1"/>
  <c r="N19" i="2" s="1"/>
  <c r="N20" i="2" s="1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N32" i="2" s="1"/>
  <c r="N33" i="2" s="1"/>
  <c r="N34" i="2" s="1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N45" i="2" s="1"/>
  <c r="N46" i="2" s="1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N57" i="2" s="1"/>
  <c r="N58" i="2" s="1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D108" i="6"/>
  <c r="E108" i="6"/>
  <c r="E6" i="5" l="1"/>
  <c r="B5" i="5"/>
  <c r="A6" i="5"/>
  <c r="G6" i="5"/>
  <c r="A5" i="5"/>
  <c r="H5" i="5"/>
  <c r="C6" i="5"/>
  <c r="K6" i="5"/>
  <c r="F6" i="5"/>
  <c r="J5" i="5"/>
  <c r="E5" i="5"/>
  <c r="I5" i="5"/>
  <c r="I6" i="5"/>
  <c r="C5" i="5"/>
  <c r="D5" i="5"/>
  <c r="G5" i="5"/>
  <c r="F5" i="5"/>
  <c r="K5" i="5"/>
  <c r="H7" i="5"/>
  <c r="J6" i="5"/>
  <c r="D6" i="5"/>
  <c r="D7" i="5"/>
  <c r="K7" i="5"/>
  <c r="H6" i="5"/>
  <c r="B6" i="5"/>
  <c r="A8" i="5"/>
  <c r="I7" i="5"/>
  <c r="H8" i="5"/>
  <c r="F8" i="5"/>
  <c r="B7" i="5"/>
  <c r="E7" i="5"/>
  <c r="J7" i="5"/>
  <c r="J8" i="5"/>
  <c r="I8" i="5"/>
  <c r="A7" i="5"/>
  <c r="C7" i="5"/>
  <c r="F7" i="5"/>
  <c r="B8" i="5"/>
  <c r="G7" i="5"/>
  <c r="H11" i="5"/>
  <c r="K8" i="5"/>
  <c r="E8" i="5"/>
  <c r="G8" i="5"/>
  <c r="E9" i="5"/>
  <c r="C8" i="5"/>
  <c r="D8" i="5"/>
  <c r="D9" i="5"/>
  <c r="J9" i="5"/>
  <c r="J12" i="5"/>
  <c r="K12" i="5"/>
  <c r="C14" i="5"/>
  <c r="I9" i="5"/>
  <c r="A10" i="5"/>
  <c r="K10" i="5"/>
  <c r="K9" i="5"/>
  <c r="I11" i="5"/>
  <c r="I12" i="5"/>
  <c r="I10" i="5"/>
  <c r="E12" i="5"/>
  <c r="J13" i="5"/>
  <c r="G11" i="5"/>
  <c r="G12" i="5"/>
  <c r="C10" i="5"/>
  <c r="J11" i="5"/>
  <c r="C12" i="5"/>
  <c r="H9" i="5"/>
  <c r="D10" i="5"/>
  <c r="B9" i="5"/>
  <c r="H10" i="5"/>
  <c r="B10" i="5"/>
  <c r="G10" i="5"/>
  <c r="A12" i="5"/>
  <c r="E13" i="5"/>
  <c r="A11" i="5"/>
  <c r="C9" i="5"/>
  <c r="F12" i="5"/>
  <c r="A9" i="5"/>
  <c r="B12" i="5"/>
  <c r="E11" i="5"/>
  <c r="B11" i="5"/>
  <c r="C11" i="5"/>
  <c r="J10" i="5"/>
  <c r="K11" i="5"/>
  <c r="D11" i="5"/>
  <c r="G9" i="5"/>
  <c r="E10" i="5"/>
  <c r="F11" i="5"/>
  <c r="F9" i="5"/>
  <c r="D12" i="5"/>
  <c r="F10" i="5"/>
  <c r="A36" i="5"/>
  <c r="D81" i="5"/>
  <c r="C118" i="5"/>
  <c r="J152" i="5"/>
  <c r="G17" i="5"/>
  <c r="D48" i="5"/>
  <c r="C90" i="5"/>
  <c r="A141" i="5"/>
  <c r="F99" i="5"/>
  <c r="G122" i="5"/>
  <c r="H93" i="5"/>
  <c r="D126" i="5"/>
  <c r="J120" i="5"/>
  <c r="I142" i="5"/>
  <c r="J70" i="5"/>
  <c r="I92" i="5"/>
  <c r="E126" i="5"/>
  <c r="A120" i="5"/>
  <c r="E59" i="5"/>
  <c r="F58" i="5"/>
  <c r="K45" i="5"/>
  <c r="A151" i="5"/>
  <c r="H32" i="5"/>
  <c r="C37" i="5"/>
  <c r="J128" i="5"/>
  <c r="E107" i="5"/>
  <c r="J78" i="5"/>
  <c r="K60" i="5"/>
  <c r="I105" i="5"/>
  <c r="I83" i="5"/>
  <c r="H74" i="5"/>
  <c r="E132" i="5"/>
  <c r="C61" i="5"/>
  <c r="A133" i="5"/>
  <c r="E17" i="5"/>
  <c r="F35" i="5"/>
  <c r="J101" i="5"/>
  <c r="C100" i="5"/>
  <c r="J132" i="5"/>
  <c r="A39" i="5"/>
  <c r="A117" i="5"/>
  <c r="K88" i="5"/>
  <c r="B143" i="5"/>
  <c r="D89" i="5"/>
  <c r="G83" i="5"/>
  <c r="I32" i="5"/>
  <c r="D101" i="5"/>
  <c r="J21" i="5"/>
  <c r="A20" i="5"/>
  <c r="K96" i="5"/>
  <c r="G113" i="5"/>
  <c r="D131" i="5"/>
  <c r="B142" i="5"/>
  <c r="H30" i="5"/>
  <c r="H70" i="5"/>
  <c r="F101" i="5"/>
  <c r="C127" i="5"/>
  <c r="K118" i="5"/>
  <c r="E143" i="5"/>
  <c r="E120" i="5"/>
  <c r="I114" i="5"/>
  <c r="E145" i="5"/>
  <c r="C29" i="5"/>
  <c r="B14" i="5"/>
  <c r="E91" i="5"/>
  <c r="E67" i="5"/>
  <c r="K68" i="5"/>
  <c r="F78" i="5"/>
  <c r="H41" i="5"/>
  <c r="J129" i="5"/>
  <c r="G92" i="5"/>
  <c r="J87" i="5"/>
  <c r="E125" i="5"/>
  <c r="F37" i="5"/>
  <c r="J104" i="5"/>
  <c r="J119" i="5"/>
  <c r="I26" i="5"/>
  <c r="C131" i="5"/>
  <c r="H48" i="5"/>
  <c r="H101" i="5"/>
  <c r="C144" i="5"/>
  <c r="H90" i="5"/>
  <c r="J122" i="5"/>
  <c r="B32" i="5"/>
  <c r="D137" i="5"/>
  <c r="D133" i="5"/>
  <c r="H31" i="5"/>
  <c r="B45" i="5"/>
  <c r="D62" i="5"/>
  <c r="H78" i="5"/>
  <c r="B118" i="5"/>
  <c r="A103" i="5"/>
  <c r="B107" i="5"/>
  <c r="E129" i="5"/>
  <c r="E44" i="5"/>
  <c r="D94" i="5"/>
  <c r="A128" i="5"/>
  <c r="K95" i="5"/>
  <c r="J72" i="5"/>
  <c r="I68" i="5"/>
  <c r="E84" i="5"/>
  <c r="J135" i="5"/>
  <c r="G42" i="5"/>
  <c r="A135" i="5"/>
  <c r="D76" i="5"/>
  <c r="H105" i="5"/>
  <c r="C26" i="5"/>
  <c r="K71" i="5"/>
  <c r="D65" i="5"/>
  <c r="C116" i="5"/>
  <c r="B48" i="5"/>
  <c r="H99" i="5"/>
  <c r="C104" i="5"/>
  <c r="H134" i="5"/>
  <c r="H81" i="5"/>
  <c r="J53" i="5"/>
  <c r="B70" i="5"/>
  <c r="B22" i="5"/>
  <c r="A132" i="5"/>
  <c r="J65" i="5"/>
  <c r="H138" i="5"/>
  <c r="D120" i="5"/>
  <c r="F123" i="5"/>
  <c r="F29" i="5"/>
  <c r="K154" i="5"/>
  <c r="D85" i="5"/>
  <c r="K42" i="5"/>
  <c r="G118" i="5"/>
  <c r="J19" i="5"/>
  <c r="B80" i="5"/>
  <c r="B55" i="5"/>
  <c r="I57" i="5"/>
  <c r="K63" i="5"/>
  <c r="C126" i="5"/>
  <c r="K132" i="5"/>
  <c r="E118" i="5"/>
  <c r="G104" i="5"/>
  <c r="A125" i="5"/>
  <c r="F148" i="5"/>
  <c r="A122" i="5"/>
  <c r="G40" i="5"/>
  <c r="G78" i="5"/>
  <c r="E96" i="5"/>
  <c r="I43" i="5"/>
  <c r="G110" i="5"/>
  <c r="F65" i="5"/>
  <c r="B108" i="5"/>
  <c r="G45" i="5"/>
  <c r="C32" i="5"/>
  <c r="D39" i="5"/>
  <c r="G88" i="5"/>
  <c r="D144" i="5"/>
  <c r="B25" i="5"/>
  <c r="B149" i="5"/>
  <c r="F136" i="5"/>
  <c r="C13" i="5"/>
  <c r="I31" i="5"/>
  <c r="H58" i="5"/>
  <c r="D104" i="5"/>
  <c r="K114" i="5"/>
  <c r="C77" i="5"/>
  <c r="F89" i="5"/>
  <c r="E35" i="5"/>
  <c r="G127" i="5"/>
  <c r="B75" i="5"/>
  <c r="K28" i="5"/>
  <c r="H86" i="5"/>
  <c r="E117" i="5"/>
  <c r="I75" i="5"/>
  <c r="H128" i="5"/>
  <c r="G82" i="5"/>
  <c r="E150" i="5"/>
  <c r="I30" i="5"/>
  <c r="G32" i="5"/>
  <c r="F72" i="5"/>
  <c r="E98" i="5"/>
  <c r="J31" i="5"/>
  <c r="H133" i="5"/>
  <c r="F135" i="5"/>
  <c r="J16" i="5"/>
  <c r="G144" i="5"/>
  <c r="F113" i="5"/>
  <c r="D34" i="5"/>
  <c r="K111" i="5"/>
  <c r="J145" i="5"/>
  <c r="J149" i="5"/>
  <c r="F76" i="5"/>
  <c r="H131" i="5"/>
  <c r="G151" i="5"/>
  <c r="C113" i="5"/>
  <c r="B86" i="5"/>
  <c r="D78" i="5"/>
  <c r="E152" i="5"/>
  <c r="J107" i="5"/>
  <c r="J55" i="5"/>
  <c r="F45" i="5"/>
  <c r="D60" i="5"/>
  <c r="C65" i="5"/>
  <c r="A89" i="5"/>
  <c r="J60" i="5"/>
  <c r="G123" i="5"/>
  <c r="H152" i="5"/>
  <c r="J39" i="5"/>
  <c r="B24" i="5"/>
  <c r="H50" i="5"/>
  <c r="K115" i="5"/>
  <c r="A32" i="5"/>
  <c r="K52" i="5"/>
  <c r="J150" i="5"/>
  <c r="E121" i="5"/>
  <c r="K97" i="5"/>
  <c r="E87" i="5"/>
  <c r="I124" i="5"/>
  <c r="G85" i="5"/>
  <c r="D135" i="5"/>
  <c r="G53" i="5"/>
  <c r="A52" i="5"/>
  <c r="C121" i="5"/>
  <c r="F81" i="5"/>
  <c r="G44" i="5"/>
  <c r="E55" i="5"/>
  <c r="H123" i="5"/>
  <c r="F147" i="5"/>
  <c r="A121" i="5"/>
  <c r="F137" i="5"/>
  <c r="I121" i="5"/>
  <c r="G98" i="5"/>
  <c r="J24" i="5"/>
  <c r="I119" i="5"/>
  <c r="C71" i="5"/>
  <c r="K120" i="5"/>
  <c r="D21" i="5"/>
  <c r="B41" i="5"/>
  <c r="E135" i="5"/>
  <c r="I140" i="5"/>
  <c r="A65" i="5"/>
  <c r="D112" i="5"/>
  <c r="K13" i="5"/>
  <c r="A59" i="5"/>
  <c r="B140" i="5"/>
  <c r="B89" i="5"/>
  <c r="J95" i="5"/>
  <c r="F21" i="5"/>
  <c r="F142" i="5"/>
  <c r="C94" i="5"/>
  <c r="E52" i="5"/>
  <c r="A150" i="5"/>
  <c r="H59" i="5"/>
  <c r="B21" i="5"/>
  <c r="B26" i="5"/>
  <c r="I101" i="5"/>
  <c r="C62" i="5"/>
  <c r="G145" i="5"/>
  <c r="G94" i="5"/>
  <c r="B38" i="5"/>
  <c r="B102" i="5"/>
  <c r="A97" i="5"/>
  <c r="A94" i="5"/>
  <c r="D71" i="5"/>
  <c r="G47" i="5"/>
  <c r="K86" i="5"/>
  <c r="C152" i="5"/>
  <c r="K83" i="5"/>
  <c r="K32" i="5"/>
  <c r="H80" i="5"/>
  <c r="F112" i="5"/>
  <c r="F125" i="5"/>
  <c r="J123" i="5"/>
  <c r="D42" i="5"/>
  <c r="H115" i="5"/>
  <c r="I19" i="5"/>
  <c r="H121" i="5"/>
  <c r="J99" i="5"/>
  <c r="E109" i="5"/>
  <c r="B61" i="5"/>
  <c r="I131" i="5"/>
  <c r="A130" i="5"/>
  <c r="A154" i="5"/>
  <c r="H60" i="5"/>
  <c r="K99" i="5"/>
  <c r="I106" i="5"/>
  <c r="E134" i="5"/>
  <c r="A35" i="5"/>
  <c r="J48" i="5"/>
  <c r="K113" i="5"/>
  <c r="A34" i="5"/>
  <c r="F63" i="5"/>
  <c r="D17" i="5"/>
  <c r="J32" i="5"/>
  <c r="A37" i="5"/>
  <c r="F103" i="5"/>
  <c r="J124" i="5"/>
  <c r="H22" i="5"/>
  <c r="H12" i="5"/>
  <c r="D90" i="5"/>
  <c r="I126" i="5"/>
  <c r="F122" i="5"/>
  <c r="C25" i="5"/>
  <c r="C20" i="5"/>
  <c r="E104" i="5"/>
  <c r="I38" i="5"/>
  <c r="A33" i="5"/>
  <c r="I64" i="5"/>
  <c r="A31" i="5"/>
  <c r="A54" i="5"/>
  <c r="K20" i="5"/>
  <c r="I70" i="5"/>
  <c r="K21" i="5"/>
  <c r="B130" i="5"/>
  <c r="I27" i="5"/>
  <c r="I15" i="5"/>
  <c r="D28" i="5"/>
  <c r="F56" i="5"/>
  <c r="E65" i="5"/>
  <c r="K101" i="5"/>
  <c r="E149" i="5"/>
  <c r="G63" i="5"/>
  <c r="G103" i="5"/>
  <c r="D70" i="5"/>
  <c r="A67" i="5"/>
  <c r="I120" i="5"/>
  <c r="D117" i="5"/>
  <c r="D68" i="5"/>
  <c r="A42" i="5"/>
  <c r="F26" i="5"/>
  <c r="C132" i="5"/>
  <c r="E92" i="5"/>
  <c r="B84" i="5"/>
  <c r="J98" i="5"/>
  <c r="I129" i="5"/>
  <c r="I133" i="5"/>
  <c r="J90" i="5"/>
  <c r="I18" i="5"/>
  <c r="D140" i="5"/>
  <c r="D107" i="5"/>
  <c r="E64" i="5"/>
  <c r="N205" i="2"/>
  <c r="A110" i="5"/>
  <c r="E37" i="5"/>
  <c r="B51" i="5"/>
  <c r="I128" i="5"/>
  <c r="F145" i="5"/>
  <c r="H104" i="5"/>
  <c r="F68" i="5"/>
  <c r="G71" i="5"/>
  <c r="B85" i="5"/>
  <c r="G141" i="5"/>
  <c r="A137" i="5"/>
  <c r="J113" i="5"/>
  <c r="D149" i="5"/>
  <c r="H19" i="5"/>
  <c r="C109" i="5"/>
  <c r="D75" i="5"/>
  <c r="J75" i="5"/>
  <c r="G149" i="5"/>
  <c r="K92" i="5"/>
  <c r="J37" i="5"/>
  <c r="A100" i="5"/>
  <c r="A90" i="5"/>
  <c r="I150" i="5"/>
  <c r="J63" i="5"/>
  <c r="K51" i="5"/>
  <c r="D116" i="5"/>
  <c r="J58" i="5"/>
  <c r="K119" i="5"/>
  <c r="D43" i="5"/>
  <c r="D86" i="5"/>
  <c r="C43" i="5"/>
  <c r="G16" i="5"/>
  <c r="K77" i="5"/>
  <c r="H129" i="5"/>
  <c r="A56" i="5"/>
  <c r="E123" i="5"/>
  <c r="J108" i="5"/>
  <c r="K37" i="5"/>
  <c r="C128" i="5"/>
  <c r="B139" i="5"/>
  <c r="H126" i="5"/>
  <c r="C74" i="5"/>
  <c r="K141" i="5"/>
  <c r="J88" i="5"/>
  <c r="C64" i="5"/>
  <c r="F70" i="5"/>
  <c r="K59" i="5"/>
  <c r="J102" i="5"/>
  <c r="E140" i="5"/>
  <c r="B64" i="5"/>
  <c r="G35" i="5"/>
  <c r="K136" i="5"/>
  <c r="C107" i="5"/>
  <c r="G81" i="5"/>
  <c r="J105" i="5"/>
  <c r="B123" i="5"/>
  <c r="B58" i="5"/>
  <c r="D150" i="5"/>
  <c r="D96" i="5"/>
  <c r="G72" i="5"/>
  <c r="B129" i="5"/>
  <c r="D53" i="5"/>
  <c r="B69" i="5"/>
  <c r="G101" i="5"/>
  <c r="C112" i="5"/>
  <c r="B141" i="5"/>
  <c r="E139" i="5"/>
  <c r="J84" i="5"/>
  <c r="E51" i="5"/>
  <c r="G135" i="5"/>
  <c r="K98" i="5"/>
  <c r="D67" i="5"/>
  <c r="J66" i="5"/>
  <c r="C115" i="5"/>
  <c r="A140" i="5"/>
  <c r="G67" i="5"/>
  <c r="D41" i="5"/>
  <c r="A146" i="5"/>
  <c r="K93" i="5"/>
  <c r="E31" i="5"/>
  <c r="J74" i="5"/>
  <c r="A144" i="5"/>
  <c r="K153" i="5"/>
  <c r="K130" i="5"/>
  <c r="I59" i="5"/>
  <c r="H127" i="5"/>
  <c r="E119" i="5"/>
  <c r="J133" i="5"/>
  <c r="F118" i="5"/>
  <c r="J154" i="5"/>
  <c r="I54" i="5"/>
  <c r="C28" i="5"/>
  <c r="D141" i="5"/>
  <c r="F107" i="5"/>
  <c r="A85" i="5"/>
  <c r="F13" i="5"/>
  <c r="H54" i="5"/>
  <c r="D148" i="5"/>
  <c r="K62" i="5"/>
  <c r="B154" i="5"/>
  <c r="A19" i="5"/>
  <c r="E148" i="5"/>
  <c r="C88" i="5"/>
  <c r="D64" i="5"/>
  <c r="C140" i="5"/>
  <c r="D138" i="5"/>
  <c r="I79" i="5"/>
  <c r="B67" i="5"/>
  <c r="I77" i="5"/>
  <c r="H119" i="5"/>
  <c r="I36" i="5"/>
  <c r="G115" i="5"/>
  <c r="A87" i="5"/>
  <c r="F144" i="5"/>
  <c r="J17" i="5"/>
  <c r="F22" i="5"/>
  <c r="D100" i="5"/>
  <c r="B73" i="5"/>
  <c r="K121" i="5"/>
  <c r="I85" i="5"/>
  <c r="K82" i="5"/>
  <c r="H27" i="5"/>
  <c r="J45" i="5"/>
  <c r="G134" i="5"/>
  <c r="K69" i="5"/>
  <c r="C41" i="5"/>
  <c r="G153" i="5"/>
  <c r="D143" i="5"/>
  <c r="A43" i="5"/>
  <c r="H33" i="5"/>
  <c r="J85" i="5"/>
  <c r="B28" i="5"/>
  <c r="A22" i="5"/>
  <c r="E138" i="5"/>
  <c r="F47" i="5"/>
  <c r="C81" i="5"/>
  <c r="D35" i="5"/>
  <c r="G152" i="5"/>
  <c r="A145" i="5"/>
  <c r="C59" i="5"/>
  <c r="B146" i="5"/>
  <c r="E42" i="5"/>
  <c r="B15" i="5"/>
  <c r="E61" i="5"/>
  <c r="K24" i="5"/>
  <c r="H25" i="5"/>
  <c r="A38" i="5"/>
  <c r="I115" i="5"/>
  <c r="K78" i="5"/>
  <c r="A93" i="5"/>
  <c r="B40" i="5"/>
  <c r="D31" i="5"/>
  <c r="A30" i="5"/>
  <c r="H95" i="5"/>
  <c r="C49" i="5"/>
  <c r="K30" i="5"/>
  <c r="C125" i="5"/>
  <c r="I84" i="5"/>
  <c r="D14" i="5"/>
  <c r="I23" i="5"/>
  <c r="G140" i="5"/>
  <c r="J68" i="5"/>
  <c r="I94" i="5"/>
  <c r="G146" i="5"/>
  <c r="D91" i="5"/>
  <c r="A114" i="5"/>
  <c r="I137" i="5"/>
  <c r="G74" i="5"/>
  <c r="H69" i="5"/>
  <c r="I107" i="5"/>
  <c r="K89" i="5"/>
  <c r="D152" i="5"/>
  <c r="D77" i="5"/>
  <c r="E141" i="5"/>
  <c r="C53" i="5"/>
  <c r="F64" i="5"/>
  <c r="A99" i="5"/>
  <c r="F49" i="5"/>
  <c r="A116" i="5"/>
  <c r="J93" i="5"/>
  <c r="K128" i="5"/>
  <c r="J141" i="5"/>
  <c r="J54" i="5"/>
  <c r="B128" i="5"/>
  <c r="B125" i="5"/>
  <c r="E71" i="5"/>
  <c r="C70" i="5"/>
  <c r="I96" i="5"/>
  <c r="F127" i="5"/>
  <c r="C34" i="5"/>
  <c r="J57" i="5"/>
  <c r="J22" i="5"/>
  <c r="J106" i="5"/>
  <c r="E40" i="5"/>
  <c r="J92" i="5"/>
  <c r="G76" i="5"/>
  <c r="F55" i="5"/>
  <c r="B46" i="5"/>
  <c r="D56" i="5"/>
  <c r="E146" i="5"/>
  <c r="F34" i="5"/>
  <c r="A105" i="5"/>
  <c r="E116" i="5"/>
  <c r="G91" i="5"/>
  <c r="H132" i="5"/>
  <c r="A71" i="5"/>
  <c r="F23" i="5"/>
  <c r="H13" i="5"/>
  <c r="F151" i="5"/>
  <c r="K110" i="5"/>
  <c r="B79" i="5"/>
  <c r="K100" i="5"/>
  <c r="I35" i="5"/>
  <c r="D72" i="5"/>
  <c r="C129" i="5"/>
  <c r="I118" i="5"/>
  <c r="J138" i="5"/>
  <c r="K19" i="5"/>
  <c r="K84" i="5"/>
  <c r="D115" i="5"/>
  <c r="E106" i="5"/>
  <c r="G84" i="5"/>
  <c r="G25" i="5"/>
  <c r="H135" i="5"/>
  <c r="F85" i="5"/>
  <c r="D122" i="5"/>
  <c r="G20" i="5"/>
  <c r="J144" i="5"/>
  <c r="F97" i="5"/>
  <c r="G120" i="5"/>
  <c r="F131" i="5"/>
  <c r="F36" i="5"/>
  <c r="F134" i="5"/>
  <c r="E27" i="5"/>
  <c r="G136" i="5"/>
  <c r="B144" i="5"/>
  <c r="C98" i="5"/>
  <c r="J109" i="5"/>
  <c r="I127" i="5"/>
  <c r="G117" i="5"/>
  <c r="I72" i="5"/>
  <c r="E142" i="5"/>
  <c r="B27" i="5"/>
  <c r="H153" i="5"/>
  <c r="K145" i="5"/>
  <c r="I153" i="5"/>
  <c r="E26" i="5"/>
  <c r="A98" i="5"/>
  <c r="E103" i="5"/>
  <c r="I34" i="5"/>
  <c r="C110" i="5"/>
  <c r="B96" i="5"/>
  <c r="D74" i="5"/>
  <c r="D82" i="5"/>
  <c r="B16" i="5"/>
  <c r="B65" i="5"/>
  <c r="K125" i="5"/>
  <c r="C15" i="5"/>
  <c r="G99" i="5"/>
  <c r="K79" i="5"/>
  <c r="C134" i="5"/>
  <c r="F143" i="5"/>
  <c r="J134" i="5"/>
  <c r="I28" i="5"/>
  <c r="E111" i="5"/>
  <c r="H84" i="5"/>
  <c r="H83" i="5"/>
  <c r="J137" i="5"/>
  <c r="B30" i="5"/>
  <c r="F152" i="5"/>
  <c r="H102" i="5"/>
  <c r="C133" i="5"/>
  <c r="A123" i="5"/>
  <c r="B77" i="5"/>
  <c r="E131" i="5"/>
  <c r="B87" i="5"/>
  <c r="K50" i="5"/>
  <c r="D24" i="5"/>
  <c r="A47" i="5"/>
  <c r="C139" i="5"/>
  <c r="I95" i="5"/>
  <c r="B90" i="5"/>
  <c r="A55" i="5"/>
  <c r="K81" i="5"/>
  <c r="A112" i="5"/>
  <c r="G49" i="5"/>
  <c r="D97" i="5"/>
  <c r="H145" i="5"/>
  <c r="F111" i="5"/>
  <c r="H92" i="5"/>
  <c r="A16" i="5"/>
  <c r="G105" i="5"/>
  <c r="C149" i="5"/>
  <c r="D19" i="5"/>
  <c r="H142" i="5"/>
  <c r="B105" i="5"/>
  <c r="D132" i="5"/>
  <c r="A109" i="5"/>
  <c r="G79" i="5"/>
  <c r="F108" i="5"/>
  <c r="I147" i="5"/>
  <c r="B71" i="5"/>
  <c r="D37" i="5"/>
  <c r="J121" i="5"/>
  <c r="I82" i="5"/>
  <c r="E93" i="5"/>
  <c r="F77" i="5"/>
  <c r="C23" i="5"/>
  <c r="D102" i="5"/>
  <c r="A127" i="5"/>
  <c r="D27" i="5"/>
  <c r="D88" i="5"/>
  <c r="E75" i="5"/>
  <c r="H76" i="5"/>
  <c r="I141" i="5"/>
  <c r="D111" i="5"/>
  <c r="E124" i="5"/>
  <c r="H110" i="5"/>
  <c r="J34" i="5"/>
  <c r="E23" i="5"/>
  <c r="C154" i="5"/>
  <c r="J81" i="5"/>
  <c r="J115" i="5"/>
  <c r="B101" i="5"/>
  <c r="F90" i="5"/>
  <c r="I116" i="5"/>
  <c r="J61" i="5"/>
  <c r="D79" i="5"/>
  <c r="A153" i="5"/>
  <c r="A79" i="5"/>
  <c r="F88" i="5"/>
  <c r="G111" i="5"/>
  <c r="D106" i="5"/>
  <c r="F100" i="5"/>
  <c r="F84" i="5"/>
  <c r="K112" i="5"/>
  <c r="E19" i="5"/>
  <c r="F106" i="5"/>
  <c r="I89" i="5"/>
  <c r="I37" i="5"/>
  <c r="G107" i="5"/>
  <c r="J14" i="5"/>
  <c r="H140" i="5"/>
  <c r="B17" i="5"/>
  <c r="F93" i="5"/>
  <c r="K105" i="5"/>
  <c r="B100" i="5"/>
  <c r="F110" i="5"/>
  <c r="G119" i="5"/>
  <c r="G121" i="5"/>
  <c r="A118" i="5"/>
  <c r="C47" i="5"/>
  <c r="K123" i="5"/>
  <c r="D93" i="5"/>
  <c r="B136" i="5"/>
  <c r="D57" i="5"/>
  <c r="G51" i="5"/>
  <c r="F16" i="5"/>
  <c r="H139" i="5"/>
  <c r="F104" i="5"/>
  <c r="A14" i="5"/>
  <c r="A53" i="5"/>
  <c r="K16" i="5"/>
  <c r="F59" i="5"/>
  <c r="E15" i="5"/>
  <c r="D84" i="5"/>
  <c r="H67" i="5"/>
  <c r="D23" i="5"/>
  <c r="F69" i="5"/>
  <c r="J127" i="5"/>
  <c r="F54" i="5"/>
  <c r="C103" i="5"/>
  <c r="E39" i="5"/>
  <c r="F51" i="5"/>
  <c r="B13" i="5"/>
  <c r="I135" i="5"/>
  <c r="C111" i="5"/>
  <c r="K18" i="5"/>
  <c r="E105" i="5"/>
  <c r="E14" i="5"/>
  <c r="I47" i="5"/>
  <c r="E56" i="5"/>
  <c r="G80" i="5"/>
  <c r="G93" i="5"/>
  <c r="F73" i="5"/>
  <c r="I42" i="5"/>
  <c r="G125" i="5"/>
  <c r="H36" i="5"/>
  <c r="K25" i="5"/>
  <c r="C52" i="5"/>
  <c r="H71" i="5"/>
  <c r="E36" i="5"/>
  <c r="D114" i="5"/>
  <c r="I71" i="5"/>
  <c r="F116" i="5"/>
  <c r="J73" i="5"/>
  <c r="E76" i="5"/>
  <c r="B78" i="5"/>
  <c r="B138" i="5"/>
  <c r="D118" i="5"/>
  <c r="A152" i="5"/>
  <c r="E34" i="5"/>
  <c r="B49" i="5"/>
  <c r="B147" i="5"/>
  <c r="I90" i="5"/>
  <c r="K65" i="5"/>
  <c r="C54" i="5"/>
  <c r="K72" i="5"/>
  <c r="G41" i="5"/>
  <c r="H89" i="5"/>
  <c r="F38" i="5"/>
  <c r="C66" i="5"/>
  <c r="A15" i="5"/>
  <c r="E41" i="5"/>
  <c r="H87" i="5"/>
  <c r="C79" i="5"/>
  <c r="C72" i="5"/>
  <c r="F24" i="5"/>
  <c r="H65" i="5"/>
  <c r="F140" i="5"/>
  <c r="C45" i="5"/>
  <c r="H103" i="5"/>
  <c r="K127" i="5"/>
  <c r="F57" i="5"/>
  <c r="A69" i="5"/>
  <c r="G147" i="5"/>
  <c r="K36" i="5"/>
  <c r="J86" i="5"/>
  <c r="I149" i="5"/>
  <c r="E78" i="5"/>
  <c r="H100" i="5"/>
  <c r="C141" i="5"/>
  <c r="C39" i="5"/>
  <c r="H38" i="5"/>
  <c r="F120" i="5"/>
  <c r="E49" i="5"/>
  <c r="A126" i="5"/>
  <c r="H114" i="5"/>
  <c r="D83" i="5"/>
  <c r="G102" i="5"/>
  <c r="A81" i="5"/>
  <c r="K22" i="5"/>
  <c r="F75" i="5"/>
  <c r="B93" i="5"/>
  <c r="G31" i="5"/>
  <c r="H136" i="5"/>
  <c r="F153" i="5"/>
  <c r="G62" i="5"/>
  <c r="I73" i="5"/>
  <c r="B150" i="5"/>
  <c r="H125" i="5"/>
  <c r="C150" i="5"/>
  <c r="A83" i="5"/>
  <c r="D22" i="5"/>
  <c r="A139" i="5"/>
  <c r="I58" i="5"/>
  <c r="G37" i="5"/>
  <c r="D142" i="5"/>
  <c r="K29" i="5"/>
  <c r="B95" i="5"/>
  <c r="E100" i="5"/>
  <c r="K91" i="5"/>
  <c r="C60" i="5"/>
  <c r="D25" i="5"/>
  <c r="K152" i="5"/>
  <c r="C82" i="5"/>
  <c r="D109" i="5"/>
  <c r="J67" i="5"/>
  <c r="I148" i="5"/>
  <c r="I134" i="5"/>
  <c r="I56" i="5"/>
  <c r="D136" i="5"/>
  <c r="I113" i="5"/>
  <c r="C138" i="5"/>
  <c r="K40" i="5"/>
  <c r="J131" i="5"/>
  <c r="J82" i="5"/>
  <c r="C19" i="5"/>
  <c r="C146" i="5"/>
  <c r="H62" i="5"/>
  <c r="F87" i="5"/>
  <c r="J56" i="5"/>
  <c r="K35" i="5"/>
  <c r="G58" i="5"/>
  <c r="H147" i="5"/>
  <c r="C83" i="5"/>
  <c r="D29" i="5"/>
  <c r="D139" i="5"/>
  <c r="H107" i="5"/>
  <c r="A149" i="5"/>
  <c r="H109" i="5"/>
  <c r="I14" i="5"/>
  <c r="I74" i="5"/>
  <c r="F86" i="5"/>
  <c r="I151" i="5"/>
  <c r="K54" i="5"/>
  <c r="I41" i="5"/>
  <c r="B99" i="5"/>
  <c r="H122" i="5"/>
  <c r="I49" i="5"/>
  <c r="A92" i="5"/>
  <c r="I69" i="5"/>
  <c r="A148" i="5"/>
  <c r="H130" i="5"/>
  <c r="K109" i="5"/>
  <c r="H112" i="5"/>
  <c r="E53" i="5"/>
  <c r="J77" i="5"/>
  <c r="K46" i="5"/>
  <c r="F141" i="5"/>
  <c r="D146" i="5"/>
  <c r="B106" i="5"/>
  <c r="C48" i="5"/>
  <c r="A86" i="5"/>
  <c r="B112" i="5"/>
  <c r="K148" i="5"/>
  <c r="E153" i="5"/>
  <c r="H37" i="5"/>
  <c r="A21" i="5"/>
  <c r="C27" i="5"/>
  <c r="G55" i="5"/>
  <c r="F43" i="5"/>
  <c r="E60" i="5"/>
  <c r="J89" i="5"/>
  <c r="E136" i="5"/>
  <c r="I136" i="5"/>
  <c r="F42" i="5"/>
  <c r="A51" i="5"/>
  <c r="B56" i="5"/>
  <c r="F14" i="5"/>
  <c r="D129" i="5"/>
  <c r="H82" i="5"/>
  <c r="I110" i="5"/>
  <c r="A72" i="5"/>
  <c r="E108" i="5"/>
  <c r="C123" i="5"/>
  <c r="I145" i="5"/>
  <c r="A138" i="5"/>
  <c r="E147" i="5"/>
  <c r="F105" i="5"/>
  <c r="G36" i="5"/>
  <c r="G54" i="5"/>
  <c r="K33" i="5"/>
  <c r="I93" i="5"/>
  <c r="H72" i="5"/>
  <c r="I51" i="5"/>
  <c r="G14" i="5"/>
  <c r="A61" i="5"/>
  <c r="G132" i="5"/>
  <c r="H88" i="5"/>
  <c r="F119" i="5"/>
  <c r="I81" i="5"/>
  <c r="A18" i="5"/>
  <c r="B124" i="5"/>
  <c r="J20" i="5"/>
  <c r="H66" i="5"/>
  <c r="F80" i="5"/>
  <c r="E127" i="5"/>
  <c r="H149" i="5"/>
  <c r="F94" i="5"/>
  <c r="E66" i="5"/>
  <c r="K15" i="5"/>
  <c r="J148" i="5"/>
  <c r="K103" i="5"/>
  <c r="F19" i="5"/>
  <c r="C122" i="5"/>
  <c r="G56" i="5"/>
  <c r="H42" i="5"/>
  <c r="A44" i="5"/>
  <c r="H20" i="5"/>
  <c r="E101" i="5"/>
  <c r="F121" i="5"/>
  <c r="F31" i="5"/>
  <c r="G52" i="5"/>
  <c r="E94" i="5"/>
  <c r="J118" i="5"/>
  <c r="I61" i="5"/>
  <c r="A13" i="5"/>
  <c r="K67" i="5"/>
  <c r="I67" i="5"/>
  <c r="B103" i="5"/>
  <c r="B92" i="5"/>
  <c r="F138" i="5"/>
  <c r="B33" i="5"/>
  <c r="F79" i="5"/>
  <c r="K150" i="5"/>
  <c r="I44" i="5"/>
  <c r="J64" i="5"/>
  <c r="K56" i="5"/>
  <c r="H56" i="5"/>
  <c r="A111" i="5"/>
  <c r="C84" i="5"/>
  <c r="I45" i="5"/>
  <c r="E38" i="5"/>
  <c r="J26" i="5"/>
  <c r="E114" i="5"/>
  <c r="F154" i="5"/>
  <c r="K116" i="5"/>
  <c r="D127" i="5"/>
  <c r="D54" i="5"/>
  <c r="K31" i="5"/>
  <c r="C91" i="5"/>
  <c r="I50" i="5"/>
  <c r="F39" i="5"/>
  <c r="E110" i="5"/>
  <c r="A63" i="5"/>
  <c r="I104" i="5"/>
  <c r="A25" i="5"/>
  <c r="H46" i="5"/>
  <c r="F109" i="5"/>
  <c r="A119" i="5"/>
  <c r="F130" i="5"/>
  <c r="J125" i="5"/>
  <c r="F115" i="5"/>
  <c r="C142" i="5"/>
  <c r="G100" i="5"/>
  <c r="B115" i="5"/>
  <c r="F28" i="5"/>
  <c r="B148" i="5"/>
  <c r="A134" i="5"/>
  <c r="G86" i="5"/>
  <c r="C44" i="5"/>
  <c r="A88" i="5"/>
  <c r="J38" i="5"/>
  <c r="D105" i="5"/>
  <c r="C147" i="5"/>
  <c r="B114" i="5"/>
  <c r="E43" i="5"/>
  <c r="D153" i="5"/>
  <c r="B66" i="5"/>
  <c r="G39" i="5"/>
  <c r="B76" i="5"/>
  <c r="J114" i="5"/>
  <c r="F60" i="5"/>
  <c r="J96" i="5"/>
  <c r="E45" i="5"/>
  <c r="K76" i="5"/>
  <c r="D103" i="5"/>
  <c r="A57" i="5"/>
  <c r="C73" i="5"/>
  <c r="K26" i="5"/>
  <c r="I13" i="5"/>
  <c r="F133" i="5"/>
  <c r="C97" i="5"/>
  <c r="C50" i="5"/>
  <c r="I139" i="5"/>
  <c r="H148" i="5"/>
  <c r="F128" i="5"/>
  <c r="G148" i="5"/>
  <c r="G126" i="5"/>
  <c r="H17" i="5"/>
  <c r="H63" i="5"/>
  <c r="I122" i="5"/>
  <c r="E47" i="5"/>
  <c r="J97" i="5"/>
  <c r="K23" i="5"/>
  <c r="J23" i="5"/>
  <c r="E50" i="5"/>
  <c r="C108" i="5"/>
  <c r="B91" i="5"/>
  <c r="H143" i="5"/>
  <c r="F67" i="5"/>
  <c r="C56" i="5"/>
  <c r="C106" i="5"/>
  <c r="K149" i="5"/>
  <c r="K126" i="5"/>
  <c r="E82" i="5"/>
  <c r="H120" i="5"/>
  <c r="J43" i="5"/>
  <c r="J153" i="5"/>
  <c r="B110" i="5"/>
  <c r="G142" i="5"/>
  <c r="H137" i="5"/>
  <c r="H98" i="5"/>
  <c r="B23" i="5"/>
  <c r="A50" i="5"/>
  <c r="I65" i="5"/>
  <c r="B53" i="5"/>
  <c r="H43" i="5"/>
  <c r="G27" i="5"/>
  <c r="C145" i="5"/>
  <c r="B42" i="5"/>
  <c r="D44" i="5"/>
  <c r="G106" i="5"/>
  <c r="I63" i="5"/>
  <c r="H154" i="5"/>
  <c r="I52" i="5"/>
  <c r="J103" i="5"/>
  <c r="I99" i="5"/>
  <c r="C119" i="5"/>
  <c r="F117" i="5"/>
  <c r="C89" i="5"/>
  <c r="J29" i="5"/>
  <c r="H44" i="5"/>
  <c r="C135" i="5"/>
  <c r="E144" i="5"/>
  <c r="G95" i="5"/>
  <c r="I111" i="5"/>
  <c r="I97" i="5"/>
  <c r="G48" i="5"/>
  <c r="H108" i="5"/>
  <c r="D49" i="5"/>
  <c r="B88" i="5"/>
  <c r="B72" i="5"/>
  <c r="K85" i="5"/>
  <c r="C136" i="5"/>
  <c r="B137" i="5"/>
  <c r="D59" i="5"/>
  <c r="K104" i="5"/>
  <c r="G154" i="5"/>
  <c r="D69" i="5"/>
  <c r="K39" i="5"/>
  <c r="C101" i="5"/>
  <c r="E30" i="5"/>
  <c r="F150" i="5"/>
  <c r="C92" i="5"/>
  <c r="C120" i="5"/>
  <c r="F132" i="5"/>
  <c r="K139" i="5"/>
  <c r="A78" i="5"/>
  <c r="D154" i="5"/>
  <c r="J44" i="5"/>
  <c r="H106" i="5"/>
  <c r="F41" i="5"/>
  <c r="J83" i="5"/>
  <c r="A77" i="5"/>
  <c r="J41" i="5"/>
  <c r="C76" i="5"/>
  <c r="A131" i="5"/>
  <c r="I46" i="5"/>
  <c r="B121" i="5"/>
  <c r="K90" i="5"/>
  <c r="B134" i="5"/>
  <c r="I125" i="5"/>
  <c r="I109" i="5"/>
  <c r="E137" i="5"/>
  <c r="C42" i="5"/>
  <c r="I112" i="5"/>
  <c r="D58" i="5"/>
  <c r="K53" i="5"/>
  <c r="A80" i="5"/>
  <c r="F18" i="5"/>
  <c r="H40" i="5"/>
  <c r="D110" i="5"/>
  <c r="H14" i="5"/>
  <c r="H94" i="5"/>
  <c r="C57" i="5"/>
  <c r="B74" i="5"/>
  <c r="I130" i="5"/>
  <c r="A27" i="5"/>
  <c r="F15" i="5"/>
  <c r="J50" i="5"/>
  <c r="J76" i="5"/>
  <c r="C22" i="5"/>
  <c r="C18" i="5"/>
  <c r="A29" i="5"/>
  <c r="E89" i="5"/>
  <c r="H18" i="5"/>
  <c r="J49" i="5"/>
  <c r="B57" i="5"/>
  <c r="K64" i="5"/>
  <c r="D16" i="5"/>
  <c r="B36" i="5"/>
  <c r="G108" i="5"/>
  <c r="G65" i="5"/>
  <c r="D55" i="5"/>
  <c r="H29" i="5"/>
  <c r="G21" i="5"/>
  <c r="I76" i="5"/>
  <c r="G87" i="5"/>
  <c r="H146" i="5"/>
  <c r="H85" i="5"/>
  <c r="I144" i="5"/>
  <c r="E25" i="5"/>
  <c r="B120" i="5"/>
  <c r="K146" i="5"/>
  <c r="B145" i="5"/>
  <c r="G75" i="5"/>
  <c r="I117" i="5"/>
  <c r="I146" i="5"/>
  <c r="G116" i="5"/>
  <c r="J59" i="5"/>
  <c r="F129" i="5"/>
  <c r="A76" i="5"/>
  <c r="F82" i="5"/>
  <c r="D98" i="5"/>
  <c r="K108" i="5"/>
  <c r="A136" i="5"/>
  <c r="C86" i="5"/>
  <c r="F62" i="5"/>
  <c r="J139" i="5"/>
  <c r="E154" i="5"/>
  <c r="E112" i="5"/>
  <c r="J143" i="5"/>
  <c r="C51" i="5"/>
  <c r="H16" i="5"/>
  <c r="I39" i="5"/>
  <c r="B47" i="5"/>
  <c r="G124" i="5"/>
  <c r="J147" i="5"/>
  <c r="D61" i="5"/>
  <c r="E97" i="5"/>
  <c r="I21" i="5"/>
  <c r="H151" i="5"/>
  <c r="C151" i="5"/>
  <c r="H23" i="5"/>
  <c r="E18" i="5"/>
  <c r="I86" i="5"/>
  <c r="K138" i="5"/>
  <c r="C137" i="5"/>
  <c r="H34" i="5"/>
  <c r="K147" i="5"/>
  <c r="A95" i="5"/>
  <c r="I154" i="5"/>
  <c r="D20" i="5"/>
  <c r="D147" i="5"/>
  <c r="A70" i="5"/>
  <c r="E133" i="5"/>
  <c r="E99" i="5"/>
  <c r="A28" i="5"/>
  <c r="J146" i="5"/>
  <c r="J100" i="5"/>
  <c r="H73" i="5"/>
  <c r="E88" i="5"/>
  <c r="K131" i="5"/>
  <c r="K106" i="5"/>
  <c r="G150" i="5"/>
  <c r="G89" i="5"/>
  <c r="F48" i="5"/>
  <c r="I60" i="5"/>
  <c r="B68" i="5"/>
  <c r="F61" i="5"/>
  <c r="E73" i="5"/>
  <c r="G57" i="5"/>
  <c r="B52" i="5"/>
  <c r="H57" i="5"/>
  <c r="E63" i="5"/>
  <c r="I103" i="5"/>
  <c r="A142" i="5"/>
  <c r="F17" i="5"/>
  <c r="D113" i="5"/>
  <c r="D38" i="5"/>
  <c r="K75" i="5"/>
  <c r="B119" i="5"/>
  <c r="A74" i="5"/>
  <c r="K70" i="5"/>
  <c r="D151" i="5"/>
  <c r="J94" i="5"/>
  <c r="B133" i="5"/>
  <c r="J80" i="5"/>
  <c r="C80" i="5"/>
  <c r="E62" i="5"/>
  <c r="I152" i="5"/>
  <c r="E33" i="5"/>
  <c r="I98" i="5"/>
  <c r="F52" i="5"/>
  <c r="E68" i="5"/>
  <c r="K107" i="5"/>
  <c r="H96" i="5"/>
  <c r="H111" i="5"/>
  <c r="J151" i="5"/>
  <c r="E122" i="5"/>
  <c r="C16" i="5"/>
  <c r="E20" i="5"/>
  <c r="B43" i="5"/>
  <c r="A143" i="5"/>
  <c r="C75" i="5"/>
  <c r="K41" i="5"/>
  <c r="A26" i="5"/>
  <c r="I33" i="5"/>
  <c r="D73" i="5"/>
  <c r="G109" i="5"/>
  <c r="A64" i="5"/>
  <c r="I87" i="5"/>
  <c r="J42" i="5"/>
  <c r="C69" i="5"/>
  <c r="A107" i="5"/>
  <c r="G29" i="5"/>
  <c r="F124" i="5"/>
  <c r="F53" i="5"/>
  <c r="D46" i="5"/>
  <c r="K142" i="5"/>
  <c r="H75" i="5"/>
  <c r="B97" i="5"/>
  <c r="I25" i="5"/>
  <c r="H26" i="5"/>
  <c r="C78" i="5"/>
  <c r="G26" i="5"/>
  <c r="F32" i="5"/>
  <c r="G69" i="5"/>
  <c r="H28" i="5"/>
  <c r="D50" i="5"/>
  <c r="C85" i="5"/>
  <c r="C130" i="5"/>
  <c r="A129" i="5"/>
  <c r="G131" i="5"/>
  <c r="F50" i="5"/>
  <c r="A60" i="5"/>
  <c r="J52" i="5"/>
  <c r="K49" i="5"/>
  <c r="C148" i="5"/>
  <c r="K151" i="5"/>
  <c r="E102" i="5"/>
  <c r="A113" i="5"/>
  <c r="K66" i="5"/>
  <c r="C33" i="5"/>
  <c r="D26" i="5"/>
  <c r="B135" i="5"/>
  <c r="F149" i="5"/>
  <c r="E48" i="5"/>
  <c r="I123" i="5"/>
  <c r="G60" i="5"/>
  <c r="D13" i="5"/>
  <c r="B29" i="5"/>
  <c r="F27" i="5"/>
  <c r="G143" i="5"/>
  <c r="I80" i="5"/>
  <c r="A91" i="5"/>
  <c r="E57" i="5"/>
  <c r="J69" i="5"/>
  <c r="D87" i="5"/>
  <c r="J28" i="5"/>
  <c r="I55" i="5"/>
  <c r="K57" i="5"/>
  <c r="K17" i="5"/>
  <c r="J40" i="5"/>
  <c r="K80" i="5"/>
  <c r="J140" i="5"/>
  <c r="H150" i="5"/>
  <c r="E24" i="5"/>
  <c r="E115" i="5"/>
  <c r="G114" i="5"/>
  <c r="B109" i="5"/>
  <c r="B94" i="5"/>
  <c r="F30" i="5"/>
  <c r="J91" i="5"/>
  <c r="H45" i="5"/>
  <c r="E58" i="5"/>
  <c r="I91" i="5"/>
  <c r="B151" i="5"/>
  <c r="I29" i="5"/>
  <c r="H124" i="5"/>
  <c r="C95" i="5"/>
  <c r="A17" i="5"/>
  <c r="G15" i="5"/>
  <c r="B126" i="5"/>
  <c r="C35" i="5"/>
  <c r="C143" i="5"/>
  <c r="B62" i="5"/>
  <c r="E128" i="5"/>
  <c r="B117" i="5"/>
  <c r="K73" i="5"/>
  <c r="D66" i="5"/>
  <c r="F139" i="5"/>
  <c r="H61" i="5"/>
  <c r="G112" i="5"/>
  <c r="E130" i="5"/>
  <c r="I24" i="5"/>
  <c r="G13" i="5"/>
  <c r="C105" i="5"/>
  <c r="E81" i="5"/>
  <c r="D52" i="5"/>
  <c r="F95" i="5"/>
  <c r="F20" i="5"/>
  <c r="E69" i="5"/>
  <c r="D124" i="5"/>
  <c r="I78" i="5"/>
  <c r="H118" i="5"/>
  <c r="A62" i="5"/>
  <c r="B122" i="5"/>
  <c r="D95" i="5"/>
  <c r="J126" i="5"/>
  <c r="A73" i="5"/>
  <c r="H49" i="5"/>
  <c r="C46" i="5"/>
  <c r="D30" i="5"/>
  <c r="B111" i="5"/>
  <c r="H91" i="5"/>
  <c r="I66" i="5"/>
  <c r="C96" i="5"/>
  <c r="I132" i="5"/>
  <c r="B54" i="5"/>
  <c r="A41" i="5"/>
  <c r="J136" i="5"/>
  <c r="E22" i="5"/>
  <c r="A115" i="5"/>
  <c r="J130" i="5"/>
  <c r="K137" i="5"/>
  <c r="I88" i="5"/>
  <c r="D63" i="5"/>
  <c r="A102" i="5"/>
  <c r="F33" i="5"/>
  <c r="C58" i="5"/>
  <c r="C87" i="5"/>
  <c r="F92" i="5"/>
  <c r="J117" i="5"/>
  <c r="I100" i="5"/>
  <c r="A49" i="5"/>
  <c r="G129" i="5"/>
  <c r="D18" i="5"/>
  <c r="B20" i="5"/>
  <c r="K87" i="5"/>
  <c r="C99" i="5"/>
  <c r="K122" i="5"/>
  <c r="J27" i="5"/>
  <c r="F96" i="5"/>
  <c r="G23" i="5"/>
  <c r="G97" i="5"/>
  <c r="C93" i="5"/>
  <c r="H47" i="5"/>
  <c r="F91" i="5"/>
  <c r="D134" i="5"/>
  <c r="K48" i="5"/>
  <c r="E16" i="5"/>
  <c r="J18" i="5"/>
  <c r="A48" i="5"/>
  <c r="G33" i="5"/>
  <c r="F46" i="5"/>
  <c r="A58" i="5"/>
  <c r="C124" i="5"/>
  <c r="H97" i="5"/>
  <c r="B82" i="5"/>
  <c r="H141" i="5"/>
  <c r="G137" i="5"/>
  <c r="E80" i="5"/>
  <c r="G70" i="5"/>
  <c r="K124" i="5"/>
  <c r="D99" i="5"/>
  <c r="I22" i="5"/>
  <c r="C24" i="5"/>
  <c r="J47" i="5"/>
  <c r="G66" i="5"/>
  <c r="D92" i="5"/>
  <c r="G64" i="5"/>
  <c r="J79" i="5"/>
  <c r="A66" i="5"/>
  <c r="J51" i="5"/>
  <c r="E54" i="5"/>
  <c r="I143" i="5"/>
  <c r="F126" i="5"/>
  <c r="H79" i="5"/>
  <c r="B63" i="5"/>
  <c r="G59" i="5"/>
  <c r="H24" i="5"/>
  <c r="B104" i="5"/>
  <c r="C55" i="5"/>
  <c r="C117" i="5"/>
  <c r="D51" i="5"/>
  <c r="E85" i="5"/>
  <c r="H144" i="5"/>
  <c r="J116" i="5"/>
  <c r="K94" i="5"/>
  <c r="I20" i="5"/>
  <c r="F66" i="5"/>
  <c r="D130" i="5"/>
  <c r="G128" i="5"/>
  <c r="H55" i="5"/>
  <c r="G77" i="5"/>
  <c r="C38" i="5"/>
  <c r="G19" i="5"/>
  <c r="B83" i="5"/>
  <c r="G28" i="5"/>
  <c r="B81" i="5"/>
  <c r="G22" i="5"/>
  <c r="K55" i="5"/>
  <c r="J33" i="5"/>
  <c r="K74" i="5"/>
  <c r="H113" i="5"/>
  <c r="B35" i="5"/>
  <c r="D36" i="5"/>
  <c r="I53" i="5"/>
  <c r="B98" i="5"/>
  <c r="K61" i="5"/>
  <c r="D125" i="5"/>
  <c r="H35" i="5"/>
  <c r="C40" i="5"/>
  <c r="I138" i="5"/>
  <c r="K129" i="5"/>
  <c r="F71" i="5"/>
  <c r="D108" i="5"/>
  <c r="F114" i="5"/>
  <c r="G61" i="5"/>
  <c r="A106" i="5"/>
  <c r="B153" i="5"/>
  <c r="B44" i="5"/>
  <c r="F40" i="5"/>
  <c r="G138" i="5"/>
  <c r="J71" i="5"/>
  <c r="B18" i="5"/>
  <c r="E86" i="5"/>
  <c r="G50" i="5"/>
  <c r="E72" i="5"/>
  <c r="J15" i="5"/>
  <c r="E151" i="5"/>
  <c r="E28" i="5"/>
  <c r="J110" i="5"/>
  <c r="C102" i="5"/>
  <c r="J111" i="5"/>
  <c r="J30" i="5"/>
  <c r="K14" i="5"/>
  <c r="H39" i="5"/>
  <c r="B19" i="5"/>
  <c r="H77" i="5"/>
  <c r="K43" i="5"/>
  <c r="C67" i="5"/>
  <c r="B113" i="5"/>
  <c r="H116" i="5"/>
  <c r="K140" i="5"/>
  <c r="G34" i="5"/>
  <c r="A104" i="5"/>
  <c r="D121" i="5"/>
  <c r="K47" i="5"/>
  <c r="G30" i="5"/>
  <c r="I102" i="5"/>
  <c r="E79" i="5"/>
  <c r="C63" i="5"/>
  <c r="J112" i="5"/>
  <c r="I62" i="5"/>
  <c r="J62" i="5"/>
  <c r="G18" i="5"/>
  <c r="I48" i="5"/>
  <c r="A68" i="5"/>
  <c r="K27" i="5"/>
  <c r="I108" i="5"/>
  <c r="B152" i="5"/>
  <c r="D119" i="5"/>
  <c r="G133" i="5"/>
  <c r="B59" i="5"/>
  <c r="G24" i="5"/>
  <c r="G96" i="5"/>
  <c r="A84" i="5"/>
  <c r="E95" i="5"/>
  <c r="D32" i="5"/>
  <c r="C153" i="5"/>
  <c r="F83" i="5"/>
  <c r="C21" i="5"/>
  <c r="B116" i="5"/>
  <c r="H15" i="5"/>
  <c r="A82" i="5"/>
  <c r="D128" i="5"/>
  <c r="F25" i="5"/>
  <c r="H64" i="5"/>
  <c r="H68" i="5"/>
  <c r="H53" i="5"/>
  <c r="G38" i="5"/>
  <c r="H117" i="5"/>
  <c r="C31" i="5"/>
  <c r="J25" i="5"/>
  <c r="A101" i="5"/>
  <c r="B34" i="5"/>
  <c r="E77" i="5"/>
  <c r="G43" i="5"/>
  <c r="G73" i="5"/>
  <c r="E90" i="5"/>
  <c r="C17" i="5"/>
  <c r="E32" i="5"/>
  <c r="D80" i="5"/>
  <c r="E83" i="5"/>
  <c r="B31" i="5"/>
  <c r="K135" i="5"/>
  <c r="K58" i="5"/>
  <c r="K144" i="5"/>
  <c r="J46" i="5"/>
  <c r="E113" i="5"/>
  <c r="A46" i="5"/>
  <c r="J142" i="5"/>
  <c r="C30" i="5"/>
  <c r="K143" i="5"/>
  <c r="E21" i="5"/>
  <c r="F146" i="5"/>
  <c r="A45" i="5"/>
  <c r="A124" i="5"/>
  <c r="D47" i="5"/>
  <c r="F102" i="5"/>
  <c r="K133" i="5"/>
  <c r="G46" i="5"/>
  <c r="C68" i="5"/>
  <c r="A108" i="5"/>
  <c r="I40" i="5"/>
  <c r="F98" i="5"/>
  <c r="K102" i="5"/>
  <c r="C114" i="5"/>
  <c r="A75" i="5"/>
  <c r="B127" i="5"/>
  <c r="G130" i="5"/>
  <c r="E46" i="5"/>
  <c r="G68" i="5"/>
  <c r="F44" i="5"/>
  <c r="E29" i="5"/>
  <c r="J36" i="5"/>
  <c r="D123" i="5"/>
  <c r="A40" i="5"/>
  <c r="E70" i="5"/>
  <c r="B50" i="5"/>
  <c r="C36" i="5"/>
  <c r="G139" i="5"/>
  <c r="F74" i="5"/>
  <c r="H52" i="5"/>
  <c r="D40" i="5"/>
  <c r="A147" i="5"/>
  <c r="J35" i="5"/>
  <c r="A23" i="5"/>
  <c r="D45" i="5"/>
  <c r="B39" i="5"/>
  <c r="D15" i="5"/>
  <c r="K38" i="5"/>
  <c r="B131" i="5"/>
  <c r="K44" i="5"/>
  <c r="G90" i="5"/>
  <c r="D145" i="5"/>
  <c r="I17" i="5"/>
  <c r="K34" i="5"/>
  <c r="K117" i="5"/>
  <c r="I16" i="5"/>
  <c r="D33" i="5"/>
  <c r="A96" i="5"/>
  <c r="B60" i="5"/>
  <c r="B132" i="5"/>
  <c r="A24" i="5"/>
  <c r="B37" i="5"/>
  <c r="K134" i="5"/>
  <c r="H51" i="5"/>
  <c r="H21" i="5"/>
  <c r="E74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<sst xmlns="http://schemas.openxmlformats.org/spreadsheetml/2006/main" count="790" uniqueCount="241">
  <si>
    <t>💰  المحفظة  —  Farm Wallet</t>
  </si>
  <si>
    <t>رصيد المحفظة الافتتاحي</t>
  </si>
  <si>
    <t>← اكتب رصيد المحفظة الابتدائي هنا</t>
  </si>
  <si>
    <t>رصيد المحفظة الحالي ▼</t>
  </si>
  <si>
    <t>يتحدث تلقائياً عند إضافة إيرادات أو دفع من المحفظة في كشف الحساب</t>
  </si>
  <si>
    <t>🟢  دخول تلقائي — الإيرادات المُسجَّلة في كشف الحساب (عمود إيداع)</t>
  </si>
  <si>
    <t>—</t>
  </si>
  <si>
    <t>إجمالي الإيرادات</t>
  </si>
  <si>
    <t>🔴  خروج تلقائي — المصروفات المدفوعة من المحفظة (عند اختيار "المحفظة" كدافع في كشف الحساب)</t>
  </si>
  <si>
    <t>إجمالي المصروفات من المحفظة</t>
  </si>
  <si>
    <t>💰  الرصيد الختامي للمحفظة</t>
  </si>
  <si>
    <t>الرصيد الافتتاحي + الإيرادات − المصروفات</t>
  </si>
  <si>
    <t>🔵  ديون الشركاء  —  مصروفات دفعها الشركاء (مستحقة السداد للمزرعة)</t>
  </si>
  <si>
    <t>التاريخ</t>
  </si>
  <si>
    <t>المرجع</t>
  </si>
  <si>
    <t>البيان / الوصف</t>
  </si>
  <si>
    <t>المبلغ</t>
  </si>
  <si>
    <t>بند الصرف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</si>
  <si>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</si>
  <si>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</si>
  <si>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</si>
  <si>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</si>
  <si>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</si>
  <si>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</si>
  <si>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</si>
  <si>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</si>
  <si>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</si>
  <si>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</si>
  <si>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</si>
  <si>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</si>
  <si>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</si>
  <si>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</si>
  <si>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</si>
  <si>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</si>
  <si>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</si>
  <si>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</si>
  <si>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</si>
  <si>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</si>
  <si>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</si>
  <si>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</si>
  <si>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82869</t>
  </si>
  <si>
    <t>مبيدات الاتحاد الكويتي للمزارعين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</si>
  <si>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</si>
  <si>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</si>
  <si>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</si>
  <si>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</si>
  <si>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</si>
  <si>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</si>
  <si>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</si>
  <si>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</si>
  <si>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</si>
  <si>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</si>
  <si>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</si>
  <si>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</si>
  <si>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</si>
  <si>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</si>
  <si>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</si>
  <si>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</si>
  <si>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</si>
  <si>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</si>
  <si>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</si>
  <si>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</si>
  <si>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</si>
  <si>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</si>
  <si>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</si>
  <si>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</si>
  <si>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</si>
  <si>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</t>
  </si>
  <si>
    <t>جبس لتغطيه المحميه</t>
  </si>
  <si>
    <t>بونص عمالة أبريل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</si>
  <si>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</si>
  <si>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</si>
  <si>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</si>
  <si>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</si>
  <si>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</si>
  <si>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</si>
  <si>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</si>
  <si>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</si>
  <si>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</si>
  <si>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</si>
  <si>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</si>
  <si>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</si>
  <si>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</si>
  <si>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</si>
  <si>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</si>
  <si>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</si>
  <si>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</si>
  <si>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</si>
  <si>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</si>
  <si>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</si>
  <si>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</si>
  <si>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</si>
  <si>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</si>
  <si>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</si>
  <si>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</si>
  <si>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</si>
  <si>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</si>
  <si>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</si>
  <si>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</si>
  <si>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</si>
  <si>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</si>
  <si>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</si>
  <si>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</si>
  <si>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</si>
  <si>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</si>
  <si>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</si>
  <si>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</si>
  <si>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</si>
  <si>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</si>
  <si>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</si>
  <si>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</si>
  <si>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</si>
  <si>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</si>
  <si>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</si>
  <si>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</si>
  <si>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</si>
  <si>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</si>
  <si>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</si>
  <si>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</si>
  <si>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</si>
  <si>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</si>
  <si>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</si>
  <si>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</si>
  <si>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</si>
  <si>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</si>
  <si>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</si>
  <si>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</si>
  <si>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</si>
  <si>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</si>
  <si>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</si>
  <si>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</si>
  <si>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</si>
  <si>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</si>
  <si>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</si>
  <si>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</si>
  <si>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</si>
  <si>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</si>
  <si>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</si>
  <si>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</si>
  <si>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</si>
  <si>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</si>
  <si>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</si>
  <si>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</si>
  <si>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</si>
  <si>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</si>
  <si>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</si>
  <si>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</si>
  <si>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</si>
  <si>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</si>
  <si>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</si>
  <si>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</si>
  <si>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</si>
  <si>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</si>
  <si>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</si>
  <si>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</si>
  <si>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</si>
  <si>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</si>
  <si>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</si>
  <si>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</si>
  <si>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</si>
  <si>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</si>
  <si>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</si>
  <si>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</si>
  <si>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</si>
  <si>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</si>
  <si>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</si>
  <si>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رول لحيم</t>
  </si>
  <si>
    <t>Inv-64</t>
  </si>
  <si>
    <t>معلقات عدد 10 الحبه 1</t>
  </si>
  <si>
    <t>Inv-65</t>
  </si>
  <si>
    <t>ودوليه عدد 5 الحبه 1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</si>
  <si>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</si>
  <si>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</si>
  <si>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</si>
  <si>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</si>
  <si>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</si>
  <si>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</si>
  <si>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</si>
  <si>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</si>
  <si>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</si>
  <si>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</si>
  <si>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</si>
  <si>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</si>
  <si>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</si>
  <si>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</si>
  <si>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</si>
  <si>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</si>
  <si>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</si>
  <si>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</si>
  <si>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</si>
  <si>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</si>
  <si>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</si>
  <si>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</si>
  <si>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</si>
  <si>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</si>
  <si>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</si>
  <si>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</si>
  <si>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</si>
  <si>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</si>
  <si>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</si>
  <si>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</si>
  <si>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</si>
  <si>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</si>
  <si>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</si>
  <si>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</si>
  <si>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</si>
  <si>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</si>
  <si>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</si>
  <si>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</si>
  <si>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</si>
  <si>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</si>
  <si>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</si>
  <si>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</si>
  <si>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</si>
  <si>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</si>
  <si>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</si>
  <si>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</si>
  <si>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</si>
  <si>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</si>
  <si>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</si>
  <si>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</si>
  <si>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صافي الفترة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</si>
  <si>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</si>
  <si>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</si>
  <si>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</si>
  <si>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</si>
  <si>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</si>
  <si>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🔴  المصروفات من المحفظة</t>
  </si>
  <si>
    <t>إجمالي المصروفات</t>
  </si>
  <si>
    <t>💰  صافي المحفظة للفترة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</si>
  <si>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</si>
  <si>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</si>
  <si>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</si>
  <si>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</si>
  <si>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</si>
  <si>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</si>
  <si>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</si>
  <si>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</si>
  <si>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</si>
  <si>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</si>
  <si>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يونيو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</si>
</sst>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d\-mmm\-yy"/>
    <numFmt numFmtId="166" formatCode="m/d/yyyy"/>
  </numFmts>
  <fonts count="43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i/>
      <sz val="9"/>
      <color rgb="FFA9D1F5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4B0082"/>
      <name val="Arial"/>
      <charset val="1"/>
    </font>
    <font>
      <b/>
      <sz val="11"/>
      <color rgb="FF002060"/>
      <name val="FreeSans"/>
      <family val="2"/>
      <charset val="1"/>
    </font>
    <font>
      <b/>
      <sz val="10"/>
      <name val="FreeSans"/>
      <family val="2"/>
      <charset val="1"/>
    </font>
    <font>
      <b/>
      <sz val="10"/>
      <name val="Cambria"/>
      <charset val="1"/>
    </font>
    <font>
      <b/>
      <sz val="11"/>
      <name val="FreeSans"/>
      <family val="2"/>
      <charset val="1"/>
    </font>
    <font>
      <b/>
      <sz val="11"/>
      <color rgb="FF843C0C"/>
      <name val="FreeSans"/>
      <family val="2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</fonts>
  <fills count="32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A3C5E"/>
        <bgColor rgb="FF1F4E79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BDD7EE"/>
        <bgColor rgb="FFC2D8EE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</fills>
  <borders count="4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56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165" fontId="8" fillId="7" borderId="2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right" vertical="center" wrapText="1"/>
    </xf>
    <xf numFmtId="0" fontId="10" fillId="7" borderId="2" xfId="0" applyFont="1" applyFill="1" applyBorder="1" applyAlignment="1">
      <alignment horizontal="center" vertical="center"/>
    </xf>
    <xf numFmtId="164" fontId="9" fillId="7" borderId="2" xfId="0" applyNumberFormat="1" applyFont="1" applyFill="1" applyBorder="1" applyAlignment="1">
      <alignment horizontal="right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/>
    <xf numFmtId="165" fontId="8" fillId="8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right" vertical="center" wrapText="1"/>
    </xf>
    <xf numFmtId="0" fontId="10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center" vertical="center"/>
    </xf>
    <xf numFmtId="0" fontId="0" fillId="8" borderId="2" xfId="0" applyFill="1" applyBorder="1"/>
    <xf numFmtId="164" fontId="5" fillId="6" borderId="2" xfId="0" applyNumberFormat="1" applyFont="1" applyFill="1" applyBorder="1" applyAlignment="1">
      <alignment horizontal="right" vertical="center"/>
    </xf>
    <xf numFmtId="165" fontId="12" fillId="10" borderId="2" xfId="0" applyNumberFormat="1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right" vertical="center" wrapText="1"/>
    </xf>
    <xf numFmtId="164" fontId="13" fillId="10" borderId="2" xfId="0" applyNumberFormat="1" applyFont="1" applyFill="1" applyBorder="1" applyAlignment="1">
      <alignment horizontal="right" vertical="center"/>
    </xf>
    <xf numFmtId="0" fontId="10" fillId="10" borderId="2" xfId="0" applyFont="1" applyFill="1" applyBorder="1" applyAlignment="1">
      <alignment horizontal="center" vertical="center"/>
    </xf>
    <xf numFmtId="0" fontId="14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165" fontId="12" fillId="11" borderId="2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3" fillId="11" borderId="2" xfId="0" applyFont="1" applyFill="1" applyBorder="1" applyAlignment="1">
      <alignment horizontal="right" vertical="center" wrapText="1"/>
    </xf>
    <xf numFmtId="164" fontId="13" fillId="11" borderId="2" xfId="0" applyNumberFormat="1" applyFont="1" applyFill="1" applyBorder="1" applyAlignment="1">
      <alignment horizontal="right" vertical="center"/>
    </xf>
    <xf numFmtId="0" fontId="10" fillId="11" borderId="2" xfId="0" applyFont="1" applyFill="1" applyBorder="1" applyAlignment="1">
      <alignment horizontal="center" vertical="center"/>
    </xf>
    <xf numFmtId="0" fontId="14" fillId="11" borderId="2" xfId="0" applyFont="1" applyFill="1" applyBorder="1" applyAlignment="1">
      <alignment horizontal="center" vertical="center"/>
    </xf>
    <xf numFmtId="0" fontId="0" fillId="11" borderId="2" xfId="0" applyFill="1" applyBorder="1"/>
    <xf numFmtId="164" fontId="5" fillId="9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164" fontId="6" fillId="2" borderId="2" xfId="0" applyNumberFormat="1" applyFont="1" applyFill="1" applyBorder="1" applyAlignment="1">
      <alignment horizontal="right" vertical="center"/>
    </xf>
    <xf numFmtId="0" fontId="15" fillId="12" borderId="0" xfId="0" applyFont="1" applyFill="1"/>
    <xf numFmtId="0" fontId="16" fillId="12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0" fontId="18" fillId="0" borderId="0" xfId="0" applyFont="1"/>
    <xf numFmtId="0" fontId="19" fillId="0" borderId="0" xfId="0" applyFont="1"/>
    <xf numFmtId="0" fontId="20" fillId="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/>
    </xf>
    <xf numFmtId="0" fontId="22" fillId="0" borderId="0" xfId="0" applyFont="1"/>
    <xf numFmtId="165" fontId="23" fillId="14" borderId="2" xfId="0" applyNumberFormat="1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center" vertical="center"/>
    </xf>
    <xf numFmtId="0" fontId="23" fillId="14" borderId="2" xfId="0" applyFont="1" applyFill="1" applyBorder="1" applyAlignment="1">
      <alignment horizontal="right" vertical="center" wrapText="1"/>
    </xf>
    <xf numFmtId="164" fontId="12" fillId="11" borderId="2" xfId="0" applyNumberFormat="1" applyFont="1" applyFill="1" applyBorder="1" applyAlignment="1">
      <alignment horizontal="right" vertical="center"/>
    </xf>
    <xf numFmtId="164" fontId="25" fillId="8" borderId="2" xfId="0" applyNumberFormat="1" applyFont="1" applyFill="1" applyBorder="1" applyAlignment="1">
      <alignment horizontal="right" vertical="center"/>
    </xf>
    <xf numFmtId="0" fontId="26" fillId="15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27" fillId="18" borderId="2" xfId="0" applyFont="1" applyFill="1" applyBorder="1" applyAlignment="1">
      <alignment horizontal="right" vertical="center"/>
    </xf>
    <xf numFmtId="164" fontId="26" fillId="19" borderId="2" xfId="0" applyNumberFormat="1" applyFont="1" applyFill="1" applyBorder="1" applyAlignment="1">
      <alignment horizontal="right" vertical="center"/>
    </xf>
    <xf numFmtId="0" fontId="28" fillId="14" borderId="2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4" fillId="20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right" vertical="center" wrapText="1"/>
    </xf>
    <xf numFmtId="164" fontId="12" fillId="10" borderId="2" xfId="0" applyNumberFormat="1" applyFont="1" applyFill="1" applyBorder="1" applyAlignment="1">
      <alignment horizontal="right" vertical="center"/>
    </xf>
    <xf numFmtId="164" fontId="25" fillId="7" borderId="2" xfId="0" applyNumberFormat="1" applyFont="1" applyFill="1" applyBorder="1" applyAlignment="1">
      <alignment horizontal="right" vertical="center"/>
    </xf>
    <xf numFmtId="0" fontId="26" fillId="21" borderId="2" xfId="0" applyFont="1" applyFill="1" applyBorder="1" applyAlignment="1">
      <alignment horizontal="center" vertical="center"/>
    </xf>
    <xf numFmtId="0" fontId="26" fillId="22" borderId="2" xfId="0" applyFont="1" applyFill="1" applyBorder="1" applyAlignment="1">
      <alignment horizontal="center" vertical="center"/>
    </xf>
    <xf numFmtId="0" fontId="26" fillId="23" borderId="2" xfId="0" applyFont="1" applyFill="1" applyBorder="1" applyAlignment="1">
      <alignment horizontal="center" vertical="center"/>
    </xf>
    <xf numFmtId="0" fontId="27" fillId="24" borderId="2" xfId="0" applyFont="1" applyFill="1" applyBorder="1" applyAlignment="1">
      <alignment horizontal="right" vertical="center"/>
    </xf>
    <xf numFmtId="164" fontId="26" fillId="25" borderId="2" xfId="0" applyNumberFormat="1" applyFont="1" applyFill="1" applyBorder="1" applyAlignment="1">
      <alignment horizontal="right" vertical="center"/>
    </xf>
    <xf numFmtId="0" fontId="28" fillId="20" borderId="2" xfId="0" applyFont="1" applyFill="1" applyBorder="1" applyAlignment="1">
      <alignment horizontal="right" vertical="center"/>
    </xf>
    <xf numFmtId="0" fontId="0" fillId="0" borderId="0" xfId="0"/>
    <xf numFmtId="166" fontId="23" fillId="14" borderId="2" xfId="0" applyNumberFormat="1" applyFont="1" applyFill="1" applyBorder="1" applyAlignment="1">
      <alignment horizontal="center" vertical="center"/>
    </xf>
    <xf numFmtId="0" fontId="0" fillId="0" borderId="3" xfId="0" applyBorder="1"/>
    <xf numFmtId="164" fontId="5" fillId="2" borderId="2" xfId="0" applyNumberFormat="1" applyFont="1" applyFill="1" applyBorder="1" applyAlignment="1">
      <alignment horizontal="right" vertical="center"/>
    </xf>
    <xf numFmtId="0" fontId="2" fillId="26" borderId="1" xfId="0" applyFont="1" applyFill="1" applyBorder="1" applyAlignment="1">
      <alignment horizontal="center" vertical="center"/>
    </xf>
    <xf numFmtId="0" fontId="29" fillId="27" borderId="2" xfId="0" applyFont="1" applyFill="1" applyBorder="1" applyAlignment="1">
      <alignment horizontal="center" vertical="center"/>
    </xf>
    <xf numFmtId="0" fontId="29" fillId="28" borderId="2" xfId="0" applyFont="1" applyFill="1" applyBorder="1" applyAlignment="1">
      <alignment horizontal="center" vertical="center"/>
    </xf>
    <xf numFmtId="0" fontId="29" fillId="29" borderId="2" xfId="0" applyFont="1" applyFill="1" applyBorder="1" applyAlignment="1">
      <alignment horizontal="center" vertical="center"/>
    </xf>
    <xf numFmtId="0" fontId="29" fillId="2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>
      <alignment horizontal="right" vertical="center"/>
    </xf>
    <xf numFmtId="0" fontId="24" fillId="20" borderId="2" xfId="0" applyFont="1" applyFill="1" applyBorder="1" applyAlignment="1">
      <alignment horizontal="right" vertical="center"/>
    </xf>
    <xf numFmtId="0" fontId="31" fillId="20" borderId="2" xfId="0" applyFont="1" applyFill="1" applyBorder="1" applyAlignment="1">
      <alignment horizontal="center" vertical="center"/>
    </xf>
    <xf numFmtId="0" fontId="31" fillId="14" borderId="2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 vertical="center"/>
    </xf>
    <xf numFmtId="164" fontId="34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23" fillId="20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23" fillId="14" borderId="2" xfId="0" applyFont="1" applyFill="1" applyBorder="1" applyAlignment="1">
      <alignment horizontal="center" vertical="center"/>
    </xf>
    <xf numFmtId="164" fontId="8" fillId="8" borderId="2" xfId="0" applyNumberFormat="1" applyFont="1" applyFill="1" applyBorder="1" applyAlignment="1">
      <alignment horizontal="right" vertical="center"/>
    </xf>
    <xf numFmtId="165" fontId="11" fillId="20" borderId="2" xfId="0" applyNumberFormat="1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center" vertical="center"/>
    </xf>
    <xf numFmtId="0" fontId="11" fillId="20" borderId="2" xfId="0" applyFont="1" applyFill="1" applyBorder="1" applyAlignment="1">
      <alignment horizontal="right" vertical="center" wrapText="1"/>
    </xf>
    <xf numFmtId="164" fontId="35" fillId="10" borderId="2" xfId="0" applyNumberFormat="1" applyFont="1" applyFill="1" applyBorder="1" applyAlignment="1">
      <alignment horizontal="right" vertical="center"/>
    </xf>
    <xf numFmtId="164" fontId="36" fillId="7" borderId="2" xfId="0" applyNumberFormat="1" applyFont="1" applyFill="1" applyBorder="1" applyAlignment="1">
      <alignment horizontal="right" vertical="center"/>
    </xf>
    <xf numFmtId="164" fontId="29" fillId="25" borderId="2" xfId="0" applyNumberFormat="1" applyFont="1" applyFill="1" applyBorder="1" applyAlignment="1">
      <alignment horizontal="right" vertical="center"/>
    </xf>
    <xf numFmtId="165" fontId="11" fillId="14" borderId="2" xfId="0" applyNumberFormat="1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center" vertical="center"/>
    </xf>
    <xf numFmtId="0" fontId="11" fillId="14" borderId="2" xfId="0" applyFont="1" applyFill="1" applyBorder="1" applyAlignment="1">
      <alignment horizontal="right" vertical="center" wrapText="1"/>
    </xf>
    <xf numFmtId="164" fontId="35" fillId="11" borderId="2" xfId="0" applyNumberFormat="1" applyFont="1" applyFill="1" applyBorder="1" applyAlignment="1">
      <alignment horizontal="right" vertical="center"/>
    </xf>
    <xf numFmtId="164" fontId="36" fillId="8" borderId="2" xfId="0" applyNumberFormat="1" applyFont="1" applyFill="1" applyBorder="1" applyAlignment="1">
      <alignment horizontal="right" vertical="center"/>
    </xf>
    <xf numFmtId="164" fontId="29" fillId="19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7" fillId="0" borderId="0" xfId="0" applyFont="1"/>
    <xf numFmtId="0" fontId="38" fillId="0" borderId="0" xfId="0" applyFont="1"/>
    <xf numFmtId="164" fontId="39" fillId="28" borderId="2" xfId="0" applyNumberFormat="1" applyFont="1" applyFill="1" applyBorder="1" applyAlignment="1">
      <alignment horizontal="right" vertical="center"/>
    </xf>
    <xf numFmtId="0" fontId="8" fillId="7" borderId="2" xfId="0" applyFont="1" applyFill="1" applyBorder="1" applyAlignment="1">
      <alignment horizontal="right" vertical="center"/>
    </xf>
    <xf numFmtId="0" fontId="37" fillId="7" borderId="2" xfId="0" applyFont="1" applyFill="1" applyBorder="1"/>
    <xf numFmtId="0" fontId="8" fillId="8" borderId="2" xfId="0" applyFont="1" applyFill="1" applyBorder="1" applyAlignment="1">
      <alignment horizontal="right" vertical="center"/>
    </xf>
    <xf numFmtId="0" fontId="37" fillId="8" borderId="2" xfId="0" applyFont="1" applyFill="1" applyBorder="1"/>
    <xf numFmtId="165" fontId="36" fillId="8" borderId="2" xfId="0" applyNumberFormat="1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center" vertical="center"/>
    </xf>
    <xf numFmtId="0" fontId="36" fillId="8" borderId="2" xfId="0" applyFont="1" applyFill="1" applyBorder="1" applyAlignment="1">
      <alignment horizontal="right" vertical="center"/>
    </xf>
    <xf numFmtId="0" fontId="40" fillId="8" borderId="2" xfId="0" applyFont="1" applyFill="1" applyBorder="1" applyAlignment="1">
      <alignment horizontal="center" vertical="center"/>
    </xf>
    <xf numFmtId="164" fontId="41" fillId="8" borderId="2" xfId="0" applyNumberFormat="1" applyFont="1" applyFill="1" applyBorder="1" applyAlignment="1">
      <alignment horizontal="right" vertical="center"/>
    </xf>
    <xf numFmtId="165" fontId="36" fillId="7" borderId="2" xfId="0" applyNumberFormat="1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center" vertical="center"/>
    </xf>
    <xf numFmtId="0" fontId="36" fillId="7" borderId="2" xfId="0" applyFont="1" applyFill="1" applyBorder="1" applyAlignment="1">
      <alignment horizontal="right" vertical="center"/>
    </xf>
    <xf numFmtId="0" fontId="40" fillId="7" borderId="2" xfId="0" applyFont="1" applyFill="1" applyBorder="1" applyAlignment="1">
      <alignment horizontal="center" vertical="center"/>
    </xf>
    <xf numFmtId="164" fontId="41" fillId="7" borderId="2" xfId="0" applyNumberFormat="1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  <xf numFmtId="0" fontId="12" fillId="10" borderId="2" xfId="0" applyFont="1" applyFill="1" applyBorder="1" applyAlignment="1">
      <alignment horizontal="right" vertical="center"/>
    </xf>
    <xf numFmtId="0" fontId="37" fillId="10" borderId="2" xfId="0" applyFont="1" applyFill="1" applyBorder="1"/>
    <xf numFmtId="0" fontId="12" fillId="11" borderId="2" xfId="0" applyFont="1" applyFill="1" applyBorder="1" applyAlignment="1">
      <alignment horizontal="right" vertical="center"/>
    </xf>
    <xf numFmtId="0" fontId="37" fillId="11" borderId="2" xfId="0" applyFont="1" applyFill="1" applyBorder="1"/>
    <xf numFmtId="165" fontId="35" fillId="10" borderId="2" xfId="0" applyNumberFormat="1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center" vertical="center"/>
    </xf>
    <xf numFmtId="0" fontId="35" fillId="10" borderId="2" xfId="0" applyFont="1" applyFill="1" applyBorder="1" applyAlignment="1">
      <alignment horizontal="right" vertical="center"/>
    </xf>
    <xf numFmtId="164" fontId="42" fillId="10" borderId="2" xfId="0" applyNumberFormat="1" applyFont="1" applyFill="1" applyBorder="1" applyAlignment="1">
      <alignment horizontal="right" vertical="center"/>
    </xf>
    <xf numFmtId="0" fontId="40" fillId="10" borderId="2" xfId="0" applyFont="1" applyFill="1" applyBorder="1" applyAlignment="1">
      <alignment horizontal="center" vertical="center"/>
    </xf>
    <xf numFmtId="165" fontId="35" fillId="11" borderId="2" xfId="0" applyNumberFormat="1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center" vertical="center"/>
    </xf>
    <xf numFmtId="0" fontId="35" fillId="11" borderId="2" xfId="0" applyFont="1" applyFill="1" applyBorder="1" applyAlignment="1">
      <alignment horizontal="right" vertical="center"/>
    </xf>
    <xf numFmtId="164" fontId="42" fillId="11" borderId="2" xfId="0" applyNumberFormat="1" applyFont="1" applyFill="1" applyBorder="1" applyAlignment="1">
      <alignment horizontal="right" vertical="center"/>
    </xf>
    <xf numFmtId="0" fontId="40" fillId="11" borderId="2" xfId="0" applyFont="1" applyFill="1" applyBorder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Border="1" applyAlignment="1">
      <alignment horizontal="right" vertical="center"/>
    </xf>
    <xf numFmtId="0" fontId="5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right" vertical="center"/>
    </xf>
    <xf numFmtId="165" fontId="23" fillId="20" borderId="2" xfId="0" applyNumberFormat="1" applyFont="1" applyFill="1" applyBorder="1" applyAlignment="1">
      <alignment horizontal="center" vertical="center"/>
    </xf>
    <xf numFmtId="0" fontId="26" fillId="21" borderId="2" xfId="0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33" fillId="30" borderId="0" xfId="0" applyFont="1" applyFill="1" applyBorder="1" applyAlignment="1">
      <alignment horizontal="right" vertical="center"/>
    </xf>
    <xf numFmtId="0" fontId="33" fillId="31" borderId="1" xfId="0" applyFont="1" applyFill="1" applyBorder="1" applyAlignment="1">
      <alignment horizontal="right" vertical="center"/>
    </xf>
    <xf numFmtId="164" fontId="2" fillId="6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6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4"/>
  <sheetViews>
    <sheetView rightToLeft="1" zoomScaleNormal="100" workbookViewId="0">
      <pane ySplit="4" topLeftCell="A43" activePane="bottomLeft" state="frozen"/>
      <selection pane="bottomLeft" activeCell="L2" sqref="L2"/>
    </sheetView>
  </sheetViews>
  <sheetFormatPr defaultColWidth="8.7109375" defaultRowHeight="15"/>
  <cols>
    <col min="1" max="1" width="13" customWidth="1"/>
    <col min="2" max="2" width="16" customWidth="1"/>
    <col min="3" max="3" width="40" customWidth="1"/>
    <col min="4" max="5" width="18" customWidth="1"/>
    <col min="6" max="6" width="22" customWidth="1"/>
    <col min="7" max="7" width="18" customWidth="1"/>
    <col min="8" max="8" width="4" hidden="1" customWidth="1"/>
  </cols>
  <sheetData>
    <row r="1" spans="1:8" ht="31.5" customHeight="1">
      <c r="A1" s="134" t="s">
        <v>0</v>
      </c>
      <c r="B1" s="134"/>
      <c r="C1" s="134"/>
      <c r="D1" s="134"/>
      <c r="E1" s="134"/>
      <c r="F1" s="134"/>
      <c r="G1" s="134"/>
    </row>
    <row r="2" spans="1:8" ht="24" customHeight="1">
      <c r="A2" s="135" t="s">
        <v>1</v>
      </c>
      <c r="B2" s="135"/>
      <c r="C2" s="135"/>
      <c r="D2" s="1">
        <v>0</v>
      </c>
      <c r="E2" s="136" t="s">
        <v>2</v>
      </c>
      <c r="F2" s="136"/>
      <c r="G2" s="136"/>
    </row>
    <row r="3" spans="1:8" ht="24" customHeight="1">
      <c r="A3" s="137" t="s">
        <v>3</v>
      </c>
      <c r="B3" s="137"/>
      <c r="C3" s="2">
        <f>$D$2+SUM(E5:E104)-SUM(D106:D205)</f>
        <v>316.60000000000002</v>
      </c>
      <c r="D3" s="138" t="s">
        <v>4</v>
      </c>
      <c r="E3" s="138"/>
      <c r="F3" s="138"/>
      <c r="G3" s="138"/>
    </row>
    <row r="4" spans="1:8" ht="21.75" customHeight="1">
      <c r="A4" s="139" t="s">
        <v>5</v>
      </c>
      <c r="B4" s="139"/>
      <c r="C4" s="139"/>
      <c r="D4" s="139"/>
      <c r="E4" s="139"/>
      <c r="F4" s="139"/>
      <c r="G4" s="139"/>
    </row>
    <row r="5" spans="1:8" ht="18" customHeight="1">
      <c r="A5" s="3">
        <f>IFERROR(INDEX('كشف الحساب'!$A$4:$A$203,MATCH(1,'كشف الحساب'!$L$4:$L$203,0)),"")</f>
        <v>46121</v>
      </c>
      <c r="B5" s="4" t="str">
        <f>IFERROR(INDEX('كشف الحساب'!$B$4:$B$203,MATCH(1,'كشف الحساب'!$L$4:$L$203,0)),"")</f>
        <v>Inv-001</v>
      </c>
      <c r="C5" s="5" t="str">
        <f>IFERROR(INDEX('كشف الحساب'!$C$4:$C$203,MATCH(1,'كشف الحساب'!$L$4:$L$203,0)),"")</f>
        <v>بيع عدد١ اناناس</v>
      </c>
      <c r="D5" s="6" t="s">
        <v>6</v>
      </c>
      <c r="E5" s="7">
        <f>IFERROR(INDEX('كشف الحساب'!$E$4:$E$203,MATCH(1,'كشف الحساب'!$L$4:$L$203,0)),"")</f>
        <v>5</v>
      </c>
      <c r="F5" s="8" t="str">
        <f>IFERROR(INDEX('كشف الحساب'!$F$4:$F$203,MATCH(1,'كشف الحساب'!$L$4:$L$203,0)),"")</f>
        <v>نقداً</v>
      </c>
      <c r="G5" s="9"/>
      <c r="H5" t="str">
        <f>IF(AND(OR('طباعة المحفظة'!$C$2="الكل",MONTH(A5)=IFERROR(MATCH('طباعة المحفظة'!$C$2,{"يناير","فبراير","مارس","أبريل","مايو","يونيو","يوليو","أغسطس","سبتمبر","أكتوبر","نوفمبر","ديسمبر"},0),0)),OR('طباعة المحفظة'!$F$2="الكل",YEAR(A5)=IFERROR(VALUE('طباعة المحفظة'!$F$2),0)),A5&lt;&gt;""),1,"")</f>
        <v/>
      </c>
    </row>
    <row r="6" spans="1:8" ht="18" customHeight="1">
      <c r="A6" s="10">
        <f>IFERROR(INDEX('كشف الحساب'!$A$4:$A$203,MATCH(2,'كشف الحساب'!$L$4:$L$203,0)),"")</f>
        <v>46142</v>
      </c>
      <c r="B6" s="11">
        <f>IFERROR(INDEX('كشف الحساب'!$B$4:$B$203,MATCH(2,'كشف الحساب'!$L$4:$L$203,0)),"")</f>
        <v>0</v>
      </c>
      <c r="C6" s="12" t="str">
        <f>IFERROR(INDEX('كشف الحساب'!$C$4:$C$203,MATCH(2,'كشف الحساب'!$L$4:$L$203,0)),"")</f>
        <v>مدخول شهر ابريل</v>
      </c>
      <c r="D6" s="13" t="s">
        <v>6</v>
      </c>
      <c r="E6" s="14">
        <f>IFERROR(INDEX('كشف الحساب'!$E$4:$E$203,MATCH(2,'كشف الحساب'!$L$4:$L$203,0)),"")</f>
        <v>181</v>
      </c>
      <c r="F6" s="15">
        <f>IFERROR(INDEX('كشف الحساب'!$F$4:$F$203,MATCH(2,'كشف الحساب'!$L$4:$L$203,0)),"")</f>
        <v>0</v>
      </c>
      <c r="G6" s="16"/>
      <c r="H6" t="str">
        <f>IF(AND(OR('طباعة المحفظة'!$C$2="الكل",MONTH(A6)=IFERROR(MATCH('طباعة المحفظة'!$C$2,{"يناير","فبراير","مارس","أبريل","مايو","يونيو","يوليو","أغسطس","سبتمبر","أكتوبر","نوفمبر","ديسمبر"},0),0)),OR('طباعة المحفظة'!$F$2="الكل",YEAR(A6)=IFERROR(VALUE('طباعة المحفظة'!$F$2),0)),A6&lt;&gt;""),IFERROR(MAX($H$5:H5),0)+1,"")</f>
        <v/>
      </c>
    </row>
    <row r="7" spans="1:8" ht="18" customHeight="1">
      <c r="A7" s="3">
        <f>IFERROR(INDEX('كشف الحساب'!$A$4:$A$203,MATCH(3,'كشف الحساب'!$L$4:$L$203,0)),"")</f>
        <v>46151</v>
      </c>
      <c r="B7" s="4" t="str">
        <f>IFERROR(INDEX('كشف الحساب'!$B$4:$B$203,MATCH(3,'كشف الحساب'!$L$4:$L$203,0)),"")</f>
        <v>Inv-013A</v>
      </c>
      <c r="C7" s="5" t="str">
        <f>IFERROR(INDEX('كشف الحساب'!$C$4:$C$203,MATCH(3,'كشف الحساب'!$L$4:$L$203,0)),"")</f>
        <v>برازيليا عدد 25 سعر الحبه .500</v>
      </c>
      <c r="D7" s="6" t="s">
        <v>6</v>
      </c>
      <c r="E7" s="7">
        <f>IFERROR(INDEX('كشف الحساب'!$E$4:$E$203,MATCH(3,'كشف الحساب'!$L$4:$L$203,0)),"")</f>
        <v>12.5</v>
      </c>
      <c r="F7" s="8" t="str">
        <f>IFERROR(INDEX('كشف الحساب'!$F$4:$F$203,MATCH(3,'كشف الحساب'!$L$4:$L$203,0)),"")</f>
        <v>نقداً</v>
      </c>
      <c r="G7" s="9"/>
      <c r="H7" t="str">
        <f>IF(AND(OR('طباعة المحفظة'!$C$2="الكل",MONTH(A7)=IFERROR(MATCH('طباعة المحفظة'!$C$2,{"يناير","فبراير","مارس","أبريل","مايو","يونيو","يوليو","أغسطس","سبتمبر","أكتوبر","نوفمبر","ديسمبر"},0),0)),OR('طباعة المحفظة'!$F$2="الكل",YEAR(A7)=IFERROR(VALUE('طباعة المحفظة'!$F$2),0)),A7&lt;&gt;""),IFERROR(MAX($H$5:H6),0)+1,"")</f>
        <v/>
      </c>
    </row>
    <row r="8" spans="1:8" ht="18" customHeight="1">
      <c r="A8" s="10">
        <f>IFERROR(INDEX('كشف الحساب'!$A$4:$A$203,MATCH(4,'كشف الحساب'!$L$4:$L$203,0)),"")</f>
        <v>46151</v>
      </c>
      <c r="B8" s="11">
        <f>IFERROR(INDEX('كشف الحساب'!$B$4:$B$203,MATCH(4,'كشف الحساب'!$L$4:$L$203,0)),"")</f>
        <v>18213</v>
      </c>
      <c r="C8" s="12" t="str">
        <f>IFERROR(INDEX('كشف الحساب'!$C$4:$C$203,MATCH(4,'كشف الحساب'!$L$4:$L$203,0)),"")</f>
        <v>شراء دريل</v>
      </c>
      <c r="D8" s="13" t="s">
        <v>6</v>
      </c>
      <c r="E8" s="14">
        <f>IFERROR(INDEX('كشف الحساب'!$E$4:$E$203,MATCH(4,'كشف الحساب'!$L$4:$L$203,0)),"")</f>
        <v>0</v>
      </c>
      <c r="F8" s="15" t="str">
        <f>IFERROR(INDEX('كشف الحساب'!$F$4:$F$203,MATCH(4,'كشف الحساب'!$L$4:$L$203,0)),"")</f>
        <v>أحد الشركاء</v>
      </c>
      <c r="G8" s="16"/>
      <c r="H8" t="str">
        <f>IF(AND(OR('طباعة المحفظة'!$C$2="الكل",MONTH(A8)=IFERROR(MATCH('طباعة المحفظة'!$C$2,{"يناير","فبراير","مارس","أبريل","مايو","يونيو","يوليو","أغسطس","سبتمبر","أكتوبر","نوفمبر","ديسمبر"},0),0)),OR('طباعة المحفظة'!$F$2="الكل",YEAR(A8)=IFERROR(VALUE('طباعة المحفظة'!$F$2),0)),A8&lt;&gt;""),IFERROR(MAX($H$5:H7),0)+1,"")</f>
        <v/>
      </c>
    </row>
    <row r="9" spans="1:8" ht="18" customHeight="1">
      <c r="A9" s="3">
        <f>IFERROR(INDEX('كشف الحساب'!$A$4:$A$203,MATCH(5,'كشف الحساب'!$L$4:$L$203,0)),"")</f>
        <v>46155</v>
      </c>
      <c r="B9" s="4" t="str">
        <f>IFERROR(INDEX('كشف الحساب'!$B$4:$B$203,MATCH(5,'كشف الحساب'!$L$4:$L$203,0)),"")</f>
        <v>Inv-017</v>
      </c>
      <c r="C9" s="5" t="str">
        <f>IFERROR(INDEX('كشف الحساب'!$C$4:$C$203,MATCH(5,'كشف الحساب'!$L$4:$L$203,0)),"")</f>
        <v>فل عدد 10 الحبه 0.750</v>
      </c>
      <c r="D9" s="6" t="s">
        <v>6</v>
      </c>
      <c r="E9" s="7">
        <f>IFERROR(INDEX('كشف الحساب'!$E$4:$E$203,MATCH(5,'كشف الحساب'!$L$4:$L$203,0)),"")</f>
        <v>7.5</v>
      </c>
      <c r="F9" s="8" t="str">
        <f>IFERROR(INDEX('كشف الحساب'!$F$4:$F$203,MATCH(5,'كشف الحساب'!$L$4:$L$203,0)),"")</f>
        <v>نقداً</v>
      </c>
      <c r="G9" s="9"/>
      <c r="H9" t="str">
        <f>IF(AND(OR('طباعة المحفظة'!$C$2="الكل",MONTH(A9)=IFERROR(MATCH('طباعة المحفظة'!$C$2,{"يناير","فبراير","مارس","أبريل","مايو","يونيو","يوليو","أغسطس","سبتمبر","أكتوبر","نوفمبر","ديسمبر"},0),0)),OR('طباعة المحفظة'!$F$2="الكل",YEAR(A9)=IFERROR(VALUE('طباعة المحفظة'!$F$2),0)),A9&lt;&gt;""),IFERROR(MAX($H$5:H8),0)+1,"")</f>
        <v/>
      </c>
    </row>
    <row r="10" spans="1:8" ht="18" customHeight="1">
      <c r="A10" s="10">
        <f>IFERROR(INDEX('كشف الحساب'!$A$4:$A$203,MATCH(6,'كشف الحساب'!$L$4:$L$203,0)),"")</f>
        <v>46156</v>
      </c>
      <c r="B10" s="11" t="str">
        <f>IFERROR(INDEX('كشف الحساب'!$B$4:$B$203,MATCH(6,'كشف الحساب'!$L$4:$L$203,0)),"")</f>
        <v>Inv-18A</v>
      </c>
      <c r="C10" s="12" t="str">
        <f>IFERROR(INDEX('كشف الحساب'!$C$4:$C$203,MATCH(6,'كشف الحساب'!$L$4:$L$203,0)),"")</f>
        <v>ربل 4 حبات الحبه 1.500</v>
      </c>
      <c r="D10" s="13" t="s">
        <v>6</v>
      </c>
      <c r="E10" s="14">
        <f>IFERROR(INDEX('كشف الحساب'!$E$4:$E$203,MATCH(6,'كشف الحساب'!$L$4:$L$203,0)),"")</f>
        <v>6</v>
      </c>
      <c r="F10" s="15" t="str">
        <f>IFERROR(INDEX('كشف الحساب'!$F$4:$F$203,MATCH(6,'كشف الحساب'!$L$4:$L$203,0)),"")</f>
        <v>نقداً</v>
      </c>
      <c r="G10" s="16"/>
      <c r="H10" t="str">
        <f>IF(AND(OR('طباعة المحفظة'!$C$2="الكل",MONTH(A10)=IFERROR(MATCH('طباعة المحفظة'!$C$2,{"يناير","فبراير","مارس","أبريل","مايو","يونيو","يوليو","أغسطس","سبتمبر","أكتوبر","نوفمبر","ديسمبر"},0),0)),OR('طباعة المحفظة'!$F$2="الكل",YEAR(A10)=IFERROR(VALUE('طباعة المحفظة'!$F$2),0)),A10&lt;&gt;""),IFERROR(MAX($H$5:H9),0)+1,"")</f>
        <v/>
      </c>
    </row>
    <row r="11" spans="1:8" ht="18" customHeight="1">
      <c r="A11" s="3">
        <f>IFERROR(INDEX('كشف الحساب'!$A$4:$A$203,MATCH(7,'كشف الحساب'!$L$4:$L$203,0)),"")</f>
        <v>46156</v>
      </c>
      <c r="B11" s="4" t="str">
        <f>IFERROR(INDEX('كشف الحساب'!$B$4:$B$203,MATCH(7,'كشف الحساب'!$L$4:$L$203,0)),"")</f>
        <v>Inv-18</v>
      </c>
      <c r="C11" s="5" t="str">
        <f>IFERROR(INDEX('كشف الحساب'!$C$4:$C$203,MATCH(7,'كشف الحساب'!$L$4:$L$203,0)),"")</f>
        <v>ودليه 8 حبات الحبه 1</v>
      </c>
      <c r="D11" s="6" t="s">
        <v>6</v>
      </c>
      <c r="E11" s="7">
        <f>IFERROR(INDEX('كشف الحساب'!$E$4:$E$203,MATCH(7,'كشف الحساب'!$L$4:$L$203,0)),"")</f>
        <v>8</v>
      </c>
      <c r="F11" s="8" t="str">
        <f>IFERROR(INDEX('كشف الحساب'!$F$4:$F$203,MATCH(7,'كشف الحساب'!$L$4:$L$203,0)),"")</f>
        <v>نقداً</v>
      </c>
      <c r="G11" s="9"/>
      <c r="H11" t="str">
        <f>IF(AND(OR('طباعة المحفظة'!$C$2="الكل",MONTH(A11)=IFERROR(MATCH('طباعة المحفظة'!$C$2,{"يناير","فبراير","مارس","أبريل","مايو","يونيو","يوليو","أغسطس","سبتمبر","أكتوبر","نوفمبر","ديسمبر"},0),0)),OR('طباعة المحفظة'!$F$2="الكل",YEAR(A11)=IFERROR(VALUE('طباعة المحفظة'!$F$2),0)),A11&lt;&gt;""),IFERROR(MAX($H$5:H10),0)+1,"")</f>
        <v/>
      </c>
    </row>
    <row r="12" spans="1:8" ht="18" customHeight="1">
      <c r="A12" s="10">
        <f>IFERROR(INDEX('كشف الحساب'!$A$4:$A$203,MATCH(8,'كشف الحساب'!$L$4:$L$203,0)),"")</f>
        <v>46158</v>
      </c>
      <c r="B12" s="11" t="str">
        <f>IFERROR(INDEX('كشف الحساب'!$B$4:$B$203,MATCH(8,'كشف الحساب'!$L$4:$L$203,0)),"")</f>
        <v>Inv-19</v>
      </c>
      <c r="C12" s="12" t="str">
        <f>IFERROR(INDEX('كشف الحساب'!$C$4:$C$203,MATCH(8,'كشف الحساب'!$L$4:$L$203,0)),"")</f>
        <v>فل عدد 2 الحبه 0.750</v>
      </c>
      <c r="D12" s="13" t="s">
        <v>6</v>
      </c>
      <c r="E12" s="14">
        <f>IFERROR(INDEX('كشف الحساب'!$E$4:$E$203,MATCH(8,'كشف الحساب'!$L$4:$L$203,0)),"")</f>
        <v>1.5</v>
      </c>
      <c r="F12" s="15" t="str">
        <f>IFERROR(INDEX('كشف الحساب'!$F$4:$F$203,MATCH(8,'كشف الحساب'!$L$4:$L$203,0)),"")</f>
        <v>نقداً</v>
      </c>
      <c r="G12" s="16"/>
      <c r="H12" t="str">
        <f>IF(AND(OR('طباعة المحفظة'!$C$2="الكل",MONTH(A12)=IFERROR(MATCH('طباعة المحفظة'!$C$2,{"يناير","فبراير","مارس","أبريل","مايو","يونيو","يوليو","أغسطس","سبتمبر","أكتوبر","نوفمبر","ديسمبر"},0),0)),OR('طباعة المحفظة'!$F$2="الكل",YEAR(A12)=IFERROR(VALUE('طباعة المحفظة'!$F$2),0)),A12&lt;&gt;""),IFERROR(MAX($H$5:H11),0)+1,"")</f>
        <v/>
      </c>
    </row>
    <row r="13" spans="1:8" ht="18" customHeight="1">
      <c r="A13" s="3">
        <f>IFERROR(INDEX('كشف الحساب'!$A$4:$A$203,MATCH(9,'كشف الحساب'!$L$4:$L$203,0)),"")</f>
        <v>46158</v>
      </c>
      <c r="B13" s="4" t="str">
        <f>IFERROR(INDEX('كشف الحساب'!$B$4:$B$203,MATCH(9,'كشف الحساب'!$L$4:$L$203,0)),"")</f>
        <v>Inv-20</v>
      </c>
      <c r="C13" s="5" t="str">
        <f>IFERROR(INDEX('كشف الحساب'!$C$4:$C$203,MATCH(9,'كشف الحساب'!$L$4:$L$203,0)),"")</f>
        <v>صبار اوليفيرا عدد 3 الحبه 0.750</v>
      </c>
      <c r="D13" s="6" t="s">
        <v>6</v>
      </c>
      <c r="E13" s="7">
        <f>IFERROR(INDEX('كشف الحساب'!$E$4:$E$203,MATCH(9,'كشف الحساب'!$L$4:$L$203,0)),"")</f>
        <v>2.25</v>
      </c>
      <c r="F13" s="8" t="str">
        <f>IFERROR(INDEX('كشف الحساب'!$F$4:$F$203,MATCH(9,'كشف الحساب'!$L$4:$L$203,0)),"")</f>
        <v>نقداً</v>
      </c>
      <c r="G13" s="9"/>
      <c r="H13" t="str">
        <f>IF(AND(OR('طباعة المحفظة'!$C$2="الكل",MONTH(A13)=IFERROR(MATCH('طباعة المحفظة'!$C$2,{"يناير","فبراير","مارس","أبريل","مايو","يونيو","يوليو","أغسطس","سبتمبر","أكتوبر","نوفمبر","ديسمبر"},0),0)),OR('طباعة المحفظة'!$F$2="الكل",YEAR(A13)=IFERROR(VALUE('طباعة المحفظة'!$F$2),0)),A13&lt;&gt;""),IFERROR(MAX($H$5:H12),0)+1,"")</f>
        <v/>
      </c>
    </row>
    <row r="14" spans="1:8" ht="18" customHeight="1">
      <c r="A14" s="10">
        <f>IFERROR(INDEX('كشف الحساب'!$A$4:$A$203,MATCH(10,'كشف الحساب'!$L$4:$L$203,0)),"")</f>
        <v>46158</v>
      </c>
      <c r="B14" s="11" t="str">
        <f>IFERROR(INDEX('كشف الحساب'!$B$4:$B$203,MATCH(10,'كشف الحساب'!$L$4:$L$203,0)),"")</f>
        <v>Inv-21</v>
      </c>
      <c r="C14" s="12" t="str">
        <f>IFERROR(INDEX('كشف الحساب'!$C$4:$C$203,MATCH(10,'كشف الحساب'!$L$4:$L$203,0)),"")</f>
        <v>دارسينا عدد 1 الحبه 2.500</v>
      </c>
      <c r="D14" s="13" t="s">
        <v>6</v>
      </c>
      <c r="E14" s="14">
        <f>IFERROR(INDEX('كشف الحساب'!$E$4:$E$203,MATCH(10,'كشف الحساب'!$L$4:$L$203,0)),"")</f>
        <v>2.5</v>
      </c>
      <c r="F14" s="15" t="str">
        <f>IFERROR(INDEX('كشف الحساب'!$F$4:$F$203,MATCH(10,'كشف الحساب'!$L$4:$L$203,0)),"")</f>
        <v>نقداً</v>
      </c>
      <c r="G14" s="16"/>
      <c r="H14" t="str">
        <f>IF(AND(OR('طباعة المحفظة'!$C$2="الكل",MONTH(A14)=IFERROR(MATCH('طباعة المحفظة'!$C$2,{"يناير","فبراير","مارس","أبريل","مايو","يونيو","يوليو","أغسطس","سبتمبر","أكتوبر","نوفمبر","ديسمبر"},0),0)),OR('طباعة المحفظة'!$F$2="الكل",YEAR(A14)=IFERROR(VALUE('طباعة المحفظة'!$F$2),0)),A14&lt;&gt;""),IFERROR(MAX($H$5:H13),0)+1,"")</f>
        <v/>
      </c>
    </row>
    <row r="15" spans="1:8" ht="18" customHeight="1">
      <c r="A15" s="3">
        <f>IFERROR(INDEX('كشف الحساب'!$A$4:$A$203,MATCH(11,'كشف الحساب'!$L$4:$L$203,0)),"")</f>
        <v>46159</v>
      </c>
      <c r="B15" s="4" t="str">
        <f>IFERROR(INDEX('كشف الحساب'!$B$4:$B$203,MATCH(11,'كشف الحساب'!$L$4:$L$203,0)),"")</f>
        <v>Inv-22</v>
      </c>
      <c r="C15" s="5" t="str">
        <f>IFERROR(INDEX('كشف الحساب'!$C$4:$C$203,MATCH(11,'كشف الحساب'!$L$4:$L$203,0)),"")</f>
        <v>فل عدد 30 الحبه 0.750</v>
      </c>
      <c r="D15" s="6" t="s">
        <v>6</v>
      </c>
      <c r="E15" s="7">
        <f>IFERROR(INDEX('كشف الحساب'!$E$4:$E$203,MATCH(11,'كشف الحساب'!$L$4:$L$203,0)),"")</f>
        <v>22.5</v>
      </c>
      <c r="F15" s="8" t="str">
        <f>IFERROR(INDEX('كشف الحساب'!$F$4:$F$203,MATCH(11,'كشف الحساب'!$L$4:$L$203,0)),"")</f>
        <v>نقداً</v>
      </c>
      <c r="G15" s="9"/>
      <c r="H15" t="str">
        <f>IF(AND(OR('طباعة المحفظة'!$C$2="الكل",MONTH(A15)=IFERROR(MATCH('طباعة المحفظة'!$C$2,{"يناير","فبراير","مارس","أبريل","مايو","يونيو","يوليو","أغسطس","سبتمبر","أكتوبر","نوفمبر","ديسمبر"},0),0)),OR('طباعة المحفظة'!$F$2="الكل",YEAR(A15)=IFERROR(VALUE('طباعة المحفظة'!$F$2),0)),A15&lt;&gt;""),IFERROR(MAX($H$5:H14),0)+1,"")</f>
        <v/>
      </c>
    </row>
    <row r="16" spans="1:8" ht="18" customHeight="1">
      <c r="A16" s="10">
        <f>IFERROR(INDEX('كشف الحساب'!$A$4:$A$203,MATCH(12,'كشف الحساب'!$L$4:$L$203,0)),"")</f>
        <v>46159</v>
      </c>
      <c r="B16" s="11" t="str">
        <f>IFERROR(INDEX('كشف الحساب'!$B$4:$B$203,MATCH(12,'كشف الحساب'!$L$4:$L$203,0)),"")</f>
        <v>Inv-23</v>
      </c>
      <c r="C16" s="12" t="str">
        <f>IFERROR(INDEX('كشف الحساب'!$C$4:$C$203,MATCH(12,'كشف الحساب'!$L$4:$L$203,0)),"")</f>
        <v>برازيليا عدد 16 الحبه 0.500</v>
      </c>
      <c r="D16" s="13" t="s">
        <v>6</v>
      </c>
      <c r="E16" s="14">
        <f>IFERROR(INDEX('كشف الحساب'!$E$4:$E$203,MATCH(12,'كشف الحساب'!$L$4:$L$203,0)),"")</f>
        <v>8</v>
      </c>
      <c r="F16" s="15" t="str">
        <f>IFERROR(INDEX('كشف الحساب'!$F$4:$F$203,MATCH(12,'كشف الحساب'!$L$4:$L$203,0)),"")</f>
        <v>نقداً</v>
      </c>
      <c r="G16" s="16"/>
      <c r="H16" t="str">
        <f>IF(AND(OR('طباعة المحفظة'!$C$2="الكل",MONTH(A16)=IFERROR(MATCH('طباعة المحفظة'!$C$2,{"يناير","فبراير","مارس","أبريل","مايو","يونيو","يوليو","أغسطس","سبتمبر","أكتوبر","نوفمبر","ديسمبر"},0),0)),OR('طباعة المحفظة'!$F$2="الكل",YEAR(A16)=IFERROR(VALUE('طباعة المحفظة'!$F$2),0)),A16&lt;&gt;""),IFERROR(MAX($H$5:H15),0)+1,"")</f>
        <v/>
      </c>
    </row>
    <row r="17" spans="1:8" ht="18" customHeight="1">
      <c r="A17" s="3">
        <f>IFERROR(INDEX('كشف الحساب'!$A$4:$A$203,MATCH(13,'كشف الحساب'!$L$4:$L$203,0)),"")</f>
        <v>46160</v>
      </c>
      <c r="B17" s="4" t="str">
        <f>IFERROR(INDEX('كشف الحساب'!$B$4:$B$203,MATCH(13,'كشف الحساب'!$L$4:$L$203,0)),"")</f>
        <v>Inv-24</v>
      </c>
      <c r="C17" s="5" t="str">
        <f>IFERROR(INDEX('كشف الحساب'!$C$4:$C$203,MATCH(13,'كشف الحساب'!$L$4:$L$203,0)),"")</f>
        <v>فل عدد10 الحبه 0.750</v>
      </c>
      <c r="D17" s="6" t="s">
        <v>6</v>
      </c>
      <c r="E17" s="7">
        <f>IFERROR(INDEX('كشف الحساب'!$E$4:$E$203,MATCH(13,'كشف الحساب'!$L$4:$L$203,0)),"")</f>
        <v>7.5</v>
      </c>
      <c r="F17" s="8" t="str">
        <f>IFERROR(INDEX('كشف الحساب'!$F$4:$F$203,MATCH(13,'كشف الحساب'!$L$4:$L$203,0)),"")</f>
        <v>نقداً</v>
      </c>
      <c r="G17" s="9"/>
      <c r="H17" t="str">
        <f>IF(AND(OR('طباعة المحفظة'!$C$2="الكل",MONTH(A17)=IFERROR(MATCH('طباعة المحفظة'!$C$2,{"يناير","فبراير","مارس","أبريل","مايو","يونيو","يوليو","أغسطس","سبتمبر","أكتوبر","نوفمبر","ديسمبر"},0),0)),OR('طباعة المحفظة'!$F$2="الكل",YEAR(A17)=IFERROR(VALUE('طباعة المحفظة'!$F$2),0)),A17&lt;&gt;""),IFERROR(MAX($H$5:H16),0)+1,"")</f>
        <v/>
      </c>
    </row>
    <row r="18" spans="1:8" ht="18" customHeight="1">
      <c r="A18" s="10">
        <f>IFERROR(INDEX('كشف الحساب'!$A$4:$A$203,MATCH(14,'كشف الحساب'!$L$4:$L$203,0)),"")</f>
        <v>46160</v>
      </c>
      <c r="B18" s="11" t="str">
        <f>IFERROR(INDEX('كشف الحساب'!$B$4:$B$203,MATCH(14,'كشف الحساب'!$L$4:$L$203,0)),"")</f>
        <v>Inv-25</v>
      </c>
      <c r="C18" s="12" t="str">
        <f>IFERROR(INDEX('كشف الحساب'!$C$4:$C$203,MATCH(14,'كشف الحساب'!$L$4:$L$203,0)),"")</f>
        <v>دارسيناحمراء عدد 1</v>
      </c>
      <c r="D18" s="13" t="s">
        <v>6</v>
      </c>
      <c r="E18" s="14">
        <f>IFERROR(INDEX('كشف الحساب'!$E$4:$E$203,MATCH(14,'كشف الحساب'!$L$4:$L$203,0)),"")</f>
        <v>5</v>
      </c>
      <c r="F18" s="15" t="str">
        <f>IFERROR(INDEX('كشف الحساب'!$F$4:$F$203,MATCH(14,'كشف الحساب'!$L$4:$L$203,0)),"")</f>
        <v>نقداً</v>
      </c>
      <c r="G18" s="16"/>
      <c r="H18" t="str">
        <f>IF(AND(OR('طباعة المحفظة'!$C$2="الكل",MONTH(A18)=IFERROR(MATCH('طباعة المحفظة'!$C$2,{"يناير","فبراير","مارس","أبريل","مايو","يونيو","يوليو","أغسطس","سبتمبر","أكتوبر","نوفمبر","ديسمبر"},0),0)),OR('طباعة المحفظة'!$F$2="الكل",YEAR(A18)=IFERROR(VALUE('طباعة المحفظة'!$F$2),0)),A18&lt;&gt;""),IFERROR(MAX($H$5:H17),0)+1,"")</f>
        <v/>
      </c>
    </row>
    <row r="19" spans="1:8" ht="18" customHeight="1">
      <c r="A19" s="3">
        <f>IFERROR(INDEX('كشف الحساب'!$A$4:$A$203,MATCH(15,'كشف الحساب'!$L$4:$L$203,0)),"")</f>
        <v>46160</v>
      </c>
      <c r="B19" s="4" t="str">
        <f>IFERROR(INDEX('كشف الحساب'!$B$4:$B$203,MATCH(15,'كشف الحساب'!$L$4:$L$203,0)),"")</f>
        <v>Inv-26</v>
      </c>
      <c r="C19" s="5" t="str">
        <f>IFERROR(INDEX('كشف الحساب'!$C$4:$C$203,MATCH(15,'كشف الحساب'!$L$4:$L$203,0)),"")</f>
        <v>دارسينا خضراء عدد 2 الحبه 1.500</v>
      </c>
      <c r="D19" s="6" t="s">
        <v>6</v>
      </c>
      <c r="E19" s="7">
        <f>IFERROR(INDEX('كشف الحساب'!$E$4:$E$203,MATCH(15,'كشف الحساب'!$L$4:$L$203,0)),"")</f>
        <v>3</v>
      </c>
      <c r="F19" s="8" t="str">
        <f>IFERROR(INDEX('كشف الحساب'!$F$4:$F$203,MATCH(15,'كشف الحساب'!$L$4:$L$203,0)),"")</f>
        <v>نقداً</v>
      </c>
      <c r="G19" s="9"/>
      <c r="H19" t="str">
        <f>IF(AND(OR('طباعة المحفظة'!$C$2="الكل",MONTH(A19)=IFERROR(MATCH('طباعة المحفظة'!$C$2,{"يناير","فبراير","مارس","أبريل","مايو","يونيو","يوليو","أغسطس","سبتمبر","أكتوبر","نوفمبر","ديسمبر"},0),0)),OR('طباعة المحفظة'!$F$2="الكل",YEAR(A19)=IFERROR(VALUE('طباعة المحفظة'!$F$2),0)),A19&lt;&gt;""),IFERROR(MAX($H$5:H18),0)+1,"")</f>
        <v/>
      </c>
    </row>
    <row r="20" spans="1:8" ht="18" customHeight="1">
      <c r="A20" s="10">
        <f>IFERROR(INDEX('كشف الحساب'!$A$4:$A$203,MATCH(16,'كشف الحساب'!$L$4:$L$203,0)),"")</f>
        <v>46160</v>
      </c>
      <c r="B20" s="11" t="str">
        <f>IFERROR(INDEX('كشف الحساب'!$B$4:$B$203,MATCH(16,'كشف الحساب'!$L$4:$L$203,0)),"")</f>
        <v>Inv-27</v>
      </c>
      <c r="C20" s="12" t="str">
        <f>IFERROR(INDEX('كشف الحساب'!$C$4:$C$203,MATCH(16,'كشف الحساب'!$L$4:$L$203,0)),"")</f>
        <v>ربل عدد 2 الحبه 1.500</v>
      </c>
      <c r="D20" s="13" t="s">
        <v>6</v>
      </c>
      <c r="E20" s="14">
        <f>IFERROR(INDEX('كشف الحساب'!$E$4:$E$203,MATCH(16,'كشف الحساب'!$L$4:$L$203,0)),"")</f>
        <v>3</v>
      </c>
      <c r="F20" s="15" t="str">
        <f>IFERROR(INDEX('كشف الحساب'!$F$4:$F$203,MATCH(16,'كشف الحساب'!$L$4:$L$203,0)),"")</f>
        <v>نقداً</v>
      </c>
      <c r="G20" s="16"/>
      <c r="H20" t="str">
        <f>IF(AND(OR('طباعة المحفظة'!$C$2="الكل",MONTH(A20)=IFERROR(MATCH('طباعة المحفظة'!$C$2,{"يناير","فبراير","مارس","أبريل","مايو","يونيو","يوليو","أغسطس","سبتمبر","أكتوبر","نوفمبر","ديسمبر"},0),0)),OR('طباعة المحفظة'!$F$2="الكل",YEAR(A20)=IFERROR(VALUE('طباعة المحفظة'!$F$2),0)),A20&lt;&gt;""),IFERROR(MAX($H$5:H19),0)+1,"")</f>
        <v/>
      </c>
    </row>
    <row r="21" spans="1:8" ht="18" customHeight="1">
      <c r="A21" s="3">
        <f>IFERROR(INDEX('كشف الحساب'!$A$4:$A$203,MATCH(17,'كشف الحساب'!$L$4:$L$203,0)),"")</f>
        <v>46160</v>
      </c>
      <c r="B21" s="4" t="str">
        <f>IFERROR(INDEX('كشف الحساب'!$B$4:$B$203,MATCH(17,'كشف الحساب'!$L$4:$L$203,0)),"")</f>
        <v>Inv-28</v>
      </c>
      <c r="C21" s="5" t="str">
        <f>IFERROR(INDEX('كشف الحساب'!$C$4:$C$203,MATCH(17,'كشف الحساب'!$L$4:$L$203,0)),"")</f>
        <v>دارسينا حمراء عدد2 الحبه 2.500</v>
      </c>
      <c r="D21" s="6" t="s">
        <v>6</v>
      </c>
      <c r="E21" s="7">
        <f>IFERROR(INDEX('كشف الحساب'!$E$4:$E$203,MATCH(17,'كشف الحساب'!$L$4:$L$203,0)),"")</f>
        <v>5</v>
      </c>
      <c r="F21" s="8" t="str">
        <f>IFERROR(INDEX('كشف الحساب'!$F$4:$F$203,MATCH(17,'كشف الحساب'!$L$4:$L$203,0)),"")</f>
        <v>نقداً</v>
      </c>
      <c r="G21" s="9"/>
      <c r="H21" t="str">
        <f>IF(AND(OR('طباعة المحفظة'!$C$2="الكل",MONTH(A21)=IFERROR(MATCH('طباعة المحفظة'!$C$2,{"يناير","فبراير","مارس","أبريل","مايو","يونيو","يوليو","أغسطس","سبتمبر","أكتوبر","نوفمبر","ديسمبر"},0),0)),OR('طباعة المحفظة'!$F$2="الكل",YEAR(A21)=IFERROR(VALUE('طباعة المحفظة'!$F$2),0)),A21&lt;&gt;""),IFERROR(MAX($H$5:H20),0)+1,"")</f>
        <v/>
      </c>
    </row>
    <row r="22" spans="1:8" ht="18" customHeight="1">
      <c r="A22" s="10">
        <f>IFERROR(INDEX('كشف الحساب'!$A$4:$A$203,MATCH(18,'كشف الحساب'!$L$4:$L$203,0)),"")</f>
        <v>46160</v>
      </c>
      <c r="B22" s="11" t="str">
        <f>IFERROR(INDEX('كشف الحساب'!$B$4:$B$203,MATCH(18,'كشف الحساب'!$L$4:$L$203,0)),"")</f>
        <v>Inv-29</v>
      </c>
      <c r="C22" s="12" t="str">
        <f>IFERROR(INDEX('كشف الحساب'!$C$4:$C$203,MATCH(18,'كشف الحساب'!$L$4:$L$203,0)),"")</f>
        <v>برازيليا عدد 10 الحبه 0.500</v>
      </c>
      <c r="D22" s="13" t="s">
        <v>6</v>
      </c>
      <c r="E22" s="14">
        <f>IFERROR(INDEX('كشف الحساب'!$E$4:$E$203,MATCH(18,'كشف الحساب'!$L$4:$L$203,0)),"")</f>
        <v>5</v>
      </c>
      <c r="F22" s="15" t="str">
        <f>IFERROR(INDEX('كشف الحساب'!$F$4:$F$203,MATCH(18,'كشف الحساب'!$L$4:$L$203,0)),"")</f>
        <v>نقداً</v>
      </c>
      <c r="G22" s="16"/>
      <c r="H22" t="str">
        <f>IF(AND(OR('طباعة المحفظة'!$C$2="الكل",MONTH(A22)=IFERROR(MATCH('طباعة المحفظة'!$C$2,{"يناير","فبراير","مارس","أبريل","مايو","يونيو","يوليو","أغسطس","سبتمبر","أكتوبر","نوفمبر","ديسمبر"},0),0)),OR('طباعة المحفظة'!$F$2="الكل",YEAR(A22)=IFERROR(VALUE('طباعة المحفظة'!$F$2),0)),A22&lt;&gt;""),IFERROR(MAX($H$5:H21),0)+1,"")</f>
        <v/>
      </c>
    </row>
    <row r="23" spans="1:8" ht="18" customHeight="1">
      <c r="A23" s="3">
        <f>IFERROR(INDEX('كشف الحساب'!$A$4:$A$203,MATCH(19,'كشف الحساب'!$L$4:$L$203,0)),"")</f>
        <v>46160</v>
      </c>
      <c r="B23" s="4" t="str">
        <f>IFERROR(INDEX('كشف الحساب'!$B$4:$B$203,MATCH(19,'كشف الحساب'!$L$4:$L$203,0)),"")</f>
        <v>85164</v>
      </c>
      <c r="C23" s="5" t="str">
        <f>IFERROR(INDEX('كشف الحساب'!$C$4:$C$203,MATCH(19,'كشف الحساب'!$L$4:$L$203,0)),"")</f>
        <v>مبيد اسيتبلان عدد 1</v>
      </c>
      <c r="D23" s="6" t="s">
        <v>6</v>
      </c>
      <c r="E23" s="7">
        <f>IFERROR(INDEX('كشف الحساب'!$E$4:$E$203,MATCH(19,'كشف الحساب'!$L$4:$L$203,0)),"")</f>
        <v>0</v>
      </c>
      <c r="F23" s="8" t="str">
        <f>IFERROR(INDEX('كشف الحساب'!$F$4:$F$203,MATCH(19,'كشف الحساب'!$L$4:$L$203,0)),"")</f>
        <v>نقداً</v>
      </c>
      <c r="G23" s="9"/>
      <c r="H23" t="str">
        <f>IF(AND(OR('طباعة المحفظة'!$C$2="الكل",MONTH(A23)=IFERROR(MATCH('طباعة المحفظة'!$C$2,{"يناير","فبراير","مارس","أبريل","مايو","يونيو","يوليو","أغسطس","سبتمبر","أكتوبر","نوفمبر","ديسمبر"},0),0)),OR('طباعة المحفظة'!$F$2="الكل",YEAR(A23)=IFERROR(VALUE('طباعة المحفظة'!$F$2),0)),A23&lt;&gt;""),IFERROR(MAX($H$5:H22),0)+1,"")</f>
        <v/>
      </c>
    </row>
    <row r="24" spans="1:8" ht="18" customHeight="1">
      <c r="A24" s="10">
        <f>IFERROR(INDEX('كشف الحساب'!$A$4:$A$203,MATCH(20,'كشف الحساب'!$L$4:$L$203,0)),"")</f>
        <v>46162</v>
      </c>
      <c r="B24" s="11" t="str">
        <f>IFERROR(INDEX('كشف الحساب'!$B$4:$B$203,MATCH(20,'كشف الحساب'!$L$4:$L$203,0)),"")</f>
        <v>Inv-31</v>
      </c>
      <c r="C24" s="12" t="str">
        <f>IFERROR(INDEX('كشف الحساب'!$C$4:$C$203,MATCH(20,'كشف الحساب'!$L$4:$L$203,0)),"")</f>
        <v>فل عدد30 الحبه 0.750</v>
      </c>
      <c r="D24" s="13" t="s">
        <v>6</v>
      </c>
      <c r="E24" s="14">
        <f>IFERROR(INDEX('كشف الحساب'!$E$4:$E$203,MATCH(20,'كشف الحساب'!$L$4:$L$203,0)),"")</f>
        <v>22.5</v>
      </c>
      <c r="F24" s="15" t="str">
        <f>IFERROR(INDEX('كشف الحساب'!$F$4:$F$203,MATCH(20,'كشف الحساب'!$L$4:$L$203,0)),"")</f>
        <v>نقداً</v>
      </c>
      <c r="G24" s="16"/>
      <c r="H24" t="str">
        <f>IF(AND(OR('طباعة المحفظة'!$C$2="الكل",MONTH(A24)=IFERROR(MATCH('طباعة المحفظة'!$C$2,{"يناير","فبراير","مارس","أبريل","مايو","يونيو","يوليو","أغسطس","سبتمبر","أكتوبر","نوفمبر","ديسمبر"},0),0)),OR('طباعة المحفظة'!$F$2="الكل",YEAR(A24)=IFERROR(VALUE('طباعة المحفظة'!$F$2),0)),A24&lt;&gt;""),IFERROR(MAX($H$5:H23),0)+1,"")</f>
        <v/>
      </c>
    </row>
    <row r="25" spans="1:8" ht="18" customHeight="1">
      <c r="A25" s="3">
        <f>IFERROR(INDEX('كشف الحساب'!$A$4:$A$203,MATCH(21,'كشف الحساب'!$L$4:$L$203,0)),"")</f>
        <v>46162</v>
      </c>
      <c r="B25" s="4" t="str">
        <f>IFERROR(INDEX('كشف الحساب'!$B$4:$B$203,MATCH(21,'كشف الحساب'!$L$4:$L$203,0)),"")</f>
        <v>Inv-32</v>
      </c>
      <c r="C25" s="5" t="str">
        <f>IFERROR(INDEX('كشف الحساب'!$C$4:$C$203,MATCH(21,'كشف الحساب'!$L$4:$L$203,0)),"")</f>
        <v>برازيليا عدد 50 الحبه0.500</v>
      </c>
      <c r="D25" s="6" t="s">
        <v>6</v>
      </c>
      <c r="E25" s="7">
        <f>IFERROR(INDEX('كشف الحساب'!$E$4:$E$203,MATCH(21,'كشف الحساب'!$L$4:$L$203,0)),"")</f>
        <v>25</v>
      </c>
      <c r="F25" s="8" t="str">
        <f>IFERROR(INDEX('كشف الحساب'!$F$4:$F$203,MATCH(21,'كشف الحساب'!$L$4:$L$203,0)),"")</f>
        <v>نقداً</v>
      </c>
      <c r="G25" s="9"/>
      <c r="H25" t="str">
        <f>IF(AND(OR('طباعة المحفظة'!$C$2="الكل",MONTH(A25)=IFERROR(MATCH('طباعة المحفظة'!$C$2,{"يناير","فبراير","مارس","أبريل","مايو","يونيو","يوليو","أغسطس","سبتمبر","أكتوبر","نوفمبر","ديسمبر"},0),0)),OR('طباعة المحفظة'!$F$2="الكل",YEAR(A25)=IFERROR(VALUE('طباعة المحفظة'!$F$2),0)),A25&lt;&gt;""),IFERROR(MAX($H$5:H24),0)+1,"")</f>
        <v/>
      </c>
    </row>
    <row r="26" spans="1:8" ht="18" customHeight="1">
      <c r="A26" s="10">
        <f>IFERROR(INDEX('كشف الحساب'!$A$4:$A$203,MATCH(22,'كشف الحساب'!$L$4:$L$203,0)),"")</f>
        <v>46163</v>
      </c>
      <c r="B26" s="11" t="str">
        <f>IFERROR(INDEX('كشف الحساب'!$B$4:$B$203,MATCH(22,'كشف الحساب'!$L$4:$L$203,0)),"")</f>
        <v>Inv-33</v>
      </c>
      <c r="C26" s="12" t="str">
        <f>IFERROR(INDEX('كشف الحساب'!$C$4:$C$203,MATCH(22,'كشف الحساب'!$L$4:$L$203,0)),"")</f>
        <v>برازيليا عدد 75 الحبه 0.500</v>
      </c>
      <c r="D26" s="13" t="s">
        <v>6</v>
      </c>
      <c r="E26" s="14">
        <f>IFERROR(INDEX('كشف الحساب'!$E$4:$E$203,MATCH(22,'كشف الحساب'!$L$4:$L$203,0)),"")</f>
        <v>37.5</v>
      </c>
      <c r="F26" s="15" t="str">
        <f>IFERROR(INDEX('كشف الحساب'!$F$4:$F$203,MATCH(22,'كشف الحساب'!$L$4:$L$203,0)),"")</f>
        <v>نقداً</v>
      </c>
      <c r="G26" s="16"/>
      <c r="H26" t="str">
        <f>IF(AND(OR('طباعة المحفظة'!$C$2="الكل",MONTH(A26)=IFERROR(MATCH('طباعة المحفظة'!$C$2,{"يناير","فبراير","مارس","أبريل","مايو","يونيو","يوليو","أغسطس","سبتمبر","أكتوبر","نوفمبر","ديسمبر"},0),0)),OR('طباعة المحفظة'!$F$2="الكل",YEAR(A26)=IFERROR(VALUE('طباعة المحفظة'!$F$2),0)),A26&lt;&gt;""),IFERROR(MAX($H$5:H25),0)+1,"")</f>
        <v/>
      </c>
    </row>
    <row r="27" spans="1:8" ht="18" customHeight="1">
      <c r="A27" s="3">
        <f>IFERROR(INDEX('كشف الحساب'!$A$4:$A$203,MATCH(23,'كشف الحساب'!$L$4:$L$203,0)),"")</f>
        <v>46163</v>
      </c>
      <c r="B27" s="4" t="str">
        <f>IFERROR(INDEX('كشف الحساب'!$B$4:$B$203,MATCH(23,'كشف الحساب'!$L$4:$L$203,0)),"")</f>
        <v>Inv-34</v>
      </c>
      <c r="C27" s="5" t="str">
        <f>IFERROR(INDEX('كشف الحساب'!$C$4:$C$203,MATCH(23,'كشف الحساب'!$L$4:$L$203,0)),"")</f>
        <v>دارسينيا احمر عدد1 حبه 2.500</v>
      </c>
      <c r="D27" s="6" t="s">
        <v>6</v>
      </c>
      <c r="E27" s="7">
        <f>IFERROR(INDEX('كشف الحساب'!$E$4:$E$203,MATCH(23,'كشف الحساب'!$L$4:$L$203,0)),"")</f>
        <v>2.5</v>
      </c>
      <c r="F27" s="8" t="str">
        <f>IFERROR(INDEX('كشف الحساب'!$F$4:$F$203,MATCH(23,'كشف الحساب'!$L$4:$L$203,0)),"")</f>
        <v>نقداً</v>
      </c>
      <c r="G27" s="9"/>
      <c r="H27" t="str">
        <f>IF(AND(OR('طباعة المحفظة'!$C$2="الكل",MONTH(A27)=IFERROR(MATCH('طباعة المحفظة'!$C$2,{"يناير","فبراير","مارس","أبريل","مايو","يونيو","يوليو","أغسطس","سبتمبر","أكتوبر","نوفمبر","ديسمبر"},0),0)),OR('طباعة المحفظة'!$F$2="الكل",YEAR(A27)=IFERROR(VALUE('طباعة المحفظة'!$F$2),0)),A27&lt;&gt;""),IFERROR(MAX($H$5:H26),0)+1,"")</f>
        <v/>
      </c>
    </row>
    <row r="28" spans="1:8" ht="18" customHeight="1">
      <c r="A28" s="10">
        <f>IFERROR(INDEX('كشف الحساب'!$A$4:$A$203,MATCH(24,'كشف الحساب'!$L$4:$L$203,0)),"")</f>
        <v>46164</v>
      </c>
      <c r="B28" s="11" t="str">
        <f>IFERROR(INDEX('كشف الحساب'!$B$4:$B$203,MATCH(24,'كشف الحساب'!$L$4:$L$203,0)),"")</f>
        <v>Inv-35</v>
      </c>
      <c r="C28" s="12" t="str">
        <f>IFERROR(INDEX('كشف الحساب'!$C$4:$C$203,MATCH(24,'كشف الحساب'!$L$4:$L$203,0)),"")</f>
        <v>دارسينا حمراء عدد 6 الحبه 2,500</v>
      </c>
      <c r="D28" s="13" t="s">
        <v>6</v>
      </c>
      <c r="E28" s="14">
        <f>IFERROR(INDEX('كشف الحساب'!$E$4:$E$203,MATCH(24,'كشف الحساب'!$L$4:$L$203,0)),"")</f>
        <v>15</v>
      </c>
      <c r="F28" s="15" t="str">
        <f>IFERROR(INDEX('كشف الحساب'!$F$4:$F$203,MATCH(24,'كشف الحساب'!$L$4:$L$203,0)),"")</f>
        <v>نقداً</v>
      </c>
      <c r="G28" s="16"/>
      <c r="H28" t="str">
        <f>IF(AND(OR('طباعة المحفظة'!$C$2="الكل",MONTH(A28)=IFERROR(MATCH('طباعة المحفظة'!$C$2,{"يناير","فبراير","مارس","أبريل","مايو","يونيو","يوليو","أغسطس","سبتمبر","أكتوبر","نوفمبر","ديسمبر"},0),0)),OR('طباعة المحفظة'!$F$2="الكل",YEAR(A28)=IFERROR(VALUE('طباعة المحفظة'!$F$2),0)),A28&lt;&gt;""),IFERROR(MAX($H$5:H27),0)+1,"")</f>
        <v/>
      </c>
    </row>
    <row r="29" spans="1:8" ht="18" customHeight="1">
      <c r="A29" s="3">
        <f>IFERROR(INDEX('كشف الحساب'!$A$4:$A$203,MATCH(25,'كشف الحساب'!$L$4:$L$203,0)),"")</f>
        <v>46164</v>
      </c>
      <c r="B29" s="4" t="str">
        <f>IFERROR(INDEX('كشف الحساب'!$B$4:$B$203,MATCH(25,'كشف الحساب'!$L$4:$L$203,0)),"")</f>
        <v>Inv-36</v>
      </c>
      <c r="C29" s="5" t="str">
        <f>IFERROR(INDEX('كشف الحساب'!$C$4:$C$203,MATCH(25,'كشف الحساب'!$L$4:$L$203,0)),"")</f>
        <v>ربل عدد4 الحبه 1.500</v>
      </c>
      <c r="D29" s="6" t="s">
        <v>6</v>
      </c>
      <c r="E29" s="7">
        <f>IFERROR(INDEX('كشف الحساب'!$E$4:$E$203,MATCH(25,'كشف الحساب'!$L$4:$L$203,0)),"")</f>
        <v>6</v>
      </c>
      <c r="F29" s="8" t="str">
        <f>IFERROR(INDEX('كشف الحساب'!$F$4:$F$203,MATCH(25,'كشف الحساب'!$L$4:$L$203,0)),"")</f>
        <v>نقداً</v>
      </c>
      <c r="G29" s="9"/>
      <c r="H29" t="str">
        <f>IF(AND(OR('طباعة المحفظة'!$C$2="الكل",MONTH(A29)=IFERROR(MATCH('طباعة المحفظة'!$C$2,{"يناير","فبراير","مارس","أبريل","مايو","يونيو","يوليو","أغسطس","سبتمبر","أكتوبر","نوفمبر","ديسمبر"},0),0)),OR('طباعة المحفظة'!$F$2="الكل",YEAR(A29)=IFERROR(VALUE('طباعة المحفظة'!$F$2),0)),A29&lt;&gt;""),IFERROR(MAX($H$5:H28),0)+1,"")</f>
        <v/>
      </c>
    </row>
    <row r="30" spans="1:8" ht="18" customHeight="1">
      <c r="A30" s="10">
        <f>IFERROR(INDEX('كشف الحساب'!$A$4:$A$203,MATCH(26,'كشف الحساب'!$L$4:$L$203,0)),"")</f>
        <v>46167</v>
      </c>
      <c r="B30" s="11" t="str">
        <f>IFERROR(INDEX('كشف الحساب'!$B$4:$B$203,MATCH(26,'كشف الحساب'!$L$4:$L$203,0)),"")</f>
        <v>Inv-37</v>
      </c>
      <c r="C30" s="12" t="str">
        <f>IFERROR(INDEX('كشف الحساب'!$C$4:$C$203,MATCH(26,'كشف الحساب'!$L$4:$L$203,0)),"")</f>
        <v>عطره عدد 10 الحبه 0.750</v>
      </c>
      <c r="D30" s="13" t="s">
        <v>6</v>
      </c>
      <c r="E30" s="14">
        <f>IFERROR(INDEX('كشف الحساب'!$E$4:$E$203,MATCH(26,'كشف الحساب'!$L$4:$L$203,0)),"")</f>
        <v>7.5</v>
      </c>
      <c r="F30" s="15" t="str">
        <f>IFERROR(INDEX('كشف الحساب'!$F$4:$F$203,MATCH(26,'كشف الحساب'!$L$4:$L$203,0)),"")</f>
        <v>نقداً</v>
      </c>
      <c r="G30" s="16"/>
      <c r="H30" t="str">
        <f>IF(AND(OR('طباعة المحفظة'!$C$2="الكل",MONTH(A30)=IFERROR(MATCH('طباعة المحفظة'!$C$2,{"يناير","فبراير","مارس","أبريل","مايو","يونيو","يوليو","أغسطس","سبتمبر","أكتوبر","نوفمبر","ديسمبر"},0),0)),OR('طباعة المحفظة'!$F$2="الكل",YEAR(A30)=IFERROR(VALUE('طباعة المحفظة'!$F$2),0)),A30&lt;&gt;""),IFERROR(MAX($H$5:H29),0)+1,"")</f>
        <v/>
      </c>
    </row>
    <row r="31" spans="1:8" ht="18" customHeight="1">
      <c r="A31" s="3">
        <f>IFERROR(INDEX('كشف الحساب'!$A$4:$A$203,MATCH(27,'كشف الحساب'!$L$4:$L$203,0)),"")</f>
        <v>46167</v>
      </c>
      <c r="B31" s="4" t="str">
        <f>IFERROR(INDEX('كشف الحساب'!$B$4:$B$203,MATCH(27,'كشف الحساب'!$L$4:$L$203,0)),"")</f>
        <v>Inv-38</v>
      </c>
      <c r="C31" s="5" t="str">
        <f>IFERROR(INDEX('كشف الحساب'!$C$4:$C$203,MATCH(27,'كشف الحساب'!$L$4:$L$203,0)),"")</f>
        <v>ودليه عدد 2 الحبه 1</v>
      </c>
      <c r="D31" s="6" t="s">
        <v>6</v>
      </c>
      <c r="E31" s="7">
        <f>IFERROR(INDEX('كشف الحساب'!$E$4:$E$203,MATCH(27,'كشف الحساب'!$L$4:$L$203,0)),"")</f>
        <v>2</v>
      </c>
      <c r="F31" s="8" t="str">
        <f>IFERROR(INDEX('كشف الحساب'!$F$4:$F$203,MATCH(27,'كشف الحساب'!$L$4:$L$203,0)),"")</f>
        <v>نقداً</v>
      </c>
      <c r="G31" s="9"/>
      <c r="H31" t="str">
        <f>IF(AND(OR('طباعة المحفظة'!$C$2="الكل",MONTH(A31)=IFERROR(MATCH('طباعة المحفظة'!$C$2,{"يناير","فبراير","مارس","أبريل","مايو","يونيو","يوليو","أغسطس","سبتمبر","أكتوبر","نوفمبر","ديسمبر"},0),0)),OR('طباعة المحفظة'!$F$2="الكل",YEAR(A31)=IFERROR(VALUE('طباعة المحفظة'!$F$2),0)),A31&lt;&gt;""),IFERROR(MAX($H$5:H30),0)+1,"")</f>
        <v/>
      </c>
    </row>
    <row r="32" spans="1:8" ht="18" customHeight="1">
      <c r="A32" s="10">
        <f>IFERROR(INDEX('كشف الحساب'!$A$4:$A$203,MATCH(28,'كشف الحساب'!$L$4:$L$203,0)),"")</f>
        <v>46167</v>
      </c>
      <c r="B32" s="11" t="str">
        <f>IFERROR(INDEX('كشف الحساب'!$B$4:$B$203,MATCH(28,'كشف الحساب'!$L$4:$L$203,0)),"")</f>
        <v>Inv-39</v>
      </c>
      <c r="C32" s="12" t="str">
        <f>IFERROR(INDEX('كشف الحساب'!$C$4:$C$203,MATCH(28,'كشف الحساب'!$L$4:$L$203,0)),"")</f>
        <v>داراسينا حمراء عدد4 الحبه 1</v>
      </c>
      <c r="D32" s="13" t="s">
        <v>6</v>
      </c>
      <c r="E32" s="14">
        <f>IFERROR(INDEX('كشف الحساب'!$E$4:$E$203,MATCH(28,'كشف الحساب'!$L$4:$L$203,0)),"")</f>
        <v>4</v>
      </c>
      <c r="F32" s="15" t="str">
        <f>IFERROR(INDEX('كشف الحساب'!$F$4:$F$203,MATCH(28,'كشف الحساب'!$L$4:$L$203,0)),"")</f>
        <v>نقداً</v>
      </c>
      <c r="G32" s="16"/>
      <c r="H32" t="str">
        <f>IF(AND(OR('طباعة المحفظة'!$C$2="الكل",MONTH(A32)=IFERROR(MATCH('طباعة المحفظة'!$C$2,{"يناير","فبراير","مارس","أبريل","مايو","يونيو","يوليو","أغسطس","سبتمبر","أكتوبر","نوفمبر","ديسمبر"},0),0)),OR('طباعة المحفظة'!$F$2="الكل",YEAR(A32)=IFERROR(VALUE('طباعة المحفظة'!$F$2),0)),A32&lt;&gt;""),IFERROR(MAX($H$5:H31),0)+1,"")</f>
        <v/>
      </c>
    </row>
    <row r="33" spans="1:8" ht="18" customHeight="1">
      <c r="A33" s="3">
        <f>IFERROR(INDEX('كشف الحساب'!$A$4:$A$203,MATCH(29,'كشف الحساب'!$L$4:$L$203,0)),"")</f>
        <v>46167</v>
      </c>
      <c r="B33" s="4">
        <f>IFERROR(INDEX('كشف الحساب'!$B$4:$B$203,MATCH(29,'كشف الحساب'!$L$4:$L$203,0)),"")</f>
        <v>0</v>
      </c>
      <c r="C33" s="5" t="str">
        <f>IFERROR(INDEX('كشف الحساب'!$C$4:$C$203,MATCH(29,'كشف الحساب'!$L$4:$L$203,0)),"")</f>
        <v>يزل ماكينه كهرباء</v>
      </c>
      <c r="D33" s="6" t="s">
        <v>6</v>
      </c>
      <c r="E33" s="7">
        <f>IFERROR(INDEX('كشف الحساب'!$E$4:$E$203,MATCH(29,'كشف الحساب'!$L$4:$L$203,0)),"")</f>
        <v>0</v>
      </c>
      <c r="F33" s="8" t="str">
        <f>IFERROR(INDEX('كشف الحساب'!$F$4:$F$203,MATCH(29,'كشف الحساب'!$L$4:$L$203,0)),"")</f>
        <v>أحد الشركاء</v>
      </c>
      <c r="G33" s="9"/>
      <c r="H33" t="str">
        <f>IF(AND(OR('طباعة المحفظة'!$C$2="الكل",MONTH(A33)=IFERROR(MATCH('طباعة المحفظة'!$C$2,{"يناير","فبراير","مارس","أبريل","مايو","يونيو","يوليو","أغسطس","سبتمبر","أكتوبر","نوفمبر","ديسمبر"},0),0)),OR('طباعة المحفظة'!$F$2="الكل",YEAR(A33)=IFERROR(VALUE('طباعة المحفظة'!$F$2),0)),A33&lt;&gt;""),IFERROR(MAX($H$5:H32),0)+1,"")</f>
        <v/>
      </c>
    </row>
    <row r="34" spans="1:8" ht="18" customHeight="1">
      <c r="A34" s="10">
        <f>IFERROR(INDEX('كشف الحساب'!$A$4:$A$203,MATCH(30,'كشف الحساب'!$L$4:$L$203,0)),"")</f>
        <v>46146</v>
      </c>
      <c r="B34" s="11" t="str">
        <f>IFERROR(INDEX('كشف الحساب'!$B$4:$B$203,MATCH(30,'كشف الحساب'!$L$4:$L$203,0)),"")</f>
        <v>Inv-41</v>
      </c>
      <c r="C34" s="12" t="str">
        <f>IFERROR(INDEX('كشف الحساب'!$C$4:$C$203,MATCH(30,'كشف الحساب'!$L$4:$L$203,0)),"")</f>
        <v>other</v>
      </c>
      <c r="D34" s="13" t="s">
        <v>6</v>
      </c>
      <c r="E34" s="14">
        <f>IFERROR(INDEX('كشف الحساب'!$E$4:$E$203,MATCH(30,'كشف الحساب'!$L$4:$L$203,0)),"")</f>
        <v>9</v>
      </c>
      <c r="F34" s="15" t="str">
        <f>IFERROR(INDEX('كشف الحساب'!$F$4:$F$203,MATCH(30,'كشف الحساب'!$L$4:$L$203,0)),"")</f>
        <v>نقداً</v>
      </c>
      <c r="G34" s="16"/>
      <c r="H34" t="str">
        <f>IF(AND(OR('طباعة المحفظة'!$C$2="الكل",IFERROR(MONTH(A34),0)=IFERROR(MATCH('طباعة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المحفظة'!$F$2="الكل",IFERROR(YEAR(A34),0)=IFERROR(VALUE('طباعة المحفظة'!$F$2),0)),A34&lt;&gt;""),IFERROR(MAX($H$5:H33),0)+1,"")</f>
        <v/>
      </c>
    </row>
    <row r="35" spans="1:8" ht="18" customHeight="1">
      <c r="A35" s="3">
        <f>IFERROR(INDEX('كشف الحساب'!$A$4:$A$203,MATCH(31,'كشف الحساب'!$L$4:$L$203,0)),"")</f>
        <v>46146</v>
      </c>
      <c r="B35" s="4" t="str">
        <f>IFERROR(INDEX('كشف الحساب'!$B$4:$B$203,MATCH(31,'كشف الحساب'!$L$4:$L$203,0)),"")</f>
        <v>Inv-42</v>
      </c>
      <c r="C35" s="5" t="str">
        <f>IFERROR(INDEX('كشف الحساب'!$C$4:$C$203,MATCH(31,'كشف الحساب'!$L$4:$L$203,0)),"")</f>
        <v>other</v>
      </c>
      <c r="D35" s="6" t="s">
        <v>6</v>
      </c>
      <c r="E35" s="7">
        <f>IFERROR(INDEX('كشف الحساب'!$E$4:$E$203,MATCH(31,'كشف الحساب'!$L$4:$L$203,0)),"")</f>
        <v>2</v>
      </c>
      <c r="F35" s="8" t="str">
        <f>IFERROR(INDEX('كشف الحساب'!$F$4:$F$203,MATCH(31,'كشف الحساب'!$L$4:$L$203,0)),"")</f>
        <v>نقداً</v>
      </c>
      <c r="G35" s="9"/>
      <c r="H35" t="str">
        <f>IF(AND(OR('طباعة المحفظة'!$C$2="الكل",IFERROR(MONTH(A35),0)=IFERROR(MATCH('طباعة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المحفظة'!$F$2="الكل",IFERROR(YEAR(A35),0)=IFERROR(VALUE('طباعة المحفظة'!$F$2),0)),A35&lt;&gt;""),IFERROR(MAX($H$5:H34),0)+1,"")</f>
        <v/>
      </c>
    </row>
    <row r="36" spans="1:8" ht="18" customHeight="1">
      <c r="A36" s="10">
        <f>IFERROR(INDEX('كشف الحساب'!$A$4:$A$203,MATCH(32,'كشف الحساب'!$L$4:$L$203,0)),"")</f>
        <v>46147</v>
      </c>
      <c r="B36" s="11" t="str">
        <f>IFERROR(INDEX('كشف الحساب'!$B$4:$B$203,MATCH(32,'كشف الحساب'!$L$4:$L$203,0)),"")</f>
        <v>Inv-43</v>
      </c>
      <c r="C36" s="12" t="str">
        <f>IFERROR(INDEX('كشف الحساب'!$C$4:$C$203,MATCH(32,'كشف الحساب'!$L$4:$L$203,0)),"")</f>
        <v>other</v>
      </c>
      <c r="D36" s="13" t="s">
        <v>6</v>
      </c>
      <c r="E36" s="14">
        <f>IFERROR(INDEX('كشف الحساب'!$E$4:$E$203,MATCH(32,'كشف الحساب'!$L$4:$L$203,0)),"")</f>
        <v>3.75</v>
      </c>
      <c r="F36" s="15" t="str">
        <f>IFERROR(INDEX('كشف الحساب'!$F$4:$F$203,MATCH(32,'كشف الحساب'!$L$4:$L$203,0)),"")</f>
        <v>نقداً</v>
      </c>
      <c r="G36" s="16"/>
      <c r="H36" t="str">
        <f>IF(AND(OR('طباعة المحفظة'!$C$2="الكل",IFERROR(MONTH(A36),0)=IFERROR(MATCH('طباعة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المحفظة'!$F$2="الكل",IFERROR(YEAR(A36),0)=IFERROR(VALUE('طباعة المحفظة'!$F$2),0)),A36&lt;&gt;""),IFERROR(MAX($H$5:H35),0)+1,"")</f>
        <v/>
      </c>
    </row>
    <row r="37" spans="1:8" ht="18" customHeight="1">
      <c r="A37" s="3">
        <f>IFERROR(INDEX('كشف الحساب'!$A$4:$A$203,MATCH(33,'كشف الحساب'!$L$4:$L$203,0)),"")</f>
        <v>46149</v>
      </c>
      <c r="B37" s="4" t="str">
        <f>IFERROR(INDEX('كشف الحساب'!$B$4:$B$203,MATCH(33,'كشف الحساب'!$L$4:$L$203,0)),"")</f>
        <v>Inv-44a</v>
      </c>
      <c r="C37" s="5" t="str">
        <f>IFERROR(INDEX('كشف الحساب'!$C$4:$C$203,MATCH(33,'كشف الحساب'!$L$4:$L$203,0)),"")</f>
        <v>other</v>
      </c>
      <c r="D37" s="6" t="s">
        <v>6</v>
      </c>
      <c r="E37" s="7">
        <f>IFERROR(INDEX('كشف الحساب'!$E$4:$E$203,MATCH(33,'كشف الحساب'!$L$4:$L$203,0)),"")</f>
        <v>5</v>
      </c>
      <c r="F37" s="8" t="str">
        <f>IFERROR(INDEX('كشف الحساب'!$F$4:$F$203,MATCH(33,'كشف الحساب'!$L$4:$L$203,0)),"")</f>
        <v>نقداً</v>
      </c>
      <c r="G37" s="9"/>
      <c r="H37" t="str">
        <f>IF(AND(OR('طباعة المحفظة'!$C$2="الكل",IFERROR(MONTH(A37),0)=IFERROR(MATCH('طباعة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المحفظة'!$F$2="الكل",IFERROR(YEAR(A37),0)=IFERROR(VALUE('طباعة المحفظة'!$F$2),0)),A37&lt;&gt;""),IFERROR(MAX($H$5:H36),0)+1,"")</f>
        <v/>
      </c>
    </row>
    <row r="38" spans="1:8" ht="18" customHeight="1">
      <c r="A38" s="10">
        <f>IFERROR(INDEX('كشف الحساب'!$A$4:$A$203,MATCH(34,'كشف الحساب'!$L$4:$L$203,0)),"")</f>
        <v>46155</v>
      </c>
      <c r="B38" s="11" t="str">
        <f>IFERROR(INDEX('كشف الحساب'!$B$4:$B$203,MATCH(34,'كشف الحساب'!$L$4:$L$203,0)),"")</f>
        <v>Inv-44</v>
      </c>
      <c r="C38" s="12" t="str">
        <f>IFERROR(INDEX('كشف الحساب'!$C$4:$C$203,MATCH(34,'كشف الحساب'!$L$4:$L$203,0)),"")</f>
        <v>other</v>
      </c>
      <c r="D38" s="13" t="s">
        <v>6</v>
      </c>
      <c r="E38" s="14">
        <f>IFERROR(INDEX('كشف الحساب'!$E$4:$E$203,MATCH(34,'كشف الحساب'!$L$4:$L$203,0)),"")</f>
        <v>15</v>
      </c>
      <c r="F38" s="15" t="str">
        <f>IFERROR(INDEX('كشف الحساب'!$F$4:$F$203,MATCH(34,'كشف الحساب'!$L$4:$L$203,0)),"")</f>
        <v>نقداً</v>
      </c>
      <c r="G38" s="16"/>
      <c r="H38" t="str">
        <f>IF(AND(OR('طباعة المحفظة'!$C$2="الكل",IFERROR(MONTH(A38),0)=IFERROR(MATCH('طباعة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المحفظة'!$F$2="الكل",IFERROR(YEAR(A38),0)=IFERROR(VALUE('طباعة المحفظة'!$F$2),0)),A38&lt;&gt;""),IFERROR(MAX($H$5:H37),0)+1,"")</f>
        <v/>
      </c>
    </row>
    <row r="39" spans="1:8" ht="18" customHeight="1">
      <c r="A39" s="3">
        <f>IFERROR(INDEX('كشف الحساب'!$A$4:$A$203,MATCH(35,'كشف الحساب'!$L$4:$L$203,0)),"")</f>
        <v>46155</v>
      </c>
      <c r="B39" s="4" t="str">
        <f>IFERROR(INDEX('كشف الحساب'!$B$4:$B$203,MATCH(35,'كشف الحساب'!$L$4:$L$203,0)),"")</f>
        <v>Inv-45</v>
      </c>
      <c r="C39" s="5" t="str">
        <f>IFERROR(INDEX('كشف الحساب'!$C$4:$C$203,MATCH(35,'كشف الحساب'!$L$4:$L$203,0)),"")</f>
        <v>other</v>
      </c>
      <c r="D39" s="6" t="s">
        <v>6</v>
      </c>
      <c r="E39" s="7">
        <f>IFERROR(INDEX('كشف الحساب'!$E$4:$E$203,MATCH(35,'كشف الحساب'!$L$4:$L$203,0)),"")</f>
        <v>4</v>
      </c>
      <c r="F39" s="8" t="str">
        <f>IFERROR(INDEX('كشف الحساب'!$F$4:$F$203,MATCH(35,'كشف الحساب'!$L$4:$L$203,0)),"")</f>
        <v>نقداً</v>
      </c>
      <c r="G39" s="9"/>
      <c r="H39" t="str">
        <f>IF(AND(OR('طباعة المحفظة'!$C$2="الكل",IFERROR(MONTH(A39),0)=IFERROR(MATCH('طباعة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المحفظة'!$F$2="الكل",IFERROR(YEAR(A39),0)=IFERROR(VALUE('طباعة المحفظة'!$F$2),0)),A39&lt;&gt;""),IFERROR(MAX($H$5:H38),0)+1,"")</f>
        <v/>
      </c>
    </row>
    <row r="40" spans="1:8" ht="18" customHeight="1">
      <c r="A40" s="10">
        <f>IFERROR(INDEX('كشف الحساب'!$A$4:$A$203,MATCH(36,'كشف الحساب'!$L$4:$L$203,0)),"")</f>
        <v>46155</v>
      </c>
      <c r="B40" s="11" t="str">
        <f>IFERROR(INDEX('كشف الحساب'!$B$4:$B$203,MATCH(36,'كشف الحساب'!$L$4:$L$203,0)),"")</f>
        <v>Inv-46</v>
      </c>
      <c r="C40" s="12" t="str">
        <f>IFERROR(INDEX('كشف الحساب'!$C$4:$C$203,MATCH(36,'كشف الحساب'!$L$4:$L$203,0)),"")</f>
        <v>other</v>
      </c>
      <c r="D40" s="13" t="s">
        <v>6</v>
      </c>
      <c r="E40" s="14">
        <f>IFERROR(INDEX('كشف الحساب'!$E$4:$E$203,MATCH(36,'كشف الحساب'!$L$4:$L$203,0)),"")</f>
        <v>3.6</v>
      </c>
      <c r="F40" s="15" t="str">
        <f>IFERROR(INDEX('كشف الحساب'!$F$4:$F$203,MATCH(36,'كشف الحساب'!$L$4:$L$203,0)),"")</f>
        <v>نقداً</v>
      </c>
      <c r="G40" s="16"/>
      <c r="H40" t="str">
        <f>IF(AND(OR('طباعة المحفظة'!$C$2="الكل",IFERROR(MONTH(A40),0)=IFERROR(MATCH('طباعة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المحفظة'!$F$2="الكل",IFERROR(YEAR(A40),0)=IFERROR(VALUE('طباعة المحفظة'!$F$2),0)),A40&lt;&gt;""),IFERROR(MAX($H$5:H39),0)+1,"")</f>
        <v/>
      </c>
    </row>
    <row r="41" spans="1:8" ht="18" customHeight="1">
      <c r="A41" s="3">
        <f>IFERROR(INDEX('كشف الحساب'!$A$4:$A$203,MATCH(37,'كشف الحساب'!$L$4:$L$203,0)),"")</f>
        <v>46158</v>
      </c>
      <c r="B41" s="4" t="str">
        <f>IFERROR(INDEX('كشف الحساب'!$B$4:$B$203,MATCH(37,'كشف الحساب'!$L$4:$L$203,0)),"")</f>
        <v>Inv-47</v>
      </c>
      <c r="C41" s="5" t="str">
        <f>IFERROR(INDEX('كشف الحساب'!$C$4:$C$203,MATCH(37,'كشف الحساب'!$L$4:$L$203,0)),"")</f>
        <v>other</v>
      </c>
      <c r="D41" s="6" t="s">
        <v>6</v>
      </c>
      <c r="E41" s="7">
        <f>IFERROR(INDEX('كشف الحساب'!$E$4:$E$203,MATCH(37,'كشف الحساب'!$L$4:$L$203,0)),"")</f>
        <v>3</v>
      </c>
      <c r="F41" s="8" t="str">
        <f>IFERROR(INDEX('كشف الحساب'!$F$4:$F$203,MATCH(37,'كشف الحساب'!$L$4:$L$203,0)),"")</f>
        <v>نقداً</v>
      </c>
      <c r="G41" s="9"/>
      <c r="H41" t="str">
        <f>IF(AND(OR('طباعة المحفظة'!$C$2="الكل",IFERROR(MONTH(A41),0)=IFERROR(MATCH('طباعة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المحفظة'!$F$2="الكل",IFERROR(YEAR(A41),0)=IFERROR(VALUE('طباعة المحفظة'!$F$2),0)),A41&lt;&gt;""),IFERROR(MAX($H$5:H40),0)+1,"")</f>
        <v/>
      </c>
    </row>
    <row r="42" spans="1:8" ht="18" customHeight="1">
      <c r="A42" s="10">
        <f>IFERROR(INDEX('كشف الحساب'!$A$4:$A$203,MATCH(38,'كشف الحساب'!$L$4:$L$203,0)),"")</f>
        <v>46155</v>
      </c>
      <c r="B42" s="11">
        <f>IFERROR(INDEX('كشف الحساب'!$B$4:$B$203,MATCH(38,'كشف الحساب'!$L$4:$L$203,0)),"")</f>
        <v>0</v>
      </c>
      <c r="C42" s="12" t="str">
        <f>IFERROR(INDEX('كشف الحساب'!$C$4:$C$203,MATCH(38,'كشف الحساب'!$L$4:$L$203,0)),"")</f>
        <v>جبس لتغطيه المحميه</v>
      </c>
      <c r="D42" s="13" t="s">
        <v>6</v>
      </c>
      <c r="E42" s="14">
        <f>IFERROR(INDEX('كشف الحساب'!$E$4:$E$203,MATCH(38,'كشف الحساب'!$L$4:$L$203,0)),"")</f>
        <v>0</v>
      </c>
      <c r="F42" s="15" t="str">
        <f>IFERROR(INDEX('كشف الحساب'!$F$4:$F$203,MATCH(38,'كشف الحساب'!$L$4:$L$203,0)),"")</f>
        <v>نقداً</v>
      </c>
      <c r="G42" s="16"/>
      <c r="H42" t="str">
        <f>IF(AND(OR('طباعة المحفظة'!$C$2="الكل",IFERROR(MONTH(A42),0)=IFERROR(MATCH('طباعة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المحفظة'!$F$2="الكل",IFERROR(YEAR(A42),0)=IFERROR(VALUE('طباعة المحفظة'!$F$2),0)),A42&lt;&gt;""),IFERROR(MAX($H$5:H41),0)+1,"")</f>
        <v/>
      </c>
    </row>
    <row r="43" spans="1:8" ht="18" customHeight="1">
      <c r="A43" s="3">
        <f>IFERROR(INDEX('كشف الحساب'!$A$4:$A$203,MATCH(39,'كشف الحساب'!$L$4:$L$203,0)),"")</f>
        <v>46175</v>
      </c>
      <c r="B43" s="4" t="str">
        <f>IFERROR(INDEX('كشف الحساب'!$B$4:$B$203,MATCH(39,'كشف الحساب'!$L$4:$L$203,0)),"")</f>
        <v>Inv-54</v>
      </c>
      <c r="C43" s="5" t="str">
        <f>IFERROR(INDEX('كشف الحساب'!$C$4:$C$203,MATCH(39,'كشف الحساب'!$L$4:$L$203,0)),"")</f>
        <v>دارسينا خضراء عدد 1 الحبه 2</v>
      </c>
      <c r="D43" s="6" t="s">
        <v>6</v>
      </c>
      <c r="E43" s="7">
        <f>IFERROR(INDEX('كشف الحساب'!$E$4:$E$203,MATCH(39,'كشف الحساب'!$L$4:$L$203,0)),"")</f>
        <v>2</v>
      </c>
      <c r="F43" s="8" t="str">
        <f>IFERROR(INDEX('كشف الحساب'!$F$4:$F$203,MATCH(39,'كشف الحساب'!$L$4:$L$203,0)),"")</f>
        <v>نقداً</v>
      </c>
      <c r="G43" s="9"/>
      <c r="H43">
        <f>IF(AND(OR('طباعة المحفظة'!$C$2="الكل",IFERROR(MONTH(A43),0)=IFERROR(MATCH('طباعة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المحفظة'!$F$2="الكل",IFERROR(YEAR(A43),0)=IFERROR(VALUE('طباعة المحفظة'!$F$2),0)),A43&lt;&gt;""),IFERROR(MAX($H$5:H42),0)+1,"")</f>
        <v>1</v>
      </c>
    </row>
    <row r="44" spans="1:8" ht="18" customHeight="1">
      <c r="A44" s="10">
        <f>IFERROR(INDEX('كشف الحساب'!$A$4:$A$203,MATCH(40,'كشف الحساب'!$L$4:$L$203,0)),"")</f>
        <v>46175</v>
      </c>
      <c r="B44" s="11" t="str">
        <f>IFERROR(INDEX('كشف الحساب'!$B$4:$B$203,MATCH(40,'كشف الحساب'!$L$4:$L$203,0)),"")</f>
        <v>Inv-55</v>
      </c>
      <c r="C44" s="12" t="str">
        <f>IFERROR(INDEX('كشف الحساب'!$C$4:$C$203,MATCH(40,'كشف الحساب'!$L$4:$L$203,0)),"")</f>
        <v>افوبيا عدد 2 الحبه .750</v>
      </c>
      <c r="D44" s="13" t="s">
        <v>6</v>
      </c>
      <c r="E44" s="14">
        <f>IFERROR(INDEX('كشف الحساب'!$E$4:$E$203,MATCH(40,'كشف الحساب'!$L$4:$L$203,0)),"")</f>
        <v>1.5</v>
      </c>
      <c r="F44" s="15" t="str">
        <f>IFERROR(INDEX('كشف الحساب'!$F$4:$F$203,MATCH(40,'كشف الحساب'!$L$4:$L$203,0)),"")</f>
        <v>نقداً</v>
      </c>
      <c r="G44" s="16"/>
      <c r="H44">
        <f>IF(AND(OR('طباعة المحفظة'!$C$2="الكل",IFERROR(MONTH(A44),0)=IFERROR(MATCH('طباعة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المحفظة'!$F$2="الكل",IFERROR(YEAR(A44),0)=IFERROR(VALUE('طباعة المحفظة'!$F$2),0)),A44&lt;&gt;""),IFERROR(MAX($H$5:H43),0)+1,"")</f>
        <v>2</v>
      </c>
    </row>
    <row r="45" spans="1:8" ht="18" customHeight="1">
      <c r="A45" s="3">
        <f>IFERROR(INDEX('كشف الحساب'!$A$4:$A$203,MATCH(41,'كشف الحساب'!$L$4:$L$203,0)),"")</f>
        <v>46175</v>
      </c>
      <c r="B45" s="4" t="str">
        <f>IFERROR(INDEX('كشف الحساب'!$B$4:$B$203,MATCH(41,'كشف الحساب'!$L$4:$L$203,0)),"")</f>
        <v>Inv-56</v>
      </c>
      <c r="C45" s="5" t="str">
        <f>IFERROR(INDEX('كشف الحساب'!$C$4:$C$203,MATCH(41,'كشف الحساب'!$L$4:$L$203,0)),"")</f>
        <v>دارسينا سوداء عدد 3 الحبه 1</v>
      </c>
      <c r="D45" s="6" t="s">
        <v>6</v>
      </c>
      <c r="E45" s="7">
        <f>IFERROR(INDEX('كشف الحساب'!$E$4:$E$203,MATCH(41,'كشف الحساب'!$L$4:$L$203,0)),"")</f>
        <v>3</v>
      </c>
      <c r="F45" s="8" t="str">
        <f>IFERROR(INDEX('كشف الحساب'!$F$4:$F$203,MATCH(41,'كشف الحساب'!$L$4:$L$203,0)),"")</f>
        <v>نقداً</v>
      </c>
      <c r="G45" s="9"/>
      <c r="H45">
        <f>IF(AND(OR('طباعة المحفظة'!$C$2="الكل",IFERROR(MONTH(A45),0)=IFERROR(MATCH('طباعة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المحفظة'!$F$2="الكل",IFERROR(YEAR(A45),0)=IFERROR(VALUE('طباعة المحفظة'!$F$2),0)),A45&lt;&gt;""),IFERROR(MAX($H$5:H44),0)+1,"")</f>
        <v>3</v>
      </c>
    </row>
    <row r="46" spans="1:8" ht="18" customHeight="1">
      <c r="A46" s="10">
        <f>IFERROR(INDEX('كشف الحساب'!$A$4:$A$203,MATCH(42,'كشف الحساب'!$L$4:$L$203,0)),"")</f>
        <v>46177</v>
      </c>
      <c r="B46" s="11" t="str">
        <f>IFERROR(INDEX('كشف الحساب'!$B$4:$B$203,MATCH(42,'كشف الحساب'!$L$4:$L$203,0)),"")</f>
        <v>inv-57</v>
      </c>
      <c r="C46" s="12" t="str">
        <f>IFERROR(INDEX('كشف الحساب'!$C$4:$C$203,MATCH(42,'كشف الحساب'!$L$4:$L$203,0)),"")</f>
        <v>فوزير عدد1 قيمه 1</v>
      </c>
      <c r="D46" s="13" t="s">
        <v>6</v>
      </c>
      <c r="E46" s="14">
        <f>IFERROR(INDEX('كشف الحساب'!$E$4:$E$203,MATCH(42,'كشف الحساب'!$L$4:$L$203,0)),"")</f>
        <v>1</v>
      </c>
      <c r="F46" s="15" t="str">
        <f>IFERROR(INDEX('كشف الحساب'!$F$4:$F$203,MATCH(42,'كشف الحساب'!$L$4:$L$203,0)),"")</f>
        <v>نقداً</v>
      </c>
      <c r="G46" s="16"/>
      <c r="H46">
        <f>IF(AND(OR('طباعة المحفظة'!$C$2="الكل",IFERROR(MONTH(A46),0)=IFERROR(MATCH('طباعة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المحفظة'!$F$2="الكل",IFERROR(YEAR(A46),0)=IFERROR(VALUE('طباعة المحفظة'!$F$2),0)),A46&lt;&gt;""),IFERROR(MAX($H$5:H45),0)+1,"")</f>
        <v>4</v>
      </c>
    </row>
    <row r="47" spans="1:8" ht="18" customHeight="1">
      <c r="A47" s="3">
        <f>IFERROR(INDEX('كشف الحساب'!$A$4:$A$203,MATCH(43,'كشف الحساب'!$L$4:$L$203,0)),"")</f>
        <v>46177</v>
      </c>
      <c r="B47" s="4">
        <f>IFERROR(INDEX('كشف الحساب'!$B$4:$B$203,MATCH(43,'كشف الحساب'!$L$4:$L$203,0)),"")</f>
        <v>0</v>
      </c>
      <c r="C47" s="5" t="str">
        <f>IFERROR(INDEX('كشف الحساب'!$C$4:$C$203,MATCH(43,'كشف الحساب'!$L$4:$L$203,0)),"")</f>
        <v>سماد</v>
      </c>
      <c r="D47" s="6" t="s">
        <v>6</v>
      </c>
      <c r="E47" s="7">
        <f>IFERROR(INDEX('كشف الحساب'!$E$4:$E$203,MATCH(43,'كشف الحساب'!$L$4:$L$203,0)),"")</f>
        <v>0</v>
      </c>
      <c r="F47" s="8" t="str">
        <f>IFERROR(INDEX('كشف الحساب'!$F$4:$F$203,MATCH(43,'كشف الحساب'!$L$4:$L$203,0)),"")</f>
        <v>نقداً</v>
      </c>
      <c r="G47" s="9"/>
      <c r="H47">
        <f>IF(AND(OR('طباعة المحفظة'!$C$2="الكل",IFERROR(MONTH(A47),0)=IFERROR(MATCH('طباعة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المحفظة'!$F$2="الكل",IFERROR(YEAR(A47),0)=IFERROR(VALUE('طباعة المحفظة'!$F$2),0)),A47&lt;&gt;""),IFERROR(MAX($H$5:H46),0)+1,"")</f>
        <v>5</v>
      </c>
    </row>
    <row r="48" spans="1:8" ht="18" customHeight="1">
      <c r="A48" s="10">
        <f>IFERROR(INDEX('كشف الحساب'!$A$4:$A$203,MATCH(44,'كشف الحساب'!$L$4:$L$203,0)),"")</f>
        <v>46179</v>
      </c>
      <c r="B48" s="11" t="str">
        <f>IFERROR(INDEX('كشف الحساب'!$B$4:$B$203,MATCH(44,'كشف الحساب'!$L$4:$L$203,0)),"")</f>
        <v>Inv-59</v>
      </c>
      <c r="C48" s="12" t="str">
        <f>IFERROR(INDEX('كشف الحساب'!$C$4:$C$203,MATCH(44,'كشف الحساب'!$L$4:$L$203,0)),"")</f>
        <v>ودليه عدد 1 بقيمه 1</v>
      </c>
      <c r="D48" s="13" t="s">
        <v>6</v>
      </c>
      <c r="E48" s="14">
        <f>IFERROR(INDEX('كشف الحساب'!$E$4:$E$203,MATCH(44,'كشف الحساب'!$L$4:$L$203,0)),"")</f>
        <v>1</v>
      </c>
      <c r="F48" s="15" t="str">
        <f>IFERROR(INDEX('كشف الحساب'!$F$4:$F$203,MATCH(44,'كشف الحساب'!$L$4:$L$203,0)),"")</f>
        <v>نقداً</v>
      </c>
      <c r="G48" s="16"/>
      <c r="H48">
        <f>IF(AND(OR('طباعة المحفظة'!$C$2="الكل",IFERROR(MONTH(A48),0)=IFERROR(MATCH('طباعة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المحفظة'!$F$2="الكل",IFERROR(YEAR(A48),0)=IFERROR(VALUE('طباعة المحفظة'!$F$2),0)),A48&lt;&gt;""),IFERROR(MAX($H$5:H47),0)+1,"")</f>
        <v>6</v>
      </c>
    </row>
    <row r="49" spans="1:8" ht="18" customHeight="1">
      <c r="A49" s="3">
        <f>IFERROR(INDEX('كشف الحساب'!$A$4:$A$203,MATCH(45,'كشف الحساب'!$L$4:$L$203,0)),"")</f>
        <v>46179</v>
      </c>
      <c r="B49" s="4" t="str">
        <f>IFERROR(INDEX('كشف الحساب'!$B$4:$B$203,MATCH(45,'كشف الحساب'!$L$4:$L$203,0)),"")</f>
        <v>Inv-60</v>
      </c>
      <c r="C49" s="5" t="str">
        <f>IFERROR(INDEX('كشف الحساب'!$C$4:$C$203,MATCH(45,'كشف الحساب'!$L$4:$L$203,0)),"")</f>
        <v>دارسينا حمراء عدد 1 بقيمه 3</v>
      </c>
      <c r="D49" s="6" t="s">
        <v>6</v>
      </c>
      <c r="E49" s="7">
        <f>IFERROR(INDEX('كشف الحساب'!$E$4:$E$203,MATCH(45,'كشف الحساب'!$L$4:$L$203,0)),"")</f>
        <v>3</v>
      </c>
      <c r="F49" s="8" t="str">
        <f>IFERROR(INDEX('كشف الحساب'!$F$4:$F$203,MATCH(45,'كشف الحساب'!$L$4:$L$203,0)),"")</f>
        <v>نقداً</v>
      </c>
      <c r="G49" s="9"/>
      <c r="H49">
        <f>IF(AND(OR('طباعة المحفظة'!$C$2="الكل",IFERROR(MONTH(A49),0)=IFERROR(MATCH('طباعة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المحفظة'!$F$2="الكل",IFERROR(YEAR(A49),0)=IFERROR(VALUE('طباعة المحفظة'!$F$2),0)),A49&lt;&gt;""),IFERROR(MAX($H$5:H48),0)+1,"")</f>
        <v>7</v>
      </c>
    </row>
    <row r="50" spans="1:8" ht="18" customHeight="1">
      <c r="A50" s="10">
        <f>IFERROR(INDEX('كشف الحساب'!$A$4:$A$203,MATCH(46,'كشف الحساب'!$L$4:$L$203,0)),"")</f>
        <v>46181</v>
      </c>
      <c r="B50" s="11" t="str">
        <f>IFERROR(INDEX('كشف الحساب'!$B$4:$B$203,MATCH(46,'كشف الحساب'!$L$4:$L$203,0)),"")</f>
        <v>Inv-61</v>
      </c>
      <c r="C50" s="12" t="str">
        <f>IFERROR(INDEX('كشف الحساب'!$C$4:$C$203,MATCH(46,'كشف الحساب'!$L$4:$L$203,0)),"")</f>
        <v>فل عدد 20 بقيمه 0.750</v>
      </c>
      <c r="D50" s="13" t="s">
        <v>6</v>
      </c>
      <c r="E50" s="14">
        <f>IFERROR(INDEX('كشف الحساب'!$E$4:$E$203,MATCH(46,'كشف الحساب'!$L$4:$L$203,0)),"")</f>
        <v>15</v>
      </c>
      <c r="F50" s="15" t="str">
        <f>IFERROR(INDEX('كشف الحساب'!$F$4:$F$203,MATCH(46,'كشف الحساب'!$L$4:$L$203,0)),"")</f>
        <v>نقداً</v>
      </c>
      <c r="G50" s="16"/>
      <c r="H50">
        <f>IF(AND(OR('طباعة المحفظة'!$C$2="الكل",IFERROR(MONTH(A50),0)=IFERROR(MATCH('طباعة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المحفظة'!$F$2="الكل",IFERROR(YEAR(A50),0)=IFERROR(VALUE('طباعة المحفظة'!$F$2),0)),A50&lt;&gt;""),IFERROR(MAX($H$5:H49),0)+1,"")</f>
        <v>8</v>
      </c>
    </row>
    <row r="51" spans="1:8" ht="18" customHeight="1">
      <c r="A51" s="3">
        <f>IFERROR(INDEX('كشف الحساب'!$A$4:$A$203,MATCH(47,'كشف الحساب'!$L$4:$L$203,0)),"")</f>
        <v>46181</v>
      </c>
      <c r="B51" s="4">
        <f>IFERROR(INDEX('كشف الحساب'!$B$4:$B$203,MATCH(47,'كشف الحساب'!$L$4:$L$203,0)),"")</f>
        <v>0</v>
      </c>
      <c r="C51" s="5" t="str">
        <f>IFERROR(INDEX('كشف الحساب'!$C$4:$C$203,MATCH(47,'كشف الحساب'!$L$4:$L$203,0)),"")</f>
        <v>اسمنت اسود للمحميه الصغيره الجديده</v>
      </c>
      <c r="D51" s="6" t="s">
        <v>6</v>
      </c>
      <c r="E51" s="7">
        <f>IFERROR(INDEX('كشف الحساب'!$E$4:$E$203,MATCH(47,'كشف الحساب'!$L$4:$L$203,0)),"")</f>
        <v>0</v>
      </c>
      <c r="F51" s="8" t="str">
        <f>IFERROR(INDEX('كشف الحساب'!$F$4:$F$203,MATCH(47,'كشف الحساب'!$L$4:$L$203,0)),"")</f>
        <v>نقداً</v>
      </c>
      <c r="G51" s="9"/>
      <c r="H51">
        <f>IF(AND(OR('طباعة المحفظة'!$C$2="الكل",IFERROR(MONTH(A51),0)=IFERROR(MATCH('طباعة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المحفظة'!$F$2="الكل",IFERROR(YEAR(A51),0)=IFERROR(VALUE('طباعة المحفظة'!$F$2),0)),A51&lt;&gt;""),IFERROR(MAX($H$5:H50),0)+1,"")</f>
        <v>9</v>
      </c>
    </row>
    <row r="52" spans="1:8" ht="18" customHeight="1">
      <c r="A52" s="10">
        <f>IFERROR(INDEX('كشف الحساب'!$A$4:$A$203,MATCH(48,'كشف الحساب'!$L$4:$L$203,0)),"")</f>
        <v>46184</v>
      </c>
      <c r="B52" s="11">
        <f>IFERROR(INDEX('كشف الحساب'!$B$4:$B$203,MATCH(48,'كشف الحساب'!$L$4:$L$203,0)),"")</f>
        <v>0</v>
      </c>
      <c r="C52" s="12" t="str">
        <f>IFERROR(INDEX('كشف الحساب'!$C$4:$C$203,MATCH(48,'كشف الحساب'!$L$4:$L$203,0)),"")</f>
        <v>براغي</v>
      </c>
      <c r="D52" s="13" t="s">
        <v>6</v>
      </c>
      <c r="E52" s="14">
        <f>IFERROR(INDEX('كشف الحساب'!$E$4:$E$203,MATCH(48,'كشف الحساب'!$L$4:$L$203,0)),"")</f>
        <v>0</v>
      </c>
      <c r="F52" s="15" t="str">
        <f>IFERROR(INDEX('كشف الحساب'!$F$4:$F$203,MATCH(48,'كشف الحساب'!$L$4:$L$203,0)),"")</f>
        <v>نقداً</v>
      </c>
      <c r="G52" s="16"/>
      <c r="H52">
        <f>IF(AND(OR('طباعة المحفظة'!$C$2="الكل",IFERROR(MONTH(A52),0)=IFERROR(MATCH('طباعة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المحفظة'!$F$2="الكل",IFERROR(YEAR(A52),0)=IFERROR(VALUE('طباعة المحفظة'!$F$2),0)),A52&lt;&gt;""),IFERROR(MAX($H$5:H51),0)+1,"")</f>
        <v>10</v>
      </c>
    </row>
    <row r="53" spans="1:8" ht="18" customHeight="1">
      <c r="A53" s="3">
        <f>IFERROR(INDEX('كشف الحساب'!$A$4:$A$203,MATCH(49,'كشف الحساب'!$L$4:$L$203,0)),"")</f>
        <v>46185</v>
      </c>
      <c r="B53" s="4">
        <f>IFERROR(INDEX('كشف الحساب'!$B$4:$B$203,MATCH(49,'كشف الحساب'!$L$4:$L$203,0)),"")</f>
        <v>0</v>
      </c>
      <c r="C53" s="5" t="str">
        <f>IFERROR(INDEX('كشف الحساب'!$C$4:$C$203,MATCH(49,'كشف الحساب'!$L$4:$L$203,0)),"")</f>
        <v>رول لحيم</v>
      </c>
      <c r="D53" s="6" t="s">
        <v>6</v>
      </c>
      <c r="E53" s="7">
        <f>IFERROR(INDEX('كشف الحساب'!$E$4:$E$203,MATCH(49,'كشف الحساب'!$L$4:$L$203,0)),"")</f>
        <v>0</v>
      </c>
      <c r="F53" s="8" t="str">
        <f>IFERROR(INDEX('كشف الحساب'!$F$4:$F$203,MATCH(49,'كشف الحساب'!$L$4:$L$203,0)),"")</f>
        <v>نقداً</v>
      </c>
      <c r="G53" s="9"/>
      <c r="H53">
        <f>IF(AND(OR('طباعة المحفظة'!$C$2="الكل",IFERROR(MONTH(A53),0)=IFERROR(MATCH('طباعة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المحفظة'!$F$2="الكل",IFERROR(YEAR(A53),0)=IFERROR(VALUE('طباعة المحفظة'!$F$2),0)),A53&lt;&gt;""),IFERROR(MAX($H$5:H52),0)+1,"")</f>
        <v>11</v>
      </c>
    </row>
    <row r="54" spans="1:8" ht="18" customHeight="1">
      <c r="A54" s="10">
        <f>IFERROR(INDEX('كشف الحساب'!$A$4:$A$203,MATCH(50,'كشف الحساب'!$L$4:$L$203,0)),"")</f>
        <v>46186</v>
      </c>
      <c r="B54" s="11" t="str">
        <f>IFERROR(INDEX('كشف الحساب'!$B$4:$B$203,MATCH(50,'كشف الحساب'!$L$4:$L$203,0)),"")</f>
        <v>Inv-65</v>
      </c>
      <c r="C54" s="12" t="str">
        <f>IFERROR(INDEX('كشف الحساب'!$C$4:$C$203,MATCH(50,'كشف الحساب'!$L$4:$L$203,0)),"")</f>
        <v>ودوليه عدد 5 الحبه 1</v>
      </c>
      <c r="D54" s="13" t="s">
        <v>6</v>
      </c>
      <c r="E54" s="14">
        <f>IFERROR(INDEX('كشف الحساب'!$E$4:$E$203,MATCH(50,'كشف الحساب'!$L$4:$L$203,0)),"")</f>
        <v>5</v>
      </c>
      <c r="F54" s="15" t="str">
        <f>IFERROR(INDEX('كشف الحساب'!$F$4:$F$203,MATCH(50,'كشف الحساب'!$L$4:$L$203,0)),"")</f>
        <v>نقداً</v>
      </c>
      <c r="G54" s="16"/>
      <c r="H54">
        <f>IF(AND(OR('طباعة المحفظة'!$C$2="الكل",IFERROR(MONTH(A54),0)=IFERROR(MATCH('طباعة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المحفظة'!$F$2="الكل",IFERROR(YEAR(A54),0)=IFERROR(VALUE('طباعة المحفظة'!$F$2),0)),A54&lt;&gt;""),IFERROR(MAX($H$5:H53),0)+1,"")</f>
        <v>12</v>
      </c>
    </row>
    <row r="55" spans="1:8" ht="18" customHeight="1">
      <c r="A55" s="3">
        <f>IFERROR(INDEX('كشف الحساب'!$A$4:$A$203,MATCH(51,'كشف الحساب'!$L$4:$L$203,0)),"")</f>
        <v>46187</v>
      </c>
      <c r="B55" s="4">
        <f>IFERROR(INDEX('كشف الحساب'!$B$4:$B$203,MATCH(51,'كشف الحساب'!$L$4:$L$203,0)),"")</f>
        <v>0</v>
      </c>
      <c r="C55" s="5" t="str">
        <f>IFERROR(INDEX('كشف الحساب'!$C$4:$C$203,MATCH(51,'كشف الحساب'!$L$4:$L$203,0)),"")</f>
        <v>عصايا عدد 2000 احواض معاقات عدد 250</v>
      </c>
      <c r="D55" s="6" t="s">
        <v>6</v>
      </c>
      <c r="E55" s="7">
        <f>IFERROR(INDEX('كشف الحساب'!$E$4:$E$203,MATCH(51,'كشف الحساب'!$L$4:$L$203,0)),"")</f>
        <v>0</v>
      </c>
      <c r="F55" s="8" t="str">
        <f>IFERROR(INDEX('كشف الحساب'!$F$4:$F$203,MATCH(51,'كشف الحساب'!$L$4:$L$203,0)),"")</f>
        <v>نقداً</v>
      </c>
      <c r="G55" s="9"/>
      <c r="H55">
        <f>IF(AND(OR('طباعة المحفظة'!$C$2="الكل",IFERROR(MONTH(A55),0)=IFERROR(MATCH('طباعة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المحفظة'!$F$2="الكل",IFERROR(YEAR(A55),0)=IFERROR(VALUE('طباعة المحفظة'!$F$2),0)),A55&lt;&gt;""),IFERROR(MAX($H$5:H54),0)+1,"")</f>
        <v>13</v>
      </c>
    </row>
    <row r="56" spans="1:8" ht="18" customHeight="1">
      <c r="A56" s="10">
        <f>IFERROR(INDEX('كشف الحساب'!$A$4:$A$203,MATCH(52,'كشف الحساب'!$L$4:$L$203,0)),"")</f>
        <v>46189</v>
      </c>
      <c r="B56" s="11" t="str">
        <f>IFERROR(INDEX('كشف الحساب'!$B$4:$B$203,MATCH(52,'كشف الحساب'!$L$4:$L$203,0)),"")</f>
        <v>Inv-67</v>
      </c>
      <c r="C56" s="12" t="str">
        <f>IFERROR(INDEX('كشف الحساب'!$C$4:$C$203,MATCH(52,'كشف الحساب'!$L$4:$L$203,0)),"")</f>
        <v>فيكس عدد7 الحبه 1</v>
      </c>
      <c r="D56" s="13" t="s">
        <v>6</v>
      </c>
      <c r="E56" s="14">
        <f>IFERROR(INDEX('كشف الحساب'!$E$4:$E$203,MATCH(52,'كشف الحساب'!$L$4:$L$203,0)),"")</f>
        <v>7</v>
      </c>
      <c r="F56" s="15" t="str">
        <f>IFERROR(INDEX('كشف الحساب'!$F$4:$F$203,MATCH(52,'كشف الحساب'!$L$4:$L$203,0)),"")</f>
        <v>أون لاين</v>
      </c>
      <c r="G56" s="16"/>
      <c r="H56">
        <f>IF(AND(OR('طباعة المحفظة'!$C$2="الكل",IFERROR(MONTH(A56),0)=IFERROR(MATCH('طباعة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المحفظة'!$F$2="الكل",IFERROR(YEAR(A56),0)=IFERROR(VALUE('طباعة المحفظة'!$F$2),0)),A56&lt;&gt;""),IFERROR(MAX($H$5:H55),0)+1,"")</f>
        <v>14</v>
      </c>
    </row>
    <row r="57" spans="1:8" ht="18" customHeight="1">
      <c r="A57" s="3">
        <f>IFERROR(INDEX('كشف الحساب'!$A$4:$A$203,MATCH(53,'كشف الحساب'!$L$4:$L$203,0)),"")</f>
        <v>46189</v>
      </c>
      <c r="B57" s="4" t="str">
        <f>IFERROR(INDEX('كشف الحساب'!$B$4:$B$203,MATCH(53,'كشف الحساب'!$L$4:$L$203,0)),"")</f>
        <v>Inv-68</v>
      </c>
      <c r="C57" s="5" t="str">
        <f>IFERROR(INDEX('كشف الحساب'!$C$4:$C$203,MATCH(53,'كشف الحساب'!$L$4:$L$203,0)),"")</f>
        <v>ربل عدد 5 الحبه 2</v>
      </c>
      <c r="D57" s="6" t="s">
        <v>6</v>
      </c>
      <c r="E57" s="7">
        <f>IFERROR(INDEX('كشف الحساب'!$E$4:$E$203,MATCH(53,'كشف الحساب'!$L$4:$L$203,0)),"")</f>
        <v>10</v>
      </c>
      <c r="F57" s="8" t="str">
        <f>IFERROR(INDEX('كشف الحساب'!$F$4:$F$203,MATCH(53,'كشف الحساب'!$L$4:$L$203,0)),"")</f>
        <v>أون لاين</v>
      </c>
      <c r="G57" s="9"/>
      <c r="H57">
        <f>IF(AND(OR('طباعة المحفظة'!$C$2="الكل",IFERROR(MONTH(A57),0)=IFERROR(MATCH('طباعة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المحفظة'!$F$2="الكل",IFERROR(YEAR(A57),0)=IFERROR(VALUE('طباعة المحفظة'!$F$2),0)),A57&lt;&gt;""),IFERROR(MAX($H$5:H56),0)+1,"")</f>
        <v>15</v>
      </c>
    </row>
    <row r="58" spans="1:8" ht="18" customHeight="1">
      <c r="A58" s="10">
        <f>IFERROR(INDEX('كشف الحساب'!$A$4:$A$203,MATCH(54,'كشف الحساب'!$L$4:$L$203,0)),"")</f>
        <v>46189</v>
      </c>
      <c r="B58" s="11" t="str">
        <f>IFERROR(INDEX('كشف الحساب'!$B$4:$B$203,MATCH(54,'كشف الحساب'!$L$4:$L$203,0)),"")</f>
        <v>Inv-69</v>
      </c>
      <c r="C58" s="12" t="str">
        <f>IFERROR(INDEX('كشف الحساب'!$C$4:$C$203,MATCH(54,'كشف الحساب'!$L$4:$L$203,0)),"")</f>
        <v>فل عدد 24 الحبه .750</v>
      </c>
      <c r="D58" s="13" t="s">
        <v>6</v>
      </c>
      <c r="E58" s="14">
        <f>IFERROR(INDEX('كشف الحساب'!$E$4:$E$203,MATCH(54,'كشف الحساب'!$L$4:$L$203,0)),"")</f>
        <v>18</v>
      </c>
      <c r="F58" s="15" t="str">
        <f>IFERROR(INDEX('كشف الحساب'!$F$4:$F$203,MATCH(54,'كشف الحساب'!$L$4:$L$203,0)),"")</f>
        <v>أون لاين</v>
      </c>
      <c r="G58" s="16"/>
      <c r="H58">
        <f>IF(AND(OR('طباعة المحفظة'!$C$2="الكل",IFERROR(MONTH(A58),0)=IFERROR(MATCH('طباعة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المحفظة'!$F$2="الكل",IFERROR(YEAR(A58),0)=IFERROR(VALUE('طباعة المحفظة'!$F$2),0)),A58&lt;&gt;""),IFERROR(MAX($H$5:H57),0)+1,"")</f>
        <v>16</v>
      </c>
    </row>
    <row r="59" spans="1:8" ht="18" customHeight="1">
      <c r="A59" s="3">
        <f>IFERROR(INDEX('كشف الحساب'!$A$4:$A$203,MATCH(55,'كشف الحساب'!$L$4:$L$203,0)),"")</f>
        <v>46188</v>
      </c>
      <c r="B59" s="4">
        <f>IFERROR(INDEX('كشف الحساب'!$B$4:$B$203,MATCH(55,'كشف الحساب'!$L$4:$L$203,0)),"")</f>
        <v>0</v>
      </c>
      <c r="C59" s="5" t="str">
        <f>IFERROR(INDEX('كشف الحساب'!$C$4:$C$203,MATCH(55,'كشف الحساب'!$L$4:$L$203,0)),"")</f>
        <v>أقامه عبدول</v>
      </c>
      <c r="D59" s="6" t="s">
        <v>6</v>
      </c>
      <c r="E59" s="7">
        <f>IFERROR(INDEX('كشف الحساب'!$E$4:$E$203,MATCH(55,'كشف الحساب'!$L$4:$L$203,0)),"")</f>
        <v>0</v>
      </c>
      <c r="F59" s="8" t="str">
        <f>IFERROR(INDEX('كشف الحساب'!$F$4:$F$203,MATCH(55,'كشف الحساب'!$L$4:$L$203,0)),"")</f>
        <v>نقداً</v>
      </c>
      <c r="G59" s="9"/>
      <c r="H59">
        <f>IF(AND(OR('طباعة المحفظة'!$C$2="الكل",IFERROR(MONTH(A59),0)=IFERROR(MATCH('طباعة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المحفظة'!$F$2="الكل",IFERROR(YEAR(A59),0)=IFERROR(VALUE('طباعة المحفظة'!$F$2),0)),A59&lt;&gt;""),IFERROR(MAX($H$5:H58),0)+1,"")</f>
        <v>17</v>
      </c>
    </row>
    <row r="60" spans="1:8" ht="18" customHeight="1">
      <c r="A60" s="10" t="str">
        <f>IFERROR(INDEX('كشف الحساب'!$A$4:$A$203,MATCH(56,'كشف الحساب'!$L$4:$L$203,0)),"")</f>
        <v/>
      </c>
      <c r="B60" s="11" t="str">
        <f>IFERROR(INDEX('كشف الحساب'!$B$4:$B$203,MATCH(56,'كشف الحساب'!$L$4:$L$203,0)),"")</f>
        <v/>
      </c>
      <c r="C60" s="12" t="str">
        <f>IFERROR(INDEX('كشف الحساب'!$C$4:$C$203,MATCH(56,'كشف الحساب'!$L$4:$L$203,0)),"")</f>
        <v/>
      </c>
      <c r="D60" s="13" t="s">
        <v>6</v>
      </c>
      <c r="E60" s="14" t="str">
        <f>IFERROR(INDEX('كشف الحساب'!$E$4:$E$203,MATCH(56,'كشف الحساب'!$L$4:$L$203,0)),"")</f>
        <v/>
      </c>
      <c r="F60" s="15" t="str">
        <f>IFERROR(INDEX('كشف الحساب'!$F$4:$F$203,MATCH(56,'كشف الحساب'!$L$4:$L$203,0)),"")</f>
        <v/>
      </c>
      <c r="G60" s="16"/>
      <c r="H60" t="str">
        <f>IF(AND(OR('طباعة المحفظة'!$C$2="الكل",IFERROR(MONTH(A60),0)=IFERROR(MATCH('طباعة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المحفظة'!$F$2="الكل",IFERROR(YEAR(A60),0)=IFERROR(VALUE('طباعة المحفظة'!$F$2),0)),A60&lt;&gt;""),IFERROR(MAX($H$5:H59),0)+1,"")</f>
        <v/>
      </c>
    </row>
    <row r="61" spans="1:8" ht="18" customHeight="1">
      <c r="A61" s="3" t="str">
        <f>IFERROR(INDEX('كشف الحساب'!$A$4:$A$203,MATCH(57,'كشف الحساب'!$L$4:$L$203,0)),"")</f>
        <v/>
      </c>
      <c r="B61" s="4" t="str">
        <f>IFERROR(INDEX('كشف الحساب'!$B$4:$B$203,MATCH(57,'كشف الحساب'!$L$4:$L$203,0)),"")</f>
        <v/>
      </c>
      <c r="C61" s="5" t="str">
        <f>IFERROR(INDEX('كشف الحساب'!$C$4:$C$203,MATCH(57,'كشف الحساب'!$L$4:$L$203,0)),"")</f>
        <v/>
      </c>
      <c r="D61" s="6" t="s">
        <v>6</v>
      </c>
      <c r="E61" s="7" t="str">
        <f>IFERROR(INDEX('كشف الحساب'!$E$4:$E$203,MATCH(57,'كشف الحساب'!$L$4:$L$203,0)),"")</f>
        <v/>
      </c>
      <c r="F61" s="8" t="str">
        <f>IFERROR(INDEX('كشف الحساب'!$F$4:$F$203,MATCH(57,'كشف الحساب'!$L$4:$L$203,0)),"")</f>
        <v/>
      </c>
      <c r="G61" s="9"/>
      <c r="H61" t="str">
        <f>IF(AND(OR('طباعة المحفظة'!$C$2="الكل",IFERROR(MONTH(A61),0)=IFERROR(MATCH('طباعة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المحفظة'!$F$2="الكل",IFERROR(YEAR(A61),0)=IFERROR(VALUE('طباعة المحفظة'!$F$2),0)),A61&lt;&gt;""),IFERROR(MAX($H$5:H60),0)+1,"")</f>
        <v/>
      </c>
    </row>
    <row r="62" spans="1:8" ht="18" customHeight="1">
      <c r="A62" s="10" t="str">
        <f>IFERROR(INDEX('كشف الحساب'!$A$4:$A$203,MATCH(58,'كشف الحساب'!$L$4:$L$203,0)),"")</f>
        <v/>
      </c>
      <c r="B62" s="11" t="str">
        <f>IFERROR(INDEX('كشف الحساب'!$B$4:$B$203,MATCH(58,'كشف الحساب'!$L$4:$L$203,0)),"")</f>
        <v/>
      </c>
      <c r="C62" s="12" t="str">
        <f>IFERROR(INDEX('كشف الحساب'!$C$4:$C$203,MATCH(58,'كشف الحساب'!$L$4:$L$203,0)),"")</f>
        <v/>
      </c>
      <c r="D62" s="13" t="s">
        <v>6</v>
      </c>
      <c r="E62" s="14" t="str">
        <f>IFERROR(INDEX('كشف الحساب'!$E$4:$E$203,MATCH(58,'كشف الحساب'!$L$4:$L$203,0)),"")</f>
        <v/>
      </c>
      <c r="F62" s="15" t="str">
        <f>IFERROR(INDEX('كشف الحساب'!$F$4:$F$203,MATCH(58,'كشف الحساب'!$L$4:$L$203,0)),"")</f>
        <v/>
      </c>
      <c r="G62" s="16"/>
      <c r="H62" t="str">
        <f>IF(AND(OR('طباعة المحفظة'!$C$2="الكل",IFERROR(MONTH(A62),0)=IFERROR(MATCH('طباعة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المحفظة'!$F$2="الكل",IFERROR(YEAR(A62),0)=IFERROR(VALUE('طباعة المحفظة'!$F$2),0)),A62&lt;&gt;""),IFERROR(MAX($H$5:H61),0)+1,"")</f>
        <v/>
      </c>
    </row>
    <row r="63" spans="1:8" ht="18" customHeight="1">
      <c r="A63" s="3" t="str">
        <f>IFERROR(INDEX('كشف الحساب'!$A$4:$A$203,MATCH(59,'كشف الحساب'!$L$4:$L$203,0)),"")</f>
        <v/>
      </c>
      <c r="B63" s="4" t="str">
        <f>IFERROR(INDEX('كشف الحساب'!$B$4:$B$203,MATCH(59,'كشف الحساب'!$L$4:$L$203,0)),"")</f>
        <v/>
      </c>
      <c r="C63" s="5" t="str">
        <f>IFERROR(INDEX('كشف الحساب'!$C$4:$C$203,MATCH(59,'كشف الحساب'!$L$4:$L$203,0)),"")</f>
        <v/>
      </c>
      <c r="D63" s="6" t="s">
        <v>6</v>
      </c>
      <c r="E63" s="7" t="str">
        <f>IFERROR(INDEX('كشف الحساب'!$E$4:$E$203,MATCH(59,'كشف الحساب'!$L$4:$L$203,0)),"")</f>
        <v/>
      </c>
      <c r="F63" s="8" t="str">
        <f>IFERROR(INDEX('كشف الحساب'!$F$4:$F$203,MATCH(59,'كشف الحساب'!$L$4:$L$203,0)),"")</f>
        <v/>
      </c>
      <c r="G63" s="9"/>
      <c r="H63" t="str">
        <f>IF(AND(OR('طباعة المحفظة'!$C$2="الكل",IFERROR(MONTH(A63),0)=IFERROR(MATCH('طباعة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المحفظة'!$F$2="الكل",IFERROR(YEAR(A63),0)=IFERROR(VALUE('طباعة المحفظة'!$F$2),0)),A63&lt;&gt;""),IFERROR(MAX($H$5:H62),0)+1,"")</f>
        <v/>
      </c>
    </row>
    <row r="64" spans="1:8" ht="18" customHeight="1">
      <c r="A64" s="10" t="str">
        <f>IFERROR(INDEX('كشف الحساب'!$A$4:$A$203,MATCH(60,'كشف الحساب'!$L$4:$L$203,0)),"")</f>
        <v/>
      </c>
      <c r="B64" s="11" t="str">
        <f>IFERROR(INDEX('كشف الحساب'!$B$4:$B$203,MATCH(60,'كشف الحساب'!$L$4:$L$203,0)),"")</f>
        <v/>
      </c>
      <c r="C64" s="12" t="str">
        <f>IFERROR(INDEX('كشف الحساب'!$C$4:$C$203,MATCH(60,'كشف الحساب'!$L$4:$L$203,0)),"")</f>
        <v/>
      </c>
      <c r="D64" s="13" t="s">
        <v>6</v>
      </c>
      <c r="E64" s="14" t="str">
        <f>IFERROR(INDEX('كشف الحساب'!$E$4:$E$203,MATCH(60,'كشف الحساب'!$L$4:$L$203,0)),"")</f>
        <v/>
      </c>
      <c r="F64" s="15" t="str">
        <f>IFERROR(INDEX('كشف الحساب'!$F$4:$F$203,MATCH(60,'كشف الحساب'!$L$4:$L$203,0)),"")</f>
        <v/>
      </c>
      <c r="G64" s="16"/>
      <c r="H64" t="str">
        <f>IF(AND(OR('طباعة المحفظة'!$C$2="الكل",IFERROR(MONTH(A64),0)=IFERROR(MATCH('طباعة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المحفظة'!$F$2="الكل",IFERROR(YEAR(A64),0)=IFERROR(VALUE('طباعة المحفظة'!$F$2),0)),A64&lt;&gt;""),IFERROR(MAX($H$5:H63),0)+1,"")</f>
        <v/>
      </c>
    </row>
    <row r="65" spans="1:8" ht="18" customHeight="1">
      <c r="A65" s="3" t="str">
        <f>IFERROR(INDEX('كشف الحساب'!$A$4:$A$203,MATCH(61,'كشف الحساب'!$L$4:$L$203,0)),"")</f>
        <v/>
      </c>
      <c r="B65" s="4" t="str">
        <f>IFERROR(INDEX('كشف الحساب'!$B$4:$B$203,MATCH(61,'كشف الحساب'!$L$4:$L$203,0)),"")</f>
        <v/>
      </c>
      <c r="C65" s="5" t="str">
        <f>IFERROR(INDEX('كشف الحساب'!$C$4:$C$203,MATCH(61,'كشف الحساب'!$L$4:$L$203,0)),"")</f>
        <v/>
      </c>
      <c r="D65" s="6" t="s">
        <v>6</v>
      </c>
      <c r="E65" s="7" t="str">
        <f>IFERROR(INDEX('كشف الحساب'!$E$4:$E$203,MATCH(61,'كشف الحساب'!$L$4:$L$203,0)),"")</f>
        <v/>
      </c>
      <c r="F65" s="8" t="str">
        <f>IFERROR(INDEX('كشف الحساب'!$F$4:$F$203,MATCH(61,'كشف الحساب'!$L$4:$L$203,0)),"")</f>
        <v/>
      </c>
      <c r="G65" s="9"/>
      <c r="H65" t="str">
        <f>IF(AND(OR('طباعة المحفظة'!$C$2="الكل",IFERROR(MONTH(A65),0)=IFERROR(MATCH('طباعة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المحفظة'!$F$2="الكل",IFERROR(YEAR(A65),0)=IFERROR(VALUE('طباعة المحفظة'!$F$2),0)),A65&lt;&gt;""),IFERROR(MAX($H$5:H64),0)+1,"")</f>
        <v/>
      </c>
    </row>
    <row r="66" spans="1:8" ht="18" customHeight="1">
      <c r="A66" s="10" t="str">
        <f>IFERROR(INDEX('كشف الحساب'!$A$4:$A$203,MATCH(62,'كشف الحساب'!$L$4:$L$203,0)),"")</f>
        <v/>
      </c>
      <c r="B66" s="11" t="str">
        <f>IFERROR(INDEX('كشف الحساب'!$B$4:$B$203,MATCH(62,'كشف الحساب'!$L$4:$L$203,0)),"")</f>
        <v/>
      </c>
      <c r="C66" s="12" t="str">
        <f>IFERROR(INDEX('كشف الحساب'!$C$4:$C$203,MATCH(62,'كشف الحساب'!$L$4:$L$203,0)),"")</f>
        <v/>
      </c>
      <c r="D66" s="13" t="s">
        <v>6</v>
      </c>
      <c r="E66" s="14" t="str">
        <f>IFERROR(INDEX('كشف الحساب'!$E$4:$E$203,MATCH(62,'كشف الحساب'!$L$4:$L$203,0)),"")</f>
        <v/>
      </c>
      <c r="F66" s="15" t="str">
        <f>IFERROR(INDEX('كشف الحساب'!$F$4:$F$203,MATCH(62,'كشف الحساب'!$L$4:$L$203,0)),"")</f>
        <v/>
      </c>
      <c r="G66" s="16"/>
      <c r="H66" t="str">
        <f>IF(AND(OR('طباعة المحفظة'!$C$2="الكل",IFERROR(MONTH(A66),0)=IFERROR(MATCH('طباعة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المحفظة'!$F$2="الكل",IFERROR(YEAR(A66),0)=IFERROR(VALUE('طباعة المحفظة'!$F$2),0)),A66&lt;&gt;""),IFERROR(MAX($H$5:H65),0)+1,"")</f>
        <v/>
      </c>
    </row>
    <row r="67" spans="1:8" ht="18" customHeight="1">
      <c r="A67" s="3" t="str">
        <f>IFERROR(INDEX('كشف الحساب'!$A$4:$A$203,MATCH(63,'كشف الحساب'!$L$4:$L$203,0)),"")</f>
        <v/>
      </c>
      <c r="B67" s="4" t="str">
        <f>IFERROR(INDEX('كشف الحساب'!$B$4:$B$203,MATCH(63,'كشف الحساب'!$L$4:$L$203,0)),"")</f>
        <v/>
      </c>
      <c r="C67" s="5" t="str">
        <f>IFERROR(INDEX('كشف الحساب'!$C$4:$C$203,MATCH(63,'كشف الحساب'!$L$4:$L$203,0)),"")</f>
        <v/>
      </c>
      <c r="D67" s="6" t="s">
        <v>6</v>
      </c>
      <c r="E67" s="7" t="str">
        <f>IFERROR(INDEX('كشف الحساب'!$E$4:$E$203,MATCH(63,'كشف الحساب'!$L$4:$L$203,0)),"")</f>
        <v/>
      </c>
      <c r="F67" s="8" t="str">
        <f>IFERROR(INDEX('كشف الحساب'!$F$4:$F$203,MATCH(63,'كشف الحساب'!$L$4:$L$203,0)),"")</f>
        <v/>
      </c>
      <c r="G67" s="9"/>
      <c r="H67" t="str">
        <f>IF(AND(OR('طباعة المحفظة'!$C$2="الكل",IFERROR(MONTH(A67),0)=IFERROR(MATCH('طباعة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المحفظة'!$F$2="الكل",IFERROR(YEAR(A67),0)=IFERROR(VALUE('طباعة المحفظة'!$F$2),0)),A67&lt;&gt;""),IFERROR(MAX($H$5:H66),0)+1,"")</f>
        <v/>
      </c>
    </row>
    <row r="68" spans="1:8" ht="18" customHeight="1">
      <c r="A68" s="10" t="str">
        <f>IFERROR(INDEX('كشف الحساب'!$A$4:$A$203,MATCH(64,'كشف الحساب'!$L$4:$L$203,0)),"")</f>
        <v/>
      </c>
      <c r="B68" s="11" t="str">
        <f>IFERROR(INDEX('كشف الحساب'!$B$4:$B$203,MATCH(64,'كشف الحساب'!$L$4:$L$203,0)),"")</f>
        <v/>
      </c>
      <c r="C68" s="12" t="str">
        <f>IFERROR(INDEX('كشف الحساب'!$C$4:$C$203,MATCH(64,'كشف الحساب'!$L$4:$L$203,0)),"")</f>
        <v/>
      </c>
      <c r="D68" s="13" t="s">
        <v>6</v>
      </c>
      <c r="E68" s="14" t="str">
        <f>IFERROR(INDEX('كشف الحساب'!$E$4:$E$203,MATCH(64,'كشف الحساب'!$L$4:$L$203,0)),"")</f>
        <v/>
      </c>
      <c r="F68" s="15" t="str">
        <f>IFERROR(INDEX('كشف الحساب'!$F$4:$F$203,MATCH(64,'كشف الحساب'!$L$4:$L$203,0)),"")</f>
        <v/>
      </c>
      <c r="G68" s="16"/>
      <c r="H68" t="str">
        <f>IF(AND(OR('طباعة المحفظة'!$C$2="الكل",IFERROR(MONTH(A68),0)=IFERROR(MATCH('طباعة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المحفظة'!$F$2="الكل",IFERROR(YEAR(A68),0)=IFERROR(VALUE('طباعة المحفظة'!$F$2),0)),A68&lt;&gt;""),IFERROR(MAX($H$5:H67),0)+1,"")</f>
        <v/>
      </c>
    </row>
    <row r="69" spans="1:8" ht="18" customHeight="1">
      <c r="A69" s="3" t="str">
        <f>IFERROR(INDEX('كشف الحساب'!$A$4:$A$203,MATCH(65,'كشف الحساب'!$L$4:$L$203,0)),"")</f>
        <v/>
      </c>
      <c r="B69" s="4" t="str">
        <f>IFERROR(INDEX('كشف الحساب'!$B$4:$B$203,MATCH(65,'كشف الحساب'!$L$4:$L$203,0)),"")</f>
        <v/>
      </c>
      <c r="C69" s="5" t="str">
        <f>IFERROR(INDEX('كشف الحساب'!$C$4:$C$203,MATCH(65,'كشف الحساب'!$L$4:$L$203,0)),"")</f>
        <v/>
      </c>
      <c r="D69" s="6" t="s">
        <v>6</v>
      </c>
      <c r="E69" s="7" t="str">
        <f>IFERROR(INDEX('كشف الحساب'!$E$4:$E$203,MATCH(65,'كشف الحساب'!$L$4:$L$203,0)),"")</f>
        <v/>
      </c>
      <c r="F69" s="8" t="str">
        <f>IFERROR(INDEX('كشف الحساب'!$F$4:$F$203,MATCH(65,'كشف الحساب'!$L$4:$L$203,0)),"")</f>
        <v/>
      </c>
      <c r="G69" s="9"/>
      <c r="H69" t="str">
        <f>IF(AND(OR('طباعة المحفظة'!$C$2="الكل",IFERROR(MONTH(A69),0)=IFERROR(MATCH('طباعة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المحفظة'!$F$2="الكل",IFERROR(YEAR(A69),0)=IFERROR(VALUE('طباعة المحفظة'!$F$2),0)),A69&lt;&gt;""),IFERROR(MAX($H$5:H68),0)+1,"")</f>
        <v/>
      </c>
    </row>
    <row r="70" spans="1:8" ht="18" customHeight="1">
      <c r="A70" s="10" t="str">
        <f>IFERROR(INDEX('كشف الحساب'!$A$4:$A$203,MATCH(66,'كشف الحساب'!$L$4:$L$203,0)),"")</f>
        <v/>
      </c>
      <c r="B70" s="11" t="str">
        <f>IFERROR(INDEX('كشف الحساب'!$B$4:$B$203,MATCH(66,'كشف الحساب'!$L$4:$L$203,0)),"")</f>
        <v/>
      </c>
      <c r="C70" s="12" t="str">
        <f>IFERROR(INDEX('كشف الحساب'!$C$4:$C$203,MATCH(66,'كشف الحساب'!$L$4:$L$203,0)),"")</f>
        <v/>
      </c>
      <c r="D70" s="13" t="s">
        <v>6</v>
      </c>
      <c r="E70" s="14" t="str">
        <f>IFERROR(INDEX('كشف الحساب'!$E$4:$E$203,MATCH(66,'كشف الحساب'!$L$4:$L$203,0)),"")</f>
        <v/>
      </c>
      <c r="F70" s="15" t="str">
        <f>IFERROR(INDEX('كشف الحساب'!$F$4:$F$203,MATCH(66,'كشف الحساب'!$L$4:$L$203,0)),"")</f>
        <v/>
      </c>
      <c r="G70" s="16"/>
      <c r="H70" t="str">
        <f>IF(AND(OR('طباعة المحفظة'!$C$2="الكل",IFERROR(MONTH(A70),0)=IFERROR(MATCH('طباعة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المحفظة'!$F$2="الكل",IFERROR(YEAR(A70),0)=IFERROR(VALUE('طباعة المحفظة'!$F$2),0)),A70&lt;&gt;""),IFERROR(MAX($H$5:H69),0)+1,"")</f>
        <v/>
      </c>
    </row>
    <row r="71" spans="1:8" ht="18" customHeight="1">
      <c r="A71" s="3" t="str">
        <f>IFERROR(INDEX('كشف الحساب'!$A$4:$A$203,MATCH(67,'كشف الحساب'!$L$4:$L$203,0)),"")</f>
        <v/>
      </c>
      <c r="B71" s="4" t="str">
        <f>IFERROR(INDEX('كشف الحساب'!$B$4:$B$203,MATCH(67,'كشف الحساب'!$L$4:$L$203,0)),"")</f>
        <v/>
      </c>
      <c r="C71" s="5" t="str">
        <f>IFERROR(INDEX('كشف الحساب'!$C$4:$C$203,MATCH(67,'كشف الحساب'!$L$4:$L$203,0)),"")</f>
        <v/>
      </c>
      <c r="D71" s="6" t="s">
        <v>6</v>
      </c>
      <c r="E71" s="7" t="str">
        <f>IFERROR(INDEX('كشف الحساب'!$E$4:$E$203,MATCH(67,'كشف الحساب'!$L$4:$L$203,0)),"")</f>
        <v/>
      </c>
      <c r="F71" s="8" t="str">
        <f>IFERROR(INDEX('كشف الحساب'!$F$4:$F$203,MATCH(67,'كشف الحساب'!$L$4:$L$203,0)),"")</f>
        <v/>
      </c>
      <c r="G71" s="9"/>
      <c r="H71" t="str">
        <f>IF(AND(OR('طباعة المحفظة'!$C$2="الكل",IFERROR(MONTH(A71),0)=IFERROR(MATCH('طباعة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المحفظة'!$F$2="الكل",IFERROR(YEAR(A71),0)=IFERROR(VALUE('طباعة المحفظة'!$F$2),0)),A71&lt;&gt;""),IFERROR(MAX($H$5:H70),0)+1,"")</f>
        <v/>
      </c>
    </row>
    <row r="72" spans="1:8" ht="18" customHeight="1">
      <c r="A72" s="10" t="str">
        <f>IFERROR(INDEX('كشف الحساب'!$A$4:$A$203,MATCH(68,'كشف الحساب'!$L$4:$L$203,0)),"")</f>
        <v/>
      </c>
      <c r="B72" s="11" t="str">
        <f>IFERROR(INDEX('كشف الحساب'!$B$4:$B$203,MATCH(68,'كشف الحساب'!$L$4:$L$203,0)),"")</f>
        <v/>
      </c>
      <c r="C72" s="12" t="str">
        <f>IFERROR(INDEX('كشف الحساب'!$C$4:$C$203,MATCH(68,'كشف الحساب'!$L$4:$L$203,0)),"")</f>
        <v/>
      </c>
      <c r="D72" s="13" t="s">
        <v>6</v>
      </c>
      <c r="E72" s="14" t="str">
        <f>IFERROR(INDEX('كشف الحساب'!$E$4:$E$203,MATCH(68,'كشف الحساب'!$L$4:$L$203,0)),"")</f>
        <v/>
      </c>
      <c r="F72" s="15" t="str">
        <f>IFERROR(INDEX('كشف الحساب'!$F$4:$F$203,MATCH(68,'كشف الحساب'!$L$4:$L$203,0)),"")</f>
        <v/>
      </c>
      <c r="G72" s="16"/>
      <c r="H72" t="str">
        <f>IF(AND(OR('طباعة المحفظة'!$C$2="الكل",IFERROR(MONTH(A72),0)=IFERROR(MATCH('طباعة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المحفظة'!$F$2="الكل",IFERROR(YEAR(A72),0)=IFERROR(VALUE('طباعة المحفظة'!$F$2),0)),A72&lt;&gt;""),IFERROR(MAX($H$5:H71),0)+1,"")</f>
        <v/>
      </c>
    </row>
    <row r="73" spans="1:8" ht="18" customHeight="1">
      <c r="A73" s="3" t="str">
        <f>IFERROR(INDEX('كشف الحساب'!$A$4:$A$203,MATCH(69,'كشف الحساب'!$L$4:$L$203,0)),"")</f>
        <v/>
      </c>
      <c r="B73" s="4" t="str">
        <f>IFERROR(INDEX('كشف الحساب'!$B$4:$B$203,MATCH(69,'كشف الحساب'!$L$4:$L$203,0)),"")</f>
        <v/>
      </c>
      <c r="C73" s="5" t="str">
        <f>IFERROR(INDEX('كشف الحساب'!$C$4:$C$203,MATCH(69,'كشف الحساب'!$L$4:$L$203,0)),"")</f>
        <v/>
      </c>
      <c r="D73" s="6" t="s">
        <v>6</v>
      </c>
      <c r="E73" s="7" t="str">
        <f>IFERROR(INDEX('كشف الحساب'!$E$4:$E$203,MATCH(69,'كشف الحساب'!$L$4:$L$203,0)),"")</f>
        <v/>
      </c>
      <c r="F73" s="8" t="str">
        <f>IFERROR(INDEX('كشف الحساب'!$F$4:$F$203,MATCH(69,'كشف الحساب'!$L$4:$L$203,0)),"")</f>
        <v/>
      </c>
      <c r="G73" s="9"/>
      <c r="H73" t="str">
        <f>IF(AND(OR('طباعة المحفظة'!$C$2="الكل",IFERROR(MONTH(A73),0)=IFERROR(MATCH('طباعة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المحفظة'!$F$2="الكل",IFERROR(YEAR(A73),0)=IFERROR(VALUE('طباعة المحفظة'!$F$2),0)),A73&lt;&gt;""),IFERROR(MAX($H$5:H72),0)+1,"")</f>
        <v/>
      </c>
    </row>
    <row r="74" spans="1:8" ht="18" customHeight="1">
      <c r="A74" s="10" t="str">
        <f>IFERROR(INDEX('كشف الحساب'!$A$4:$A$203,MATCH(70,'كشف الحساب'!$L$4:$L$203,0)),"")</f>
        <v/>
      </c>
      <c r="B74" s="11" t="str">
        <f>IFERROR(INDEX('كشف الحساب'!$B$4:$B$203,MATCH(70,'كشف الحساب'!$L$4:$L$203,0)),"")</f>
        <v/>
      </c>
      <c r="C74" s="12" t="str">
        <f>IFERROR(INDEX('كشف الحساب'!$C$4:$C$203,MATCH(70,'كشف الحساب'!$L$4:$L$203,0)),"")</f>
        <v/>
      </c>
      <c r="D74" s="13" t="s">
        <v>6</v>
      </c>
      <c r="E74" s="14" t="str">
        <f>IFERROR(INDEX('كشف الحساب'!$E$4:$E$203,MATCH(70,'كشف الحساب'!$L$4:$L$203,0)),"")</f>
        <v/>
      </c>
      <c r="F74" s="15" t="str">
        <f>IFERROR(INDEX('كشف الحساب'!$F$4:$F$203,MATCH(70,'كشف الحساب'!$L$4:$L$203,0)),"")</f>
        <v/>
      </c>
      <c r="G74" s="16"/>
      <c r="H74" t="str">
        <f>IF(AND(OR('طباعة المحفظة'!$C$2="الكل",IFERROR(MONTH(A74),0)=IFERROR(MATCH('طباعة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المحفظة'!$F$2="الكل",IFERROR(YEAR(A74),0)=IFERROR(VALUE('طباعة المحفظة'!$F$2),0)),A74&lt;&gt;""),IFERROR(MAX($H$5:H73),0)+1,"")</f>
        <v/>
      </c>
    </row>
    <row r="75" spans="1:8" ht="18" customHeight="1">
      <c r="A75" s="3" t="str">
        <f>IFERROR(INDEX('كشف الحساب'!$A$4:$A$203,MATCH(71,'كشف الحساب'!$L$4:$L$203,0)),"")</f>
        <v/>
      </c>
      <c r="B75" s="4" t="str">
        <f>IFERROR(INDEX('كشف الحساب'!$B$4:$B$203,MATCH(71,'كشف الحساب'!$L$4:$L$203,0)),"")</f>
        <v/>
      </c>
      <c r="C75" s="5" t="str">
        <f>IFERROR(INDEX('كشف الحساب'!$C$4:$C$203,MATCH(71,'كشف الحساب'!$L$4:$L$203,0)),"")</f>
        <v/>
      </c>
      <c r="D75" s="6" t="s">
        <v>6</v>
      </c>
      <c r="E75" s="7" t="str">
        <f>IFERROR(INDEX('كشف الحساب'!$E$4:$E$203,MATCH(71,'كشف الحساب'!$L$4:$L$203,0)),"")</f>
        <v/>
      </c>
      <c r="F75" s="8" t="str">
        <f>IFERROR(INDEX('كشف الحساب'!$F$4:$F$203,MATCH(71,'كشف الحساب'!$L$4:$L$203,0)),"")</f>
        <v/>
      </c>
      <c r="G75" s="9"/>
      <c r="H75" t="str">
        <f>IF(AND(OR('طباعة المحفظة'!$C$2="الكل",IFERROR(MONTH(A75),0)=IFERROR(MATCH('طباعة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المحفظة'!$F$2="الكل",IFERROR(YEAR(A75),0)=IFERROR(VALUE('طباعة المحفظة'!$F$2),0)),A75&lt;&gt;""),IFERROR(MAX($H$5:H74),0)+1,"")</f>
        <v/>
      </c>
    </row>
    <row r="76" spans="1:8" ht="18" customHeight="1">
      <c r="A76" s="10" t="str">
        <f>IFERROR(INDEX('كشف الحساب'!$A$4:$A$203,MATCH(72,'كشف الحساب'!$L$4:$L$203,0)),"")</f>
        <v/>
      </c>
      <c r="B76" s="11" t="str">
        <f>IFERROR(INDEX('كشف الحساب'!$B$4:$B$203,MATCH(72,'كشف الحساب'!$L$4:$L$203,0)),"")</f>
        <v/>
      </c>
      <c r="C76" s="12" t="str">
        <f>IFERROR(INDEX('كشف الحساب'!$C$4:$C$203,MATCH(72,'كشف الحساب'!$L$4:$L$203,0)),"")</f>
        <v/>
      </c>
      <c r="D76" s="13" t="s">
        <v>6</v>
      </c>
      <c r="E76" s="14" t="str">
        <f>IFERROR(INDEX('كشف الحساب'!$E$4:$E$203,MATCH(72,'كشف الحساب'!$L$4:$L$203,0)),"")</f>
        <v/>
      </c>
      <c r="F76" s="15" t="str">
        <f>IFERROR(INDEX('كشف الحساب'!$F$4:$F$203,MATCH(72,'كشف الحساب'!$L$4:$L$203,0)),"")</f>
        <v/>
      </c>
      <c r="G76" s="16"/>
      <c r="H76" t="str">
        <f>IF(AND(OR('طباعة المحفظة'!$C$2="الكل",IFERROR(MONTH(A76),0)=IFERROR(MATCH('طباعة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المحفظة'!$F$2="الكل",IFERROR(YEAR(A76),0)=IFERROR(VALUE('طباعة المحفظة'!$F$2),0)),A76&lt;&gt;""),IFERROR(MAX($H$5:H75),0)+1,"")</f>
        <v/>
      </c>
    </row>
    <row r="77" spans="1:8" ht="18" customHeight="1">
      <c r="A77" s="3" t="str">
        <f>IFERROR(INDEX('كشف الحساب'!$A$4:$A$203,MATCH(73,'كشف الحساب'!$L$4:$L$203,0)),"")</f>
        <v/>
      </c>
      <c r="B77" s="4" t="str">
        <f>IFERROR(INDEX('كشف الحساب'!$B$4:$B$203,MATCH(73,'كشف الحساب'!$L$4:$L$203,0)),"")</f>
        <v/>
      </c>
      <c r="C77" s="5" t="str">
        <f>IFERROR(INDEX('كشف الحساب'!$C$4:$C$203,MATCH(73,'كشف الحساب'!$L$4:$L$203,0)),"")</f>
        <v/>
      </c>
      <c r="D77" s="6" t="s">
        <v>6</v>
      </c>
      <c r="E77" s="7" t="str">
        <f>IFERROR(INDEX('كشف الحساب'!$E$4:$E$203,MATCH(73,'كشف الحساب'!$L$4:$L$203,0)),"")</f>
        <v/>
      </c>
      <c r="F77" s="8" t="str">
        <f>IFERROR(INDEX('كشف الحساب'!$F$4:$F$203,MATCH(73,'كشف الحساب'!$L$4:$L$203,0)),"")</f>
        <v/>
      </c>
      <c r="G77" s="9"/>
      <c r="H77" t="str">
        <f>IF(AND(OR('طباعة المحفظة'!$C$2="الكل",IFERROR(MONTH(A77),0)=IFERROR(MATCH('طباعة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المحفظة'!$F$2="الكل",IFERROR(YEAR(A77),0)=IFERROR(VALUE('طباعة المحفظة'!$F$2),0)),A77&lt;&gt;""),IFERROR(MAX($H$5:H76),0)+1,"")</f>
        <v/>
      </c>
    </row>
    <row r="78" spans="1:8" ht="18" customHeight="1">
      <c r="A78" s="10" t="str">
        <f>IFERROR(INDEX('كشف الحساب'!$A$4:$A$203,MATCH(74,'كشف الحساب'!$L$4:$L$203,0)),"")</f>
        <v/>
      </c>
      <c r="B78" s="11" t="str">
        <f>IFERROR(INDEX('كشف الحساب'!$B$4:$B$203,MATCH(74,'كشف الحساب'!$L$4:$L$203,0)),"")</f>
        <v/>
      </c>
      <c r="C78" s="12" t="str">
        <f>IFERROR(INDEX('كشف الحساب'!$C$4:$C$203,MATCH(74,'كشف الحساب'!$L$4:$L$203,0)),"")</f>
        <v/>
      </c>
      <c r="D78" s="13" t="s">
        <v>6</v>
      </c>
      <c r="E78" s="14" t="str">
        <f>IFERROR(INDEX('كشف الحساب'!$E$4:$E$203,MATCH(74,'كشف الحساب'!$L$4:$L$203,0)),"")</f>
        <v/>
      </c>
      <c r="F78" s="15" t="str">
        <f>IFERROR(INDEX('كشف الحساب'!$F$4:$F$203,MATCH(74,'كشف الحساب'!$L$4:$L$203,0)),"")</f>
        <v/>
      </c>
      <c r="G78" s="16"/>
      <c r="H78" t="str">
        <f>IF(AND(OR('طباعة المحفظة'!$C$2="الكل",IFERROR(MONTH(A78),0)=IFERROR(MATCH('طباعة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المحفظة'!$F$2="الكل",IFERROR(YEAR(A78),0)=IFERROR(VALUE('طباعة المحفظة'!$F$2),0)),A78&lt;&gt;""),IFERROR(MAX($H$5:H77),0)+1,"")</f>
        <v/>
      </c>
    </row>
    <row r="79" spans="1:8" ht="18" customHeight="1">
      <c r="A79" s="3" t="str">
        <f>IFERROR(INDEX('كشف الحساب'!$A$4:$A$203,MATCH(75,'كشف الحساب'!$L$4:$L$203,0)),"")</f>
        <v/>
      </c>
      <c r="B79" s="4" t="str">
        <f>IFERROR(INDEX('كشف الحساب'!$B$4:$B$203,MATCH(75,'كشف الحساب'!$L$4:$L$203,0)),"")</f>
        <v/>
      </c>
      <c r="C79" s="5" t="str">
        <f>IFERROR(INDEX('كشف الحساب'!$C$4:$C$203,MATCH(75,'كشف الحساب'!$L$4:$L$203,0)),"")</f>
        <v/>
      </c>
      <c r="D79" s="6" t="s">
        <v>6</v>
      </c>
      <c r="E79" s="7" t="str">
        <f>IFERROR(INDEX('كشف الحساب'!$E$4:$E$203,MATCH(75,'كشف الحساب'!$L$4:$L$203,0)),"")</f>
        <v/>
      </c>
      <c r="F79" s="8" t="str">
        <f>IFERROR(INDEX('كشف الحساب'!$F$4:$F$203,MATCH(75,'كشف الحساب'!$L$4:$L$203,0)),"")</f>
        <v/>
      </c>
      <c r="G79" s="9"/>
      <c r="H79" t="str">
        <f>IF(AND(OR('طباعة المحفظة'!$C$2="الكل",IFERROR(MONTH(A79),0)=IFERROR(MATCH('طباعة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المحفظة'!$F$2="الكل",IFERROR(YEAR(A79),0)=IFERROR(VALUE('طباعة المحفظة'!$F$2),0)),A79&lt;&gt;""),IFERROR(MAX($H$5:H78),0)+1,"")</f>
        <v/>
      </c>
    </row>
    <row r="80" spans="1:8" ht="18" customHeight="1">
      <c r="A80" s="10" t="str">
        <f>IFERROR(INDEX('كشف الحساب'!$A$4:$A$203,MATCH(76,'كشف الحساب'!$L$4:$L$203,0)),"")</f>
        <v/>
      </c>
      <c r="B80" s="11" t="str">
        <f>IFERROR(INDEX('كشف الحساب'!$B$4:$B$203,MATCH(76,'كشف الحساب'!$L$4:$L$203,0)),"")</f>
        <v/>
      </c>
      <c r="C80" s="12" t="str">
        <f>IFERROR(INDEX('كشف الحساب'!$C$4:$C$203,MATCH(76,'كشف الحساب'!$L$4:$L$203,0)),"")</f>
        <v/>
      </c>
      <c r="D80" s="13" t="s">
        <v>6</v>
      </c>
      <c r="E80" s="14" t="str">
        <f>IFERROR(INDEX('كشف الحساب'!$E$4:$E$203,MATCH(76,'كشف الحساب'!$L$4:$L$203,0)),"")</f>
        <v/>
      </c>
      <c r="F80" s="15" t="str">
        <f>IFERROR(INDEX('كشف الحساب'!$F$4:$F$203,MATCH(76,'كشف الحساب'!$L$4:$L$203,0)),"")</f>
        <v/>
      </c>
      <c r="G80" s="16"/>
      <c r="H80" t="str">
        <f>IF(AND(OR('طباعة المحفظة'!$C$2="الكل",IFERROR(MONTH(A80),0)=IFERROR(MATCH('طباعة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المحفظة'!$F$2="الكل",IFERROR(YEAR(A80),0)=IFERROR(VALUE('طباعة المحفظة'!$F$2),0)),A80&lt;&gt;""),IFERROR(MAX($H$5:H79),0)+1,"")</f>
        <v/>
      </c>
    </row>
    <row r="81" spans="1:8" ht="18" customHeight="1">
      <c r="A81" s="3" t="str">
        <f>IFERROR(INDEX('كشف الحساب'!$A$4:$A$203,MATCH(77,'كشف الحساب'!$L$4:$L$203,0)),"")</f>
        <v/>
      </c>
      <c r="B81" s="4" t="str">
        <f>IFERROR(INDEX('كشف الحساب'!$B$4:$B$203,MATCH(77,'كشف الحساب'!$L$4:$L$203,0)),"")</f>
        <v/>
      </c>
      <c r="C81" s="5" t="str">
        <f>IFERROR(INDEX('كشف الحساب'!$C$4:$C$203,MATCH(77,'كشف الحساب'!$L$4:$L$203,0)),"")</f>
        <v/>
      </c>
      <c r="D81" s="6" t="s">
        <v>6</v>
      </c>
      <c r="E81" s="7" t="str">
        <f>IFERROR(INDEX('كشف الحساب'!$E$4:$E$203,MATCH(77,'كشف الحساب'!$L$4:$L$203,0)),"")</f>
        <v/>
      </c>
      <c r="F81" s="8" t="str">
        <f>IFERROR(INDEX('كشف الحساب'!$F$4:$F$203,MATCH(77,'كشف الحساب'!$L$4:$L$203,0)),"")</f>
        <v/>
      </c>
      <c r="G81" s="9"/>
      <c r="H81" t="str">
        <f>IF(AND(OR('طباعة المحفظة'!$C$2="الكل",IFERROR(MONTH(A81),0)=IFERROR(MATCH('طباعة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المحفظة'!$F$2="الكل",IFERROR(YEAR(A81),0)=IFERROR(VALUE('طباعة المحفظة'!$F$2),0)),A81&lt;&gt;""),IFERROR(MAX($H$5:H80),0)+1,"")</f>
        <v/>
      </c>
    </row>
    <row r="82" spans="1:8" ht="18" customHeight="1">
      <c r="A82" s="10" t="str">
        <f>IFERROR(INDEX('كشف الحساب'!$A$4:$A$203,MATCH(78,'كشف الحساب'!$L$4:$L$203,0)),"")</f>
        <v/>
      </c>
      <c r="B82" s="11" t="str">
        <f>IFERROR(INDEX('كشف الحساب'!$B$4:$B$203,MATCH(78,'كشف الحساب'!$L$4:$L$203,0)),"")</f>
        <v/>
      </c>
      <c r="C82" s="12" t="str">
        <f>IFERROR(INDEX('كشف الحساب'!$C$4:$C$203,MATCH(78,'كشف الحساب'!$L$4:$L$203,0)),"")</f>
        <v/>
      </c>
      <c r="D82" s="13" t="s">
        <v>6</v>
      </c>
      <c r="E82" s="14" t="str">
        <f>IFERROR(INDEX('كشف الحساب'!$E$4:$E$203,MATCH(78,'كشف الحساب'!$L$4:$L$203,0)),"")</f>
        <v/>
      </c>
      <c r="F82" s="15" t="str">
        <f>IFERROR(INDEX('كشف الحساب'!$F$4:$F$203,MATCH(78,'كشف الحساب'!$L$4:$L$203,0)),"")</f>
        <v/>
      </c>
      <c r="G82" s="16"/>
      <c r="H82" t="str">
        <f>IF(AND(OR('طباعة المحفظة'!$C$2="الكل",IFERROR(MONTH(A82),0)=IFERROR(MATCH('طباعة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المحفظة'!$F$2="الكل",IFERROR(YEAR(A82),0)=IFERROR(VALUE('طباعة المحفظة'!$F$2),0)),A82&lt;&gt;""),IFERROR(MAX($H$5:H81),0)+1,"")</f>
        <v/>
      </c>
    </row>
    <row r="83" spans="1:8" ht="18" customHeight="1">
      <c r="A83" s="3" t="str">
        <f>IFERROR(INDEX('كشف الحساب'!$A$4:$A$203,MATCH(79,'كشف الحساب'!$L$4:$L$203,0)),"")</f>
        <v/>
      </c>
      <c r="B83" s="4" t="str">
        <f>IFERROR(INDEX('كشف الحساب'!$B$4:$B$203,MATCH(79,'كشف الحساب'!$L$4:$L$203,0)),"")</f>
        <v/>
      </c>
      <c r="C83" s="5" t="str">
        <f>IFERROR(INDEX('كشف الحساب'!$C$4:$C$203,MATCH(79,'كشف الحساب'!$L$4:$L$203,0)),"")</f>
        <v/>
      </c>
      <c r="D83" s="6" t="s">
        <v>6</v>
      </c>
      <c r="E83" s="7" t="str">
        <f>IFERROR(INDEX('كشف الحساب'!$E$4:$E$203,MATCH(79,'كشف الحساب'!$L$4:$L$203,0)),"")</f>
        <v/>
      </c>
      <c r="F83" s="8" t="str">
        <f>IFERROR(INDEX('كشف الحساب'!$F$4:$F$203,MATCH(79,'كشف الحساب'!$L$4:$L$203,0)),"")</f>
        <v/>
      </c>
      <c r="G83" s="9"/>
      <c r="H83" t="str">
        <f>IF(AND(OR('طباعة المحفظة'!$C$2="الكل",IFERROR(MONTH(A83),0)=IFERROR(MATCH('طباعة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المحفظة'!$F$2="الكل",IFERROR(YEAR(A83),0)=IFERROR(VALUE('طباعة المحفظة'!$F$2),0)),A83&lt;&gt;""),IFERROR(MAX($H$5:H82),0)+1,"")</f>
        <v/>
      </c>
    </row>
    <row r="84" spans="1:8" ht="18" customHeight="1">
      <c r="A84" s="10" t="str">
        <f>IFERROR(INDEX('كشف الحساب'!$A$4:$A$203,MATCH(80,'كشف الحساب'!$L$4:$L$203,0)),"")</f>
        <v/>
      </c>
      <c r="B84" s="11" t="str">
        <f>IFERROR(INDEX('كشف الحساب'!$B$4:$B$203,MATCH(80,'كشف الحساب'!$L$4:$L$203,0)),"")</f>
        <v/>
      </c>
      <c r="C84" s="12" t="str">
        <f>IFERROR(INDEX('كشف الحساب'!$C$4:$C$203,MATCH(80,'كشف الحساب'!$L$4:$L$203,0)),"")</f>
        <v/>
      </c>
      <c r="D84" s="13" t="s">
        <v>6</v>
      </c>
      <c r="E84" s="14" t="str">
        <f>IFERROR(INDEX('كشف الحساب'!$E$4:$E$203,MATCH(80,'كشف الحساب'!$L$4:$L$203,0)),"")</f>
        <v/>
      </c>
      <c r="F84" s="15" t="str">
        <f>IFERROR(INDEX('كشف الحساب'!$F$4:$F$203,MATCH(80,'كشف الحساب'!$L$4:$L$203,0)),"")</f>
        <v/>
      </c>
      <c r="G84" s="16"/>
      <c r="H84" t="str">
        <f>IF(AND(OR('طباعة المحفظة'!$C$2="الكل",IFERROR(MONTH(A84),0)=IFERROR(MATCH('طباعة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المحفظة'!$F$2="الكل",IFERROR(YEAR(A84),0)=IFERROR(VALUE('طباعة المحفظة'!$F$2),0)),A84&lt;&gt;""),IFERROR(MAX($H$5:H83),0)+1,"")</f>
        <v/>
      </c>
    </row>
    <row r="85" spans="1:8" ht="18" customHeight="1">
      <c r="A85" s="3" t="str">
        <f>IFERROR(INDEX('كشف الحساب'!$A$4:$A$203,MATCH(81,'كشف الحساب'!$L$4:$L$203,0)),"")</f>
        <v/>
      </c>
      <c r="B85" s="4" t="str">
        <f>IFERROR(INDEX('كشف الحساب'!$B$4:$B$203,MATCH(81,'كشف الحساب'!$L$4:$L$203,0)),"")</f>
        <v/>
      </c>
      <c r="C85" s="5" t="str">
        <f>IFERROR(INDEX('كشف الحساب'!$C$4:$C$203,MATCH(81,'كشف الحساب'!$L$4:$L$203,0)),"")</f>
        <v/>
      </c>
      <c r="D85" s="6" t="s">
        <v>6</v>
      </c>
      <c r="E85" s="7" t="str">
        <f>IFERROR(INDEX('كشف الحساب'!$E$4:$E$203,MATCH(81,'كشف الحساب'!$L$4:$L$203,0)),"")</f>
        <v/>
      </c>
      <c r="F85" s="8" t="str">
        <f>IFERROR(INDEX('كشف الحساب'!$F$4:$F$203,MATCH(81,'كشف الحساب'!$L$4:$L$203,0)),"")</f>
        <v/>
      </c>
      <c r="G85" s="9"/>
      <c r="H85" t="str">
        <f>IF(AND(OR('طباعة المحفظة'!$C$2="الكل",IFERROR(MONTH(A85),0)=IFERROR(MATCH('طباعة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المحفظة'!$F$2="الكل",IFERROR(YEAR(A85),0)=IFERROR(VALUE('طباعة المحفظة'!$F$2),0)),A85&lt;&gt;""),IFERROR(MAX($H$5:H84),0)+1,"")</f>
        <v/>
      </c>
    </row>
    <row r="86" spans="1:8" ht="18" customHeight="1">
      <c r="A86" s="10" t="str">
        <f>IFERROR(INDEX('كشف الحساب'!$A$4:$A$203,MATCH(82,'كشف الحساب'!$L$4:$L$203,0)),"")</f>
        <v/>
      </c>
      <c r="B86" s="11" t="str">
        <f>IFERROR(INDEX('كشف الحساب'!$B$4:$B$203,MATCH(82,'كشف الحساب'!$L$4:$L$203,0)),"")</f>
        <v/>
      </c>
      <c r="C86" s="12" t="str">
        <f>IFERROR(INDEX('كشف الحساب'!$C$4:$C$203,MATCH(82,'كشف الحساب'!$L$4:$L$203,0)),"")</f>
        <v/>
      </c>
      <c r="D86" s="13" t="s">
        <v>6</v>
      </c>
      <c r="E86" s="14" t="str">
        <f>IFERROR(INDEX('كشف الحساب'!$E$4:$E$203,MATCH(82,'كشف الحساب'!$L$4:$L$203,0)),"")</f>
        <v/>
      </c>
      <c r="F86" s="15" t="str">
        <f>IFERROR(INDEX('كشف الحساب'!$F$4:$F$203,MATCH(82,'كشف الحساب'!$L$4:$L$203,0)),"")</f>
        <v/>
      </c>
      <c r="G86" s="16"/>
      <c r="H86" t="str">
        <f>IF(AND(OR('طباعة المحفظة'!$C$2="الكل",IFERROR(MONTH(A86),0)=IFERROR(MATCH('طباعة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المحفظة'!$F$2="الكل",IFERROR(YEAR(A86),0)=IFERROR(VALUE('طباعة المحفظة'!$F$2),0)),A86&lt;&gt;""),IFERROR(MAX($H$5:H85),0)+1,"")</f>
        <v/>
      </c>
    </row>
    <row r="87" spans="1:8" ht="18" customHeight="1">
      <c r="A87" s="3" t="str">
        <f>IFERROR(INDEX('كشف الحساب'!$A$4:$A$203,MATCH(83,'كشف الحساب'!$L$4:$L$203,0)),"")</f>
        <v/>
      </c>
      <c r="B87" s="4" t="str">
        <f>IFERROR(INDEX('كشف الحساب'!$B$4:$B$203,MATCH(83,'كشف الحساب'!$L$4:$L$203,0)),"")</f>
        <v/>
      </c>
      <c r="C87" s="5" t="str">
        <f>IFERROR(INDEX('كشف الحساب'!$C$4:$C$203,MATCH(83,'كشف الحساب'!$L$4:$L$203,0)),"")</f>
        <v/>
      </c>
      <c r="D87" s="6" t="s">
        <v>6</v>
      </c>
      <c r="E87" s="7" t="str">
        <f>IFERROR(INDEX('كشف الحساب'!$E$4:$E$203,MATCH(83,'كشف الحساب'!$L$4:$L$203,0)),"")</f>
        <v/>
      </c>
      <c r="F87" s="8" t="str">
        <f>IFERROR(INDEX('كشف الحساب'!$F$4:$F$203,MATCH(83,'كشف الحساب'!$L$4:$L$203,0)),"")</f>
        <v/>
      </c>
      <c r="G87" s="9"/>
      <c r="H87" t="str">
        <f>IF(AND(OR('طباعة المحفظة'!$C$2="الكل",IFERROR(MONTH(A87),0)=IFERROR(MATCH('طباعة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المحفظة'!$F$2="الكل",IFERROR(YEAR(A87),0)=IFERROR(VALUE('طباعة المحفظة'!$F$2),0)),A87&lt;&gt;""),IFERROR(MAX($H$5:H86),0)+1,"")</f>
        <v/>
      </c>
    </row>
    <row r="88" spans="1:8" ht="18" customHeight="1">
      <c r="A88" s="10" t="str">
        <f>IFERROR(INDEX('كشف الحساب'!$A$4:$A$203,MATCH(84,'كشف الحساب'!$L$4:$L$203,0)),"")</f>
        <v/>
      </c>
      <c r="B88" s="11" t="str">
        <f>IFERROR(INDEX('كشف الحساب'!$B$4:$B$203,MATCH(84,'كشف الحساب'!$L$4:$L$203,0)),"")</f>
        <v/>
      </c>
      <c r="C88" s="12" t="str">
        <f>IFERROR(INDEX('كشف الحساب'!$C$4:$C$203,MATCH(84,'كشف الحساب'!$L$4:$L$203,0)),"")</f>
        <v/>
      </c>
      <c r="D88" s="13" t="s">
        <v>6</v>
      </c>
      <c r="E88" s="14" t="str">
        <f>IFERROR(INDEX('كشف الحساب'!$E$4:$E$203,MATCH(84,'كشف الحساب'!$L$4:$L$203,0)),"")</f>
        <v/>
      </c>
      <c r="F88" s="15" t="str">
        <f>IFERROR(INDEX('كشف الحساب'!$F$4:$F$203,MATCH(84,'كشف الحساب'!$L$4:$L$203,0)),"")</f>
        <v/>
      </c>
      <c r="G88" s="16"/>
      <c r="H88" t="str">
        <f>IF(AND(OR('طباعة المحفظة'!$C$2="الكل",IFERROR(MONTH(A88),0)=IFERROR(MATCH('طباعة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المحفظة'!$F$2="الكل",IFERROR(YEAR(A88),0)=IFERROR(VALUE('طباعة المحفظة'!$F$2),0)),A88&lt;&gt;""),IFERROR(MAX($H$5:H87),0)+1,"")</f>
        <v/>
      </c>
    </row>
    <row r="89" spans="1:8" ht="18" customHeight="1">
      <c r="A89" s="3" t="str">
        <f>IFERROR(INDEX('كشف الحساب'!$A$4:$A$203,MATCH(85,'كشف الحساب'!$L$4:$L$203,0)),"")</f>
        <v/>
      </c>
      <c r="B89" s="4" t="str">
        <f>IFERROR(INDEX('كشف الحساب'!$B$4:$B$203,MATCH(85,'كشف الحساب'!$L$4:$L$203,0)),"")</f>
        <v/>
      </c>
      <c r="C89" s="5" t="str">
        <f>IFERROR(INDEX('كشف الحساب'!$C$4:$C$203,MATCH(85,'كشف الحساب'!$L$4:$L$203,0)),"")</f>
        <v/>
      </c>
      <c r="D89" s="6" t="s">
        <v>6</v>
      </c>
      <c r="E89" s="7" t="str">
        <f>IFERROR(INDEX('كشف الحساب'!$E$4:$E$203,MATCH(85,'كشف الحساب'!$L$4:$L$203,0)),"")</f>
        <v/>
      </c>
      <c r="F89" s="8" t="str">
        <f>IFERROR(INDEX('كشف الحساب'!$F$4:$F$203,MATCH(85,'كشف الحساب'!$L$4:$L$203,0)),"")</f>
        <v/>
      </c>
      <c r="G89" s="9"/>
      <c r="H89" t="str">
        <f>IF(AND(OR('طباعة المحفظة'!$C$2="الكل",IFERROR(MONTH(A89),0)=IFERROR(MATCH('طباعة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المحفظة'!$F$2="الكل",IFERROR(YEAR(A89),0)=IFERROR(VALUE('طباعة المحفظة'!$F$2),0)),A89&lt;&gt;""),IFERROR(MAX($H$5:H88),0)+1,"")</f>
        <v/>
      </c>
    </row>
    <row r="90" spans="1:8" ht="18" customHeight="1">
      <c r="A90" s="10" t="str">
        <f>IFERROR(INDEX('كشف الحساب'!$A$4:$A$203,MATCH(86,'كشف الحساب'!$L$4:$L$203,0)),"")</f>
        <v/>
      </c>
      <c r="B90" s="11" t="str">
        <f>IFERROR(INDEX('كشف الحساب'!$B$4:$B$203,MATCH(86,'كشف الحساب'!$L$4:$L$203,0)),"")</f>
        <v/>
      </c>
      <c r="C90" s="12" t="str">
        <f>IFERROR(INDEX('كشف الحساب'!$C$4:$C$203,MATCH(86,'كشف الحساب'!$L$4:$L$203,0)),"")</f>
        <v/>
      </c>
      <c r="D90" s="13" t="s">
        <v>6</v>
      </c>
      <c r="E90" s="14" t="str">
        <f>IFERROR(INDEX('كشف الحساب'!$E$4:$E$203,MATCH(86,'كشف الحساب'!$L$4:$L$203,0)),"")</f>
        <v/>
      </c>
      <c r="F90" s="15" t="str">
        <f>IFERROR(INDEX('كشف الحساب'!$F$4:$F$203,MATCH(86,'كشف الحساب'!$L$4:$L$203,0)),"")</f>
        <v/>
      </c>
      <c r="G90" s="16"/>
      <c r="H90" t="str">
        <f>IF(AND(OR('طباعة المحفظة'!$C$2="الكل",IFERROR(MONTH(A90),0)=IFERROR(MATCH('طباعة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المحفظة'!$F$2="الكل",IFERROR(YEAR(A90),0)=IFERROR(VALUE('طباعة المحفظة'!$F$2),0)),A90&lt;&gt;""),IFERROR(MAX($H$5:H89),0)+1,"")</f>
        <v/>
      </c>
    </row>
    <row r="91" spans="1:8" ht="18" customHeight="1">
      <c r="A91" s="3" t="str">
        <f>IFERROR(INDEX('كشف الحساب'!$A$4:$A$203,MATCH(87,'كشف الحساب'!$L$4:$L$203,0)),"")</f>
        <v/>
      </c>
      <c r="B91" s="4" t="str">
        <f>IFERROR(INDEX('كشف الحساب'!$B$4:$B$203,MATCH(87,'كشف الحساب'!$L$4:$L$203,0)),"")</f>
        <v/>
      </c>
      <c r="C91" s="5" t="str">
        <f>IFERROR(INDEX('كشف الحساب'!$C$4:$C$203,MATCH(87,'كشف الحساب'!$L$4:$L$203,0)),"")</f>
        <v/>
      </c>
      <c r="D91" s="6" t="s">
        <v>6</v>
      </c>
      <c r="E91" s="7" t="str">
        <f>IFERROR(INDEX('كشف الحساب'!$E$4:$E$203,MATCH(87,'كشف الحساب'!$L$4:$L$203,0)),"")</f>
        <v/>
      </c>
      <c r="F91" s="8" t="str">
        <f>IFERROR(INDEX('كشف الحساب'!$F$4:$F$203,MATCH(87,'كشف الحساب'!$L$4:$L$203,0)),"")</f>
        <v/>
      </c>
      <c r="G91" s="9"/>
      <c r="H91" t="str">
        <f>IF(AND(OR('طباعة المحفظة'!$C$2="الكل",IFERROR(MONTH(A91),0)=IFERROR(MATCH('طباعة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المحفظة'!$F$2="الكل",IFERROR(YEAR(A91),0)=IFERROR(VALUE('طباعة المحفظة'!$F$2),0)),A91&lt;&gt;""),IFERROR(MAX($H$5:H90),0)+1,"")</f>
        <v/>
      </c>
    </row>
    <row r="92" spans="1:8" ht="18" customHeight="1">
      <c r="A92" s="10" t="str">
        <f>IFERROR(INDEX('كشف الحساب'!$A$4:$A$203,MATCH(88,'كشف الحساب'!$L$4:$L$203,0)),"")</f>
        <v/>
      </c>
      <c r="B92" s="11" t="str">
        <f>IFERROR(INDEX('كشف الحساب'!$B$4:$B$203,MATCH(88,'كشف الحساب'!$L$4:$L$203,0)),"")</f>
        <v/>
      </c>
      <c r="C92" s="12" t="str">
        <f>IFERROR(INDEX('كشف الحساب'!$C$4:$C$203,MATCH(88,'كشف الحساب'!$L$4:$L$203,0)),"")</f>
        <v/>
      </c>
      <c r="D92" s="13" t="s">
        <v>6</v>
      </c>
      <c r="E92" s="14" t="str">
        <f>IFERROR(INDEX('كشف الحساب'!$E$4:$E$203,MATCH(88,'كشف الحساب'!$L$4:$L$203,0)),"")</f>
        <v/>
      </c>
      <c r="F92" s="15" t="str">
        <f>IFERROR(INDEX('كشف الحساب'!$F$4:$F$203,MATCH(88,'كشف الحساب'!$L$4:$L$203,0)),"")</f>
        <v/>
      </c>
      <c r="G92" s="16"/>
      <c r="H92" t="str">
        <f>IF(AND(OR('طباعة المحفظة'!$C$2="الكل",IFERROR(MONTH(A92),0)=IFERROR(MATCH('طباعة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المحفظة'!$F$2="الكل",IFERROR(YEAR(A92),0)=IFERROR(VALUE('طباعة المحفظة'!$F$2),0)),A92&lt;&gt;""),IFERROR(MAX($H$5:H91),0)+1,"")</f>
        <v/>
      </c>
    </row>
    <row r="93" spans="1:8" ht="18" customHeight="1">
      <c r="A93" s="3" t="str">
        <f>IFERROR(INDEX('كشف الحساب'!$A$4:$A$203,MATCH(89,'كشف الحساب'!$L$4:$L$203,0)),"")</f>
        <v/>
      </c>
      <c r="B93" s="4" t="str">
        <f>IFERROR(INDEX('كشف الحساب'!$B$4:$B$203,MATCH(89,'كشف الحساب'!$L$4:$L$203,0)),"")</f>
        <v/>
      </c>
      <c r="C93" s="5" t="str">
        <f>IFERROR(INDEX('كشف الحساب'!$C$4:$C$203,MATCH(89,'كشف الحساب'!$L$4:$L$203,0)),"")</f>
        <v/>
      </c>
      <c r="D93" s="6" t="s">
        <v>6</v>
      </c>
      <c r="E93" s="7" t="str">
        <f>IFERROR(INDEX('كشف الحساب'!$E$4:$E$203,MATCH(89,'كشف الحساب'!$L$4:$L$203,0)),"")</f>
        <v/>
      </c>
      <c r="F93" s="8" t="str">
        <f>IFERROR(INDEX('كشف الحساب'!$F$4:$F$203,MATCH(89,'كشف الحساب'!$L$4:$L$203,0)),"")</f>
        <v/>
      </c>
      <c r="G93" s="9"/>
      <c r="H93" t="str">
        <f>IF(AND(OR('طباعة المحفظة'!$C$2="الكل",IFERROR(MONTH(A93),0)=IFERROR(MATCH('طباعة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المحفظة'!$F$2="الكل",IFERROR(YEAR(A93),0)=IFERROR(VALUE('طباعة المحفظة'!$F$2),0)),A93&lt;&gt;""),IFERROR(MAX($H$5:H92),0)+1,"")</f>
        <v/>
      </c>
    </row>
    <row r="94" spans="1:8" ht="18" customHeight="1">
      <c r="A94" s="10" t="str">
        <f>IFERROR(INDEX('كشف الحساب'!$A$4:$A$203,MATCH(90,'كشف الحساب'!$L$4:$L$203,0)),"")</f>
        <v/>
      </c>
      <c r="B94" s="11" t="str">
        <f>IFERROR(INDEX('كشف الحساب'!$B$4:$B$203,MATCH(90,'كشف الحساب'!$L$4:$L$203,0)),"")</f>
        <v/>
      </c>
      <c r="C94" s="12" t="str">
        <f>IFERROR(INDEX('كشف الحساب'!$C$4:$C$203,MATCH(90,'كشف الحساب'!$L$4:$L$203,0)),"")</f>
        <v/>
      </c>
      <c r="D94" s="13" t="s">
        <v>6</v>
      </c>
      <c r="E94" s="14" t="str">
        <f>IFERROR(INDEX('كشف الحساب'!$E$4:$E$203,MATCH(90,'كشف الحساب'!$L$4:$L$203,0)),"")</f>
        <v/>
      </c>
      <c r="F94" s="15" t="str">
        <f>IFERROR(INDEX('كشف الحساب'!$F$4:$F$203,MATCH(90,'كشف الحساب'!$L$4:$L$203,0)),"")</f>
        <v/>
      </c>
      <c r="G94" s="16"/>
      <c r="H94" t="str">
        <f>IF(AND(OR('طباعة المحفظة'!$C$2="الكل",IFERROR(MONTH(A94),0)=IFERROR(MATCH('طباعة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المحفظة'!$F$2="الكل",IFERROR(YEAR(A94),0)=IFERROR(VALUE('طباعة المحفظة'!$F$2),0)),A94&lt;&gt;""),IFERROR(MAX($H$5:H93),0)+1,"")</f>
        <v/>
      </c>
    </row>
    <row r="95" spans="1:8" ht="18" customHeight="1">
      <c r="A95" s="3" t="str">
        <f>IFERROR(INDEX('كشف الحساب'!$A$4:$A$203,MATCH(91,'كشف الحساب'!$L$4:$L$203,0)),"")</f>
        <v/>
      </c>
      <c r="B95" s="4" t="str">
        <f>IFERROR(INDEX('كشف الحساب'!$B$4:$B$203,MATCH(91,'كشف الحساب'!$L$4:$L$203,0)),"")</f>
        <v/>
      </c>
      <c r="C95" s="5" t="str">
        <f>IFERROR(INDEX('كشف الحساب'!$C$4:$C$203,MATCH(91,'كشف الحساب'!$L$4:$L$203,0)),"")</f>
        <v/>
      </c>
      <c r="D95" s="6" t="s">
        <v>6</v>
      </c>
      <c r="E95" s="7" t="str">
        <f>IFERROR(INDEX('كشف الحساب'!$E$4:$E$203,MATCH(91,'كشف الحساب'!$L$4:$L$203,0)),"")</f>
        <v/>
      </c>
      <c r="F95" s="8" t="str">
        <f>IFERROR(INDEX('كشف الحساب'!$F$4:$F$203,MATCH(91,'كشف الحساب'!$L$4:$L$203,0)),"")</f>
        <v/>
      </c>
      <c r="G95" s="9"/>
      <c r="H95" t="str">
        <f>IF(AND(OR('طباعة المحفظة'!$C$2="الكل",IFERROR(MONTH(A95),0)=IFERROR(MATCH('طباعة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المحفظة'!$F$2="الكل",IFERROR(YEAR(A95),0)=IFERROR(VALUE('طباعة المحفظة'!$F$2),0)),A95&lt;&gt;""),IFERROR(MAX($H$5:H94),0)+1,"")</f>
        <v/>
      </c>
    </row>
    <row r="96" spans="1:8" ht="18" customHeight="1">
      <c r="A96" s="10" t="str">
        <f>IFERROR(INDEX('كشف الحساب'!$A$4:$A$203,MATCH(92,'كشف الحساب'!$L$4:$L$203,0)),"")</f>
        <v/>
      </c>
      <c r="B96" s="11" t="str">
        <f>IFERROR(INDEX('كشف الحساب'!$B$4:$B$203,MATCH(92,'كشف الحساب'!$L$4:$L$203,0)),"")</f>
        <v/>
      </c>
      <c r="C96" s="12" t="str">
        <f>IFERROR(INDEX('كشف الحساب'!$C$4:$C$203,MATCH(92,'كشف الحساب'!$L$4:$L$203,0)),"")</f>
        <v/>
      </c>
      <c r="D96" s="13" t="s">
        <v>6</v>
      </c>
      <c r="E96" s="14" t="str">
        <f>IFERROR(INDEX('كشف الحساب'!$E$4:$E$203,MATCH(92,'كشف الحساب'!$L$4:$L$203,0)),"")</f>
        <v/>
      </c>
      <c r="F96" s="15" t="str">
        <f>IFERROR(INDEX('كشف الحساب'!$F$4:$F$203,MATCH(92,'كشف الحساب'!$L$4:$L$203,0)),"")</f>
        <v/>
      </c>
      <c r="G96" s="16"/>
      <c r="H96" t="str">
        <f>IF(AND(OR('طباعة المحفظة'!$C$2="الكل",IFERROR(MONTH(A96),0)=IFERROR(MATCH('طباعة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المحفظة'!$F$2="الكل",IFERROR(YEAR(A96),0)=IFERROR(VALUE('طباعة المحفظة'!$F$2),0)),A96&lt;&gt;""),IFERROR(MAX($H$5:H95),0)+1,"")</f>
        <v/>
      </c>
    </row>
    <row r="97" spans="1:8" ht="18" customHeight="1">
      <c r="A97" s="3" t="str">
        <f>IFERROR(INDEX('كشف الحساب'!$A$4:$A$203,MATCH(93,'كشف الحساب'!$L$4:$L$203,0)),"")</f>
        <v/>
      </c>
      <c r="B97" s="4" t="str">
        <f>IFERROR(INDEX('كشف الحساب'!$B$4:$B$203,MATCH(93,'كشف الحساب'!$L$4:$L$203,0)),"")</f>
        <v/>
      </c>
      <c r="C97" s="5" t="str">
        <f>IFERROR(INDEX('كشف الحساب'!$C$4:$C$203,MATCH(93,'كشف الحساب'!$L$4:$L$203,0)),"")</f>
        <v/>
      </c>
      <c r="D97" s="6" t="s">
        <v>6</v>
      </c>
      <c r="E97" s="7" t="str">
        <f>IFERROR(INDEX('كشف الحساب'!$E$4:$E$203,MATCH(93,'كشف الحساب'!$L$4:$L$203,0)),"")</f>
        <v/>
      </c>
      <c r="F97" s="8" t="str">
        <f>IFERROR(INDEX('كشف الحساب'!$F$4:$F$203,MATCH(93,'كشف الحساب'!$L$4:$L$203,0)),"")</f>
        <v/>
      </c>
      <c r="G97" s="9"/>
      <c r="H97" t="str">
        <f>IF(AND(OR('طباعة المحفظة'!$C$2="الكل",IFERROR(MONTH(A97),0)=IFERROR(MATCH('طباعة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المحفظة'!$F$2="الكل",IFERROR(YEAR(A97),0)=IFERROR(VALUE('طباعة المحفظة'!$F$2),0)),A97&lt;&gt;""),IFERROR(MAX($H$5:H96),0)+1,"")</f>
        <v/>
      </c>
    </row>
    <row r="98" spans="1:8" ht="18" customHeight="1">
      <c r="A98" s="10" t="str">
        <f>IFERROR(INDEX('كشف الحساب'!$A$4:$A$203,MATCH(94,'كشف الحساب'!$L$4:$L$203,0)),"")</f>
        <v/>
      </c>
      <c r="B98" s="11" t="str">
        <f>IFERROR(INDEX('كشف الحساب'!$B$4:$B$203,MATCH(94,'كشف الحساب'!$L$4:$L$203,0)),"")</f>
        <v/>
      </c>
      <c r="C98" s="12" t="str">
        <f>IFERROR(INDEX('كشف الحساب'!$C$4:$C$203,MATCH(94,'كشف الحساب'!$L$4:$L$203,0)),"")</f>
        <v/>
      </c>
      <c r="D98" s="13" t="s">
        <v>6</v>
      </c>
      <c r="E98" s="14" t="str">
        <f>IFERROR(INDEX('كشف الحساب'!$E$4:$E$203,MATCH(94,'كشف الحساب'!$L$4:$L$203,0)),"")</f>
        <v/>
      </c>
      <c r="F98" s="15" t="str">
        <f>IFERROR(INDEX('كشف الحساب'!$F$4:$F$203,MATCH(94,'كشف الحساب'!$L$4:$L$203,0)),"")</f>
        <v/>
      </c>
      <c r="G98" s="16"/>
      <c r="H98" t="str">
        <f>IF(AND(OR('طباعة المحفظة'!$C$2="الكل",IFERROR(MONTH(A98),0)=IFERROR(MATCH('طباعة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المحفظة'!$F$2="الكل",IFERROR(YEAR(A98),0)=IFERROR(VALUE('طباعة المحفظة'!$F$2),0)),A98&lt;&gt;""),IFERROR(MAX($H$5:H97),0)+1,"")</f>
        <v/>
      </c>
    </row>
    <row r="99" spans="1:8" ht="18" customHeight="1">
      <c r="A99" s="3" t="str">
        <f>IFERROR(INDEX('كشف الحساب'!$A$4:$A$203,MATCH(95,'كشف الحساب'!$L$4:$L$203,0)),"")</f>
        <v/>
      </c>
      <c r="B99" s="4" t="str">
        <f>IFERROR(INDEX('كشف الحساب'!$B$4:$B$203,MATCH(95,'كشف الحساب'!$L$4:$L$203,0)),"")</f>
        <v/>
      </c>
      <c r="C99" s="5" t="str">
        <f>IFERROR(INDEX('كشف الحساب'!$C$4:$C$203,MATCH(95,'كشف الحساب'!$L$4:$L$203,0)),"")</f>
        <v/>
      </c>
      <c r="D99" s="6" t="s">
        <v>6</v>
      </c>
      <c r="E99" s="7" t="str">
        <f>IFERROR(INDEX('كشف الحساب'!$E$4:$E$203,MATCH(95,'كشف الحساب'!$L$4:$L$203,0)),"")</f>
        <v/>
      </c>
      <c r="F99" s="8" t="str">
        <f>IFERROR(INDEX('كشف الحساب'!$F$4:$F$203,MATCH(95,'كشف الحساب'!$L$4:$L$203,0)),"")</f>
        <v/>
      </c>
      <c r="G99" s="9"/>
      <c r="H99" t="str">
        <f>IF(AND(OR('طباعة المحفظة'!$C$2="الكل",IFERROR(MONTH(A99),0)=IFERROR(MATCH('طباعة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المحفظة'!$F$2="الكل",IFERROR(YEAR(A99),0)=IFERROR(VALUE('طباعة المحفظة'!$F$2),0)),A99&lt;&gt;""),IFERROR(MAX($H$5:H98),0)+1,"")</f>
        <v/>
      </c>
    </row>
    <row r="100" spans="1:8" ht="18" customHeight="1">
      <c r="A100" s="10" t="str">
        <f>IFERROR(INDEX('كشف الحساب'!$A$4:$A$203,MATCH(96,'كشف الحساب'!$L$4:$L$203,0)),"")</f>
        <v/>
      </c>
      <c r="B100" s="11" t="str">
        <f>IFERROR(INDEX('كشف الحساب'!$B$4:$B$203,MATCH(96,'كشف الحساب'!$L$4:$L$203,0)),"")</f>
        <v/>
      </c>
      <c r="C100" s="12" t="str">
        <f>IFERROR(INDEX('كشف الحساب'!$C$4:$C$203,MATCH(96,'كشف الحساب'!$L$4:$L$203,0)),"")</f>
        <v/>
      </c>
      <c r="D100" s="13" t="s">
        <v>6</v>
      </c>
      <c r="E100" s="14" t="str">
        <f>IFERROR(INDEX('كشف الحساب'!$E$4:$E$203,MATCH(96,'كشف الحساب'!$L$4:$L$203,0)),"")</f>
        <v/>
      </c>
      <c r="F100" s="15" t="str">
        <f>IFERROR(INDEX('كشف الحساب'!$F$4:$F$203,MATCH(96,'كشف الحساب'!$L$4:$L$203,0)),"")</f>
        <v/>
      </c>
      <c r="G100" s="16"/>
      <c r="H100" t="str">
        <f>IF(AND(OR('طباعة المحفظة'!$C$2="الكل",IFERROR(MONTH(A100),0)=IFERROR(MATCH('طباعة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المحفظة'!$F$2="الكل",IFERROR(YEAR(A100),0)=IFERROR(VALUE('طباعة المحفظة'!$F$2),0)),A100&lt;&gt;""),IFERROR(MAX($H$5:H99),0)+1,"")</f>
        <v/>
      </c>
    </row>
    <row r="101" spans="1:8" ht="18" customHeight="1">
      <c r="A101" s="3" t="str">
        <f>IFERROR(INDEX('كشف الحساب'!$A$4:$A$203,MATCH(97,'كشف الحساب'!$L$4:$L$203,0)),"")</f>
        <v/>
      </c>
      <c r="B101" s="4" t="str">
        <f>IFERROR(INDEX('كشف الحساب'!$B$4:$B$203,MATCH(97,'كشف الحساب'!$L$4:$L$203,0)),"")</f>
        <v/>
      </c>
      <c r="C101" s="5" t="str">
        <f>IFERROR(INDEX('كشف الحساب'!$C$4:$C$203,MATCH(97,'كشف الحساب'!$L$4:$L$203,0)),"")</f>
        <v/>
      </c>
      <c r="D101" s="6" t="s">
        <v>6</v>
      </c>
      <c r="E101" s="7" t="str">
        <f>IFERROR(INDEX('كشف الحساب'!$E$4:$E$203,MATCH(97,'كشف الحساب'!$L$4:$L$203,0)),"")</f>
        <v/>
      </c>
      <c r="F101" s="8" t="str">
        <f>IFERROR(INDEX('كشف الحساب'!$F$4:$F$203,MATCH(97,'كشف الحساب'!$L$4:$L$203,0)),"")</f>
        <v/>
      </c>
      <c r="G101" s="9"/>
      <c r="H101" t="str">
        <f>IF(AND(OR('طباعة المحفظة'!$C$2="الكل",IFERROR(MONTH(A101),0)=IFERROR(MATCH('طباعة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المحفظة'!$F$2="الكل",IFERROR(YEAR(A101),0)=IFERROR(VALUE('طباعة المحفظة'!$F$2),0)),A101&lt;&gt;""),IFERROR(MAX($H$5:H100),0)+1,"")</f>
        <v/>
      </c>
    </row>
    <row r="102" spans="1:8" ht="18" customHeight="1">
      <c r="A102" s="10" t="str">
        <f>IFERROR(INDEX('كشف الحساب'!$A$4:$A$203,MATCH(98,'كشف الحساب'!$L$4:$L$203,0)),"")</f>
        <v/>
      </c>
      <c r="B102" s="11" t="str">
        <f>IFERROR(INDEX('كشف الحساب'!$B$4:$B$203,MATCH(98,'كشف الحساب'!$L$4:$L$203,0)),"")</f>
        <v/>
      </c>
      <c r="C102" s="12" t="str">
        <f>IFERROR(INDEX('كشف الحساب'!$C$4:$C$203,MATCH(98,'كشف الحساب'!$L$4:$L$203,0)),"")</f>
        <v/>
      </c>
      <c r="D102" s="13" t="s">
        <v>6</v>
      </c>
      <c r="E102" s="14" t="str">
        <f>IFERROR(INDEX('كشف الحساب'!$E$4:$E$203,MATCH(98,'كشف الحساب'!$L$4:$L$203,0)),"")</f>
        <v/>
      </c>
      <c r="F102" s="15" t="str">
        <f>IFERROR(INDEX('كشف الحساب'!$F$4:$F$203,MATCH(98,'كشف الحساب'!$L$4:$L$203,0)),"")</f>
        <v/>
      </c>
      <c r="G102" s="16"/>
      <c r="H102" t="str">
        <f>IF(AND(OR('طباعة المحفظة'!$C$2="الكل",IFERROR(MONTH(A102),0)=IFERROR(MATCH('طباعة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المحفظة'!$F$2="الكل",IFERROR(YEAR(A102),0)=IFERROR(VALUE('طباعة المحفظة'!$F$2),0)),A102&lt;&gt;""),IFERROR(MAX($H$5:H101),0)+1,"")</f>
        <v/>
      </c>
    </row>
    <row r="103" spans="1:8" ht="18" customHeight="1">
      <c r="A103" s="3" t="str">
        <f>IFERROR(INDEX('كشف الحساب'!$A$4:$A$203,MATCH(99,'كشف الحساب'!$L$4:$L$203,0)),"")</f>
        <v/>
      </c>
      <c r="B103" s="4" t="str">
        <f>IFERROR(INDEX('كشف الحساب'!$B$4:$B$203,MATCH(99,'كشف الحساب'!$L$4:$L$203,0)),"")</f>
        <v/>
      </c>
      <c r="C103" s="5" t="str">
        <f>IFERROR(INDEX('كشف الحساب'!$C$4:$C$203,MATCH(99,'كشف الحساب'!$L$4:$L$203,0)),"")</f>
        <v/>
      </c>
      <c r="D103" s="6" t="s">
        <v>6</v>
      </c>
      <c r="E103" s="7" t="str">
        <f>IFERROR(INDEX('كشف الحساب'!$E$4:$E$203,MATCH(99,'كشف الحساب'!$L$4:$L$203,0)),"")</f>
        <v/>
      </c>
      <c r="F103" s="8" t="str">
        <f>IFERROR(INDEX('كشف الحساب'!$F$4:$F$203,MATCH(99,'كشف الحساب'!$L$4:$L$203,0)),"")</f>
        <v/>
      </c>
      <c r="G103" s="9"/>
      <c r="H103" t="str">
        <f>IF(AND(OR('طباعة المحفظة'!$C$2="الكل",IFERROR(MONTH(A103),0)=IFERROR(MATCH('طباعة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المحفظة'!$F$2="الكل",IFERROR(YEAR(A103),0)=IFERROR(VALUE('طباعة المحفظة'!$F$2),0)),A103&lt;&gt;""),IFERROR(MAX($H$5:H102),0)+1,"")</f>
        <v/>
      </c>
    </row>
    <row r="104" spans="1:8" ht="18" customHeight="1">
      <c r="A104" s="10" t="str">
        <f>IFERROR(INDEX('كشف الحساب'!$A$4:$A$203,MATCH(100,'كشف الحساب'!$L$4:$L$203,0)),"")</f>
        <v/>
      </c>
      <c r="B104" s="11" t="str">
        <f>IFERROR(INDEX('كشف الحساب'!$B$4:$B$203,MATCH(100,'كشف الحساب'!$L$4:$L$203,0)),"")</f>
        <v/>
      </c>
      <c r="C104" s="12" t="str">
        <f>IFERROR(INDEX('كشف الحساب'!$C$4:$C$203,MATCH(100,'كشف الحساب'!$L$4:$L$203,0)),"")</f>
        <v/>
      </c>
      <c r="D104" s="13" t="s">
        <v>6</v>
      </c>
      <c r="E104" s="14" t="str">
        <f>IFERROR(INDEX('كشف الحساب'!$E$4:$E$203,MATCH(100,'كشف الحساب'!$L$4:$L$203,0)),"")</f>
        <v/>
      </c>
      <c r="F104" s="15" t="str">
        <f>IFERROR(INDEX('كشف الحساب'!$F$4:$F$203,MATCH(100,'كشف الحساب'!$L$4:$L$203,0)),"")</f>
        <v/>
      </c>
      <c r="G104" s="16"/>
      <c r="H104" t="str">
        <f>IF(AND(OR('طباعة المحفظة'!$C$2="الكل",IFERROR(MONTH(A104),0)=IFERROR(MATCH('طباعة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المحفظة'!$F$2="الكل",IFERROR(YEAR(A104),0)=IFERROR(VALUE('طباعة المحفظة'!$F$2),0)),A104&lt;&gt;""),IFERROR(MAX($H$5:H103),0)+1,"")</f>
        <v/>
      </c>
    </row>
    <row r="105" spans="1:8" ht="21.75" customHeight="1">
      <c r="A105" s="140" t="s">
        <v>7</v>
      </c>
      <c r="B105" s="140"/>
      <c r="C105" s="140"/>
      <c r="D105" s="140"/>
      <c r="E105" s="17">
        <f>SUM(E5:E104)</f>
        <v>519.1</v>
      </c>
    </row>
    <row r="106" spans="1:8" ht="21.75" customHeight="1">
      <c r="A106" s="141" t="s">
        <v>8</v>
      </c>
      <c r="B106" s="141"/>
      <c r="C106" s="141"/>
      <c r="D106" s="141"/>
      <c r="E106" s="141"/>
      <c r="F106" s="141"/>
      <c r="G106" s="141"/>
    </row>
    <row r="107" spans="1:8" ht="18" customHeight="1">
      <c r="A107" s="18">
        <f>IFERROR(INDEX('كشف الحساب'!$A$4:$A$203,MATCH(1,'كشف الحساب'!$M$4:$M$203,0)),"")</f>
        <v>46117</v>
      </c>
      <c r="B107" s="19" t="str">
        <f>IFERROR(INDEX('كشف الحساب'!$B$4:$B$203,MATCH(1,'كشف الحساب'!$M$4:$M$203,0)),"")</f>
        <v>82869</v>
      </c>
      <c r="C107" s="20" t="str">
        <f>IFERROR(INDEX('كشف الحساب'!$C$4:$C$203,MATCH(1,'كشف الحساب'!$M$4:$M$203,0)),"")</f>
        <v>مبيدات الاتحاد الكويتي للمزارعين</v>
      </c>
      <c r="D107" s="21">
        <f>IFERROR(INDEX('كشف الحساب'!$D$4:$D$203,MATCH(1,'كشف الحساب'!$M$4:$M$203,0)),"")</f>
        <v>4.5</v>
      </c>
      <c r="E107" s="22" t="s">
        <v>6</v>
      </c>
      <c r="F107" s="23" t="str">
        <f>IFERROR(INDEX('كشف الحساب'!$I$4:$I$203,MATCH(1,'كشف الحساب'!$M$4:$M$203,0)),"")</f>
        <v>مبيدات وأسمدة</v>
      </c>
      <c r="G107" s="24"/>
      <c r="H107" t="str">
        <f>IF(AND(OR('طباعة المحفظة'!$C$2="الكل",IFERROR(MONTH(A107),0)=IFERROR(MATCH('طباعة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المحفظة'!$F$2="الكل",IFERROR(YEAR(A107),0)=IFERROR(VALUE('طباعة المحفظة'!$F$2),0)),A107&lt;&gt;""),1,"")</f>
        <v/>
      </c>
    </row>
    <row r="108" spans="1:8" ht="18" customHeight="1">
      <c r="A108" s="25">
        <f>IFERROR(INDEX('كشف الحساب'!$A$4:$A$203,MATCH(2,'كشف الحساب'!$M$4:$M$203,0)),"")</f>
        <v>46124</v>
      </c>
      <c r="B108" s="26" t="str">
        <f>IFERROR(INDEX('كشف الحساب'!$B$4:$B$203,MATCH(2,'كشف الحساب'!$M$4:$M$203,0)),"")</f>
        <v>242</v>
      </c>
      <c r="C108" s="27" t="str">
        <f>IFERROR(INDEX('كشف الحساب'!$C$4:$C$203,MATCH(2,'كشف الحساب'!$M$4:$M$203,0)),"")</f>
        <v>احواض حجم 18سم عدد 2000</v>
      </c>
      <c r="D108" s="28">
        <f>IFERROR(INDEX('كشف الحساب'!$D$4:$D$203,MATCH(2,'كشف الحساب'!$M$4:$M$203,0)),"")</f>
        <v>90</v>
      </c>
      <c r="E108" s="29" t="s">
        <v>6</v>
      </c>
      <c r="F108" s="30" t="str">
        <f>IFERROR(INDEX('كشف الحساب'!$I$4:$I$203,MATCH(2,'كشف الحساب'!$M$4:$M$203,0)),"")</f>
        <v>مستلزمات زراعية</v>
      </c>
      <c r="G108" s="31"/>
      <c r="H108" t="str">
        <f>IF(AND(OR('طباعة المحفظة'!$C$2="الكل",IFERROR(MONTH(A108),0)=IFERROR(MATCH('طباعة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المحفظة'!$F$2="الكل",IFERROR(YEAR(A108),0)=IFERROR(VALUE('طباعة المحفظة'!$F$2),0)),A108&lt;&gt;""),IFERROR(MAX($H$107:H107),0)+1,"")</f>
        <v/>
      </c>
    </row>
    <row r="109" spans="1:8" ht="18" customHeight="1">
      <c r="A109" s="18">
        <f>IFERROR(INDEX('كشف الحساب'!$A$4:$A$203,MATCH(3,'كشف الحساب'!$M$4:$M$203,0)),"")</f>
        <v>46134</v>
      </c>
      <c r="B109" s="19" t="str">
        <f>IFERROR(INDEX('كشف الحساب'!$B$4:$B$203,MATCH(3,'كشف الحساب'!$M$4:$M$203,0)),"")</f>
        <v>8127</v>
      </c>
      <c r="C109" s="20" t="str">
        <f>IFERROR(INDEX('كشف الحساب'!$C$4:$C$203,MATCH(3,'كشف الحساب'!$M$4:$M$203,0)),"")</f>
        <v>تاير لعربة الرش</v>
      </c>
      <c r="D109" s="21">
        <f>IFERROR(INDEX('كشف الحساب'!$D$4:$D$203,MATCH(3,'كشف الحساب'!$M$4:$M$203,0)),"")</f>
        <v>3</v>
      </c>
      <c r="E109" s="22" t="s">
        <v>6</v>
      </c>
      <c r="F109" s="23" t="str">
        <f>IFERROR(INDEX('كشف الحساب'!$I$4:$I$203,MATCH(3,'كشف الحساب'!$M$4:$M$203,0)),"")</f>
        <v>مستلزمات زراعية</v>
      </c>
      <c r="G109" s="24"/>
      <c r="H109" t="str">
        <f>IF(AND(OR('طباعة المحفظة'!$C$2="الكل",IFERROR(MONTH(A109),0)=IFERROR(MATCH('طباعة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المحفظة'!$F$2="الكل",IFERROR(YEAR(A109),0)=IFERROR(VALUE('طباعة المحفظة'!$F$2),0)),A109&lt;&gt;""),IFERROR(MAX($H$107:H108),0)+1,"")</f>
        <v/>
      </c>
    </row>
    <row r="110" spans="1:8" ht="18" customHeight="1">
      <c r="A110" s="25">
        <f>IFERROR(INDEX('كشف الحساب'!$A$4:$A$203,MATCH(4,'كشف الحساب'!$M$4:$M$203,0)),"")</f>
        <v>46142</v>
      </c>
      <c r="B110" s="26">
        <f>IFERROR(INDEX('كشف الحساب'!$B$4:$B$203,MATCH(4,'كشف الحساب'!$M$4:$M$203,0)),"")</f>
        <v>40505</v>
      </c>
      <c r="C110" s="27" t="str">
        <f>IFERROR(INDEX('كشف الحساب'!$C$4:$C$203,MATCH(4,'كشف الحساب'!$M$4:$M$203,0)),"")</f>
        <v>احواض حجم 14سم عدد 2000</v>
      </c>
      <c r="D110" s="28">
        <f>IFERROR(INDEX('كشف الحساب'!$D$4:$D$203,MATCH(4,'كشف الحساب'!$M$4:$M$203,0)),"")</f>
        <v>40</v>
      </c>
      <c r="E110" s="29" t="s">
        <v>6</v>
      </c>
      <c r="F110" s="30" t="str">
        <f>IFERROR(INDEX('كشف الحساب'!$I$4:$I$203,MATCH(4,'كشف الحساب'!$M$4:$M$203,0)),"")</f>
        <v>أحواض وأدوات</v>
      </c>
      <c r="G110" s="31"/>
      <c r="H110" t="str">
        <f>IF(AND(OR('طباعة المحفظة'!$C$2="الكل",IFERROR(MONTH(A110),0)=IFERROR(MATCH('طباعة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المحفظة'!$F$2="الكل",IFERROR(YEAR(A110),0)=IFERROR(VALUE('طباعة المحفظة'!$F$2),0)),A110&lt;&gt;""),IFERROR(MAX($H$107:H109),0)+1,"")</f>
        <v/>
      </c>
    </row>
    <row r="111" spans="1:8" ht="18" customHeight="1">
      <c r="A111" s="18">
        <f>IFERROR(INDEX('كشف الحساب'!$A$4:$A$203,MATCH(5,'كشف الحساب'!$M$4:$M$203,0)),"")</f>
        <v>46142</v>
      </c>
      <c r="B111" s="19">
        <f>IFERROR(INDEX('كشف الحساب'!$B$4:$B$203,MATCH(5,'كشف الحساب'!$M$4:$M$203,0)),"")</f>
        <v>5370</v>
      </c>
      <c r="C111" s="20" t="str">
        <f>IFERROR(INDEX('كشف الحساب'!$C$4:$C$203,MATCH(5,'كشف الحساب'!$M$4:$M$203,0)),"")</f>
        <v>جبس لتغطيه المحميه</v>
      </c>
      <c r="D111" s="21">
        <f>IFERROR(INDEX('كشف الحساب'!$D$4:$D$203,MATCH(5,'كشف الحساب'!$M$4:$M$203,0)),"")</f>
        <v>3</v>
      </c>
      <c r="E111" s="22" t="s">
        <v>6</v>
      </c>
      <c r="F111" s="23" t="str">
        <f>IFERROR(INDEX('كشف الحساب'!$I$4:$I$203,MATCH(5,'كشف الحساب'!$M$4:$M$203,0)),"")</f>
        <v>مبيدات وأسمدة</v>
      </c>
      <c r="G111" s="24"/>
      <c r="H111" t="str">
        <f>IF(AND(OR('طباعة المحفظة'!$C$2="الكل",IFERROR(MONTH(A111),0)=IFERROR(MATCH('طباعة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المحفظة'!$F$2="الكل",IFERROR(YEAR(A111),0)=IFERROR(VALUE('طباعة المحفظة'!$F$2),0)),A111&lt;&gt;""),IFERROR(MAX($H$107:H110),0)+1,"")</f>
        <v/>
      </c>
    </row>
    <row r="112" spans="1:8" ht="18" customHeight="1">
      <c r="A112" s="25">
        <f>IFERROR(INDEX('كشف الحساب'!$A$4:$A$203,MATCH(6,'كشف الحساب'!$M$4:$M$203,0)),"")</f>
        <v>46151</v>
      </c>
      <c r="B112" s="26" t="str">
        <f>IFERROR(INDEX('كشف الحساب'!$B$4:$B$203,MATCH(6,'كشف الحساب'!$M$4:$M$203,0)),"")</f>
        <v>Inv-013</v>
      </c>
      <c r="C112" s="27" t="str">
        <f>IFERROR(INDEX('كشف الحساب'!$C$4:$C$203,MATCH(6,'كشف الحساب'!$M$4:$M$203,0)),"")</f>
        <v>فل عدد 21 سعر الحبه .0.750</v>
      </c>
      <c r="D112" s="28">
        <f>IFERROR(INDEX('كشف الحساب'!$D$4:$D$203,MATCH(6,'كشف الحساب'!$M$4:$M$203,0)),"")</f>
        <v>0</v>
      </c>
      <c r="E112" s="29" t="s">
        <v>6</v>
      </c>
      <c r="F112" s="30">
        <f>IFERROR(INDEX('كشف الحساب'!$I$4:$I$203,MATCH(6,'كشف الحساب'!$M$4:$M$203,0)),"")</f>
        <v>0</v>
      </c>
      <c r="G112" s="31"/>
      <c r="H112" t="str">
        <f>IF(AND(OR('طباعة المحفظة'!$C$2="الكل",IFERROR(MONTH(A112),0)=IFERROR(MATCH('طباعة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المحفظة'!$F$2="الكل",IFERROR(YEAR(A112),0)=IFERROR(VALUE('طباعة المحفظة'!$F$2),0)),A112&lt;&gt;""),IFERROR(MAX($H$107:H111),0)+1,"")</f>
        <v/>
      </c>
    </row>
    <row r="113" spans="1:8" ht="18" customHeight="1">
      <c r="A113" s="18">
        <f>IFERROR(INDEX('كشف الحساب'!$A$4:$A$203,MATCH(7,'كشف الحساب'!$M$4:$M$203,0)),"")</f>
        <v>46161</v>
      </c>
      <c r="B113" s="19" t="str">
        <f>IFERROR(INDEX('كشف الحساب'!$B$4:$B$203,MATCH(7,'كشف الحساب'!$M$4:$M$203,0)),"")</f>
        <v>Inv-30</v>
      </c>
      <c r="C113" s="20" t="str">
        <f>IFERROR(INDEX('كشف الحساب'!$C$4:$C$203,MATCH(7,'كشف الحساب'!$M$4:$M$203,0)),"")</f>
        <v>فل عدد 30 الحبه 0.750</v>
      </c>
      <c r="D113" s="21">
        <f>IFERROR(INDEX('كشف الحساب'!$D$4:$D$203,MATCH(7,'كشف الحساب'!$M$4:$M$203,0)),"")</f>
        <v>0</v>
      </c>
      <c r="E113" s="22" t="s">
        <v>6</v>
      </c>
      <c r="F113" s="23">
        <f>IFERROR(INDEX('كشف الحساب'!$I$4:$I$203,MATCH(7,'كشف الحساب'!$M$4:$M$203,0)),"")</f>
        <v>0</v>
      </c>
      <c r="G113" s="24"/>
      <c r="H113" t="str">
        <f>IF(AND(OR('طباعة المحفظة'!$C$2="الكل",IFERROR(MONTH(A113),0)=IFERROR(MATCH('طباعة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المحفظة'!$F$2="الكل",IFERROR(YEAR(A113),0)=IFERROR(VALUE('طباعة المحفظة'!$F$2),0)),A113&lt;&gt;""),IFERROR(MAX($H$107:H112),0)+1,"")</f>
        <v/>
      </c>
    </row>
    <row r="114" spans="1:8" ht="18" customHeight="1">
      <c r="A114" s="25">
        <f>IFERROR(INDEX('كشف الحساب'!$A$4:$A$203,MATCH(8,'كشف الحساب'!$M$4:$M$203,0)),"")</f>
        <v>46175</v>
      </c>
      <c r="B114" s="26" t="str">
        <f>IFERROR(INDEX('كشف الحساب'!$B$4:$B$203,MATCH(8,'كشف الحساب'!$M$4:$M$203,0)),"")</f>
        <v>Inv-53</v>
      </c>
      <c r="C114" s="27" t="str">
        <f>IFERROR(INDEX('كشف الحساب'!$C$4:$C$203,MATCH(8,'كشف الحساب'!$M$4:$M$203,0)),"")</f>
        <v>فل عدد 24 الحبه .750</v>
      </c>
      <c r="D114" s="28">
        <f>IFERROR(INDEX('كشف الحساب'!$D$4:$D$203,MATCH(8,'كشف الحساب'!$M$4:$M$203,0)),"")</f>
        <v>0</v>
      </c>
      <c r="E114" s="29" t="s">
        <v>6</v>
      </c>
      <c r="F114" s="30">
        <f>IFERROR(INDEX('كشف الحساب'!$I$4:$I$203,MATCH(8,'كشف الحساب'!$M$4:$M$203,0)),"")</f>
        <v>0</v>
      </c>
      <c r="G114" s="31"/>
      <c r="H114">
        <f>IF(AND(OR('طباعة المحفظة'!$C$2="الكل",IFERROR(MONTH(A114),0)=IFERROR(MATCH('طباعة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المحفظة'!$F$2="الكل",IFERROR(YEAR(A114),0)=IFERROR(VALUE('طباعة المحفظة'!$F$2),0)),A114&lt;&gt;""),IFERROR(MAX($H$107:H113),0)+1,"")</f>
        <v>1</v>
      </c>
    </row>
    <row r="115" spans="1:8" ht="18" customHeight="1">
      <c r="A115" s="18">
        <f>IFERROR(INDEX('كشف الحساب'!$A$4:$A$203,MATCH(9,'كشف الحساب'!$M$4:$M$203,0)),"")</f>
        <v>46177</v>
      </c>
      <c r="B115" s="19">
        <f>IFERROR(INDEX('كشف الحساب'!$B$4:$B$203,MATCH(9,'كشف الحساب'!$M$4:$M$203,0)),"")</f>
        <v>0</v>
      </c>
      <c r="C115" s="20" t="str">
        <f>IFERROR(INDEX('كشف الحساب'!$C$4:$C$203,MATCH(9,'كشف الحساب'!$M$4:$M$203,0)),"")</f>
        <v>تاير لعربة الرش</v>
      </c>
      <c r="D115" s="21">
        <f>IFERROR(INDEX('كشف الحساب'!$D$4:$D$203,MATCH(9,'كشف الحساب'!$M$4:$M$203,0)),"")</f>
        <v>3.25</v>
      </c>
      <c r="E115" s="22" t="s">
        <v>6</v>
      </c>
      <c r="F115" s="23">
        <f>IFERROR(INDEX('كشف الحساب'!$I$4:$I$203,MATCH(9,'كشف الحساب'!$M$4:$M$203,0)),"")</f>
        <v>0</v>
      </c>
      <c r="G115" s="24"/>
      <c r="H115">
        <f>IF(AND(OR('طباعة المحفظة'!$C$2="الكل",IFERROR(MONTH(A115),0)=IFERROR(MATCH('طباعة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المحفظة'!$F$2="الكل",IFERROR(YEAR(A115),0)=IFERROR(VALUE('طباعة المحفظة'!$F$2),0)),A115&lt;&gt;""),IFERROR(MAX($H$107:H114),0)+1,"")</f>
        <v>2</v>
      </c>
    </row>
    <row r="116" spans="1:8" ht="18" customHeight="1">
      <c r="A116" s="25">
        <f>IFERROR(INDEX('كشف الحساب'!$A$4:$A$203,MATCH(10,'كشف الحساب'!$M$4:$M$203,0)),"")</f>
        <v>46177</v>
      </c>
      <c r="B116" s="26">
        <f>IFERROR(INDEX('كشف الحساب'!$B$4:$B$203,MATCH(10,'كشف الحساب'!$M$4:$M$203,0)),"")</f>
        <v>0</v>
      </c>
      <c r="C116" s="27" t="str">
        <f>IFERROR(INDEX('كشف الحساب'!$C$4:$C$203,MATCH(10,'كشف الحساب'!$M$4:$M$203,0)),"")</f>
        <v>حفاره خلط السماد</v>
      </c>
      <c r="D116" s="28">
        <f>IFERROR(INDEX('كشف الحساب'!$D$4:$D$203,MATCH(10,'كشف الحساب'!$M$4:$M$203,0)),"")</f>
        <v>12</v>
      </c>
      <c r="E116" s="29" t="s">
        <v>6</v>
      </c>
      <c r="F116" s="30">
        <f>IFERROR(INDEX('كشف الحساب'!$I$4:$I$203,MATCH(10,'كشف الحساب'!$M$4:$M$203,0)),"")</f>
        <v>0</v>
      </c>
      <c r="G116" s="31"/>
      <c r="H116">
        <f>IF(AND(OR('طباعة المحفظة'!$C$2="الكل",IFERROR(MONTH(A116),0)=IFERROR(MATCH('طباعة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المحفظة'!$F$2="الكل",IFERROR(YEAR(A116),0)=IFERROR(VALUE('طباعة المحفظة'!$F$2),0)),A116&lt;&gt;""),IFERROR(MAX($H$107:H115),0)+1,"")</f>
        <v>3</v>
      </c>
    </row>
    <row r="117" spans="1:8" ht="18" customHeight="1">
      <c r="A117" s="18">
        <f>IFERROR(INDEX('كشف الحساب'!$A$4:$A$203,MATCH(11,'كشف الحساب'!$M$4:$M$203,0)),"")</f>
        <v>46179</v>
      </c>
      <c r="B117" s="19" t="str">
        <f>IFERROR(INDEX('كشف الحساب'!$B$4:$B$203,MATCH(11,'كشف الحساب'!$M$4:$M$203,0)),"")</f>
        <v>Inv-58</v>
      </c>
      <c r="C117" s="20" t="str">
        <f>IFERROR(INDEX('كشف الحساب'!$C$4:$C$203,MATCH(11,'كشف الحساب'!$M$4:$M$203,0)),"")</f>
        <v>دارسينا عدد3 بقيمه 1 للحبه</v>
      </c>
      <c r="D117" s="21">
        <f>IFERROR(INDEX('كشف الحساب'!$D$4:$D$203,MATCH(11,'كشف الحساب'!$M$4:$M$203,0)),"")</f>
        <v>0</v>
      </c>
      <c r="E117" s="22" t="s">
        <v>6</v>
      </c>
      <c r="F117" s="23">
        <f>IFERROR(INDEX('كشف الحساب'!$I$4:$I$203,MATCH(11,'كشف الحساب'!$M$4:$M$203,0)),"")</f>
        <v>0</v>
      </c>
      <c r="G117" s="24"/>
      <c r="H117">
        <f>IF(AND(OR('طباعة المحفظة'!$C$2="الكل",IFERROR(MONTH(A117),0)=IFERROR(MATCH('طباعة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المحفظة'!$F$2="الكل",IFERROR(YEAR(A117),0)=IFERROR(VALUE('طباعة المحفظة'!$F$2),0)),A117&lt;&gt;""),IFERROR(MAX($H$107:H116),0)+1,"")</f>
        <v>4</v>
      </c>
    </row>
    <row r="118" spans="1:8" ht="18" customHeight="1">
      <c r="A118" s="25">
        <f>IFERROR(INDEX('كشف الحساب'!$A$4:$A$203,MATCH(12,'كشف الحساب'!$M$4:$M$203,0)),"")</f>
        <v>46181</v>
      </c>
      <c r="B118" s="26">
        <f>IFERROR(INDEX('كشف الحساب'!$B$4:$B$203,MATCH(12,'كشف الحساب'!$M$4:$M$203,0)),"")</f>
        <v>0</v>
      </c>
      <c r="C118" s="27" t="str">
        <f>IFERROR(INDEX('كشف الحساب'!$C$4:$C$203,MATCH(12,'كشف الحساب'!$M$4:$M$203,0)),"")</f>
        <v>حديد اسود للمحميه الصغيره الجديده</v>
      </c>
      <c r="D118" s="28">
        <f>IFERROR(INDEX('كشف الحساب'!$D$4:$D$203,MATCH(12,'كشف الحساب'!$M$4:$M$203,0)),"")</f>
        <v>46.75</v>
      </c>
      <c r="E118" s="29" t="s">
        <v>6</v>
      </c>
      <c r="F118" s="30">
        <f>IFERROR(INDEX('كشف الحساب'!$I$4:$I$203,MATCH(12,'كشف الحساب'!$M$4:$M$203,0)),"")</f>
        <v>0</v>
      </c>
      <c r="G118" s="31"/>
      <c r="H118">
        <f>IF(AND(OR('طباعة المحفظة'!$C$2="الكل",IFERROR(MONTH(A118),0)=IFERROR(MATCH('طباعة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المحفظة'!$F$2="الكل",IFERROR(YEAR(A118),0)=IFERROR(VALUE('طباعة المحفظة'!$F$2),0)),A118&lt;&gt;""),IFERROR(MAX($H$107:H117),0)+1,"")</f>
        <v>5</v>
      </c>
    </row>
    <row r="119" spans="1:8" ht="18" customHeight="1">
      <c r="A119" s="18">
        <f>IFERROR(INDEX('كشف الحساب'!$A$4:$A$203,MATCH(13,'كشف الحساب'!$M$4:$M$203,0)),"")</f>
        <v>46182</v>
      </c>
      <c r="B119" s="19" t="str">
        <f>IFERROR(INDEX('كشف الحساب'!$B$4:$B$203,MATCH(13,'كشف الحساب'!$M$4:$M$203,0)),"")</f>
        <v>Inv-62</v>
      </c>
      <c r="C119" s="20" t="str">
        <f>IFERROR(INDEX('كشف الحساب'!$C$4:$C$203,MATCH(13,'كشف الحساب'!$M$4:$M$203,0)),"")</f>
        <v>فل عدد 30 الحبه 0.750</v>
      </c>
      <c r="D119" s="21">
        <f>IFERROR(INDEX('كشف الحساب'!$D$4:$D$203,MATCH(13,'كشف الحساب'!$M$4:$M$203,0)),"")</f>
        <v>0</v>
      </c>
      <c r="E119" s="22" t="s">
        <v>6</v>
      </c>
      <c r="F119" s="23">
        <f>IFERROR(INDEX('كشف الحساب'!$I$4:$I$203,MATCH(13,'كشف الحساب'!$M$4:$M$203,0)),"")</f>
        <v>0</v>
      </c>
      <c r="G119" s="24"/>
      <c r="H119">
        <f>IF(AND(OR('طباعة المحفظة'!$C$2="الكل",IFERROR(MONTH(A119),0)=IFERROR(MATCH('طباعة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المحفظة'!$F$2="الكل",IFERROR(YEAR(A119),0)=IFERROR(VALUE('طباعة المحفظة'!$F$2),0)),A119&lt;&gt;""),IFERROR(MAX($H$107:H118),0)+1,"")</f>
        <v>6</v>
      </c>
    </row>
    <row r="120" spans="1:8" ht="18" customHeight="1">
      <c r="A120" s="25">
        <f>IFERROR(INDEX('كشف الحساب'!$A$4:$A$203,MATCH(14,'كشف الحساب'!$M$4:$M$203,0)),"")</f>
        <v>46184</v>
      </c>
      <c r="B120" s="26" t="str">
        <f>IFERROR(INDEX('كشف الحساب'!$B$4:$B$203,MATCH(14,'كشف الحساب'!$M$4:$M$203,0)),"")</f>
        <v>Inv-63</v>
      </c>
      <c r="C120" s="27" t="str">
        <f>IFERROR(INDEX('كشف الحساب'!$C$4:$C$203,MATCH(14,'كشف الحساب'!$M$4:$M$203,0)),"")</f>
        <v>فل عدد 20 بقيمه 0.750</v>
      </c>
      <c r="D120" s="28">
        <f>IFERROR(INDEX('كشف الحساب'!$D$4:$D$203,MATCH(14,'كشف الحساب'!$M$4:$M$203,0)),"")</f>
        <v>0</v>
      </c>
      <c r="E120" s="29" t="s">
        <v>6</v>
      </c>
      <c r="F120" s="30">
        <f>IFERROR(INDEX('كشف الحساب'!$I$4:$I$203,MATCH(14,'كشف الحساب'!$M$4:$M$203,0)),"")</f>
        <v>0</v>
      </c>
      <c r="G120" s="31"/>
      <c r="H120">
        <f>IF(AND(OR('طباعة المحفظة'!$C$2="الكل",IFERROR(MONTH(A120),0)=IFERROR(MATCH('طباعة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المحفظة'!$F$2="الكل",IFERROR(YEAR(A120),0)=IFERROR(VALUE('طباعة المحفظة'!$F$2),0)),A120&lt;&gt;""),IFERROR(MAX($H$107:H119),0)+1,"")</f>
        <v>7</v>
      </c>
    </row>
    <row r="121" spans="1:8" ht="18" customHeight="1">
      <c r="A121" s="18">
        <f>IFERROR(INDEX('كشف الحساب'!$A$4:$A$203,MATCH(15,'كشف الحساب'!$M$4:$M$203,0)),"")</f>
        <v>46186</v>
      </c>
      <c r="B121" s="19" t="str">
        <f>IFERROR(INDEX('كشف الحساب'!$B$4:$B$203,MATCH(15,'كشف الحساب'!$M$4:$M$203,0)),"")</f>
        <v>Inv-64</v>
      </c>
      <c r="C121" s="20" t="str">
        <f>IFERROR(INDEX('كشف الحساب'!$C$4:$C$203,MATCH(15,'كشف الحساب'!$M$4:$M$203,0)),"")</f>
        <v>معلقات عدد 10 الحبه 1</v>
      </c>
      <c r="D121" s="21">
        <f>IFERROR(INDEX('كشف الحساب'!$D$4:$D$203,MATCH(15,'كشف الحساب'!$M$4:$M$203,0)),"")</f>
        <v>0</v>
      </c>
      <c r="E121" s="22" t="s">
        <v>6</v>
      </c>
      <c r="F121" s="23">
        <f>IFERROR(INDEX('كشف الحساب'!$I$4:$I$203,MATCH(15,'كشف الحساب'!$M$4:$M$203,0)),"")</f>
        <v>0</v>
      </c>
      <c r="G121" s="24"/>
      <c r="H121">
        <f>IF(AND(OR('طباعة المحفظة'!$C$2="الكل",IFERROR(MONTH(A121),0)=IFERROR(MATCH('طباعة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المحفظة'!$F$2="الكل",IFERROR(YEAR(A121),0)=IFERROR(VALUE('طباعة المحفظة'!$F$2),0)),A121&lt;&gt;""),IFERROR(MAX($H$107:H120),0)+1,"")</f>
        <v>8</v>
      </c>
    </row>
    <row r="122" spans="1:8" ht="18" customHeight="1">
      <c r="A122" s="25">
        <f>IFERROR(INDEX('كشف الحساب'!$A$4:$A$203,MATCH(16,'كشف الحساب'!$M$4:$M$203,0)),"")</f>
        <v>0</v>
      </c>
      <c r="B122" s="26">
        <f>IFERROR(INDEX('كشف الحساب'!$B$4:$B$203,MATCH(16,'كشف الحساب'!$M$4:$M$203,0)),"")</f>
        <v>0</v>
      </c>
      <c r="C122" s="27">
        <f>IFERROR(INDEX('كشف الحساب'!$C$4:$C$203,MATCH(16,'كشف الحساب'!$M$4:$M$203,0)),"")</f>
        <v>0</v>
      </c>
      <c r="D122" s="28">
        <f>IFERROR(INDEX('كشف الحساب'!$D$4:$D$203,MATCH(16,'كشف الحساب'!$M$4:$M$203,0)),"")</f>
        <v>0</v>
      </c>
      <c r="E122" s="29" t="s">
        <v>6</v>
      </c>
      <c r="F122" s="30">
        <f>IFERROR(INDEX('كشف الحساب'!$I$4:$I$203,MATCH(16,'كشف الحساب'!$M$4:$M$203,0)),"")</f>
        <v>0</v>
      </c>
      <c r="G122" s="31"/>
      <c r="H122" t="str">
        <f>IF(AND(OR('طباعة المحفظة'!$C$2="الكل",IFERROR(MONTH(A122),0)=IFERROR(MATCH('طباعة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المحفظة'!$F$2="الكل",IFERROR(YEAR(A122),0)=IFERROR(VALUE('طباعة المحفظة'!$F$2),0)),A122&lt;&gt;""),IFERROR(MAX($H$107:H121),0)+1,"")</f>
        <v/>
      </c>
    </row>
    <row r="123" spans="1:8" ht="18" customHeight="1">
      <c r="A123" s="18" t="str">
        <f>IFERROR(INDEX('كشف الحساب'!$A$4:$A$203,MATCH(17,'كشف الحساب'!$M$4:$M$203,0)),"")</f>
        <v/>
      </c>
      <c r="B123" s="19" t="str">
        <f>IFERROR(INDEX('كشف الحساب'!$B$4:$B$203,MATCH(17,'كشف الحساب'!$M$4:$M$203,0)),"")</f>
        <v/>
      </c>
      <c r="C123" s="20" t="str">
        <f>IFERROR(INDEX('كشف الحساب'!$C$4:$C$203,MATCH(17,'كشف الحساب'!$M$4:$M$203,0)),"")</f>
        <v/>
      </c>
      <c r="D123" s="21" t="str">
        <f>IFERROR(INDEX('كشف الحساب'!$D$4:$D$203,MATCH(17,'كشف الحساب'!$M$4:$M$203,0)),"")</f>
        <v/>
      </c>
      <c r="E123" s="22" t="s">
        <v>6</v>
      </c>
      <c r="F123" s="23" t="str">
        <f>IFERROR(INDEX('كشف الحساب'!$I$4:$I$203,MATCH(17,'كشف الحساب'!$M$4:$M$203,0)),"")</f>
        <v/>
      </c>
      <c r="G123" s="24"/>
      <c r="H123" t="str">
        <f>IF(AND(OR('طباعة المحفظة'!$C$2="الكل",IFERROR(MONTH(A123),0)=IFERROR(MATCH('طباعة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المحفظة'!$F$2="الكل",IFERROR(YEAR(A123),0)=IFERROR(VALUE('طباعة المحفظة'!$F$2),0)),A123&lt;&gt;""),IFERROR(MAX($H$107:H122),0)+1,"")</f>
        <v/>
      </c>
    </row>
    <row r="124" spans="1:8" ht="18" customHeight="1">
      <c r="A124" s="25" t="str">
        <f>IFERROR(INDEX('كشف الحساب'!$A$4:$A$203,MATCH(18,'كشف الحساب'!$M$4:$M$203,0)),"")</f>
        <v/>
      </c>
      <c r="B124" s="26" t="str">
        <f>IFERROR(INDEX('كشف الحساب'!$B$4:$B$203,MATCH(18,'كشف الحساب'!$M$4:$M$203,0)),"")</f>
        <v/>
      </c>
      <c r="C124" s="27" t="str">
        <f>IFERROR(INDEX('كشف الحساب'!$C$4:$C$203,MATCH(18,'كشف الحساب'!$M$4:$M$203,0)),"")</f>
        <v/>
      </c>
      <c r="D124" s="28" t="str">
        <f>IFERROR(INDEX('كشف الحساب'!$D$4:$D$203,MATCH(18,'كشف الحساب'!$M$4:$M$203,0)),"")</f>
        <v/>
      </c>
      <c r="E124" s="29" t="s">
        <v>6</v>
      </c>
      <c r="F124" s="30" t="str">
        <f>IFERROR(INDEX('كشف الحساب'!$I$4:$I$203,MATCH(18,'كشف الحساب'!$M$4:$M$203,0)),"")</f>
        <v/>
      </c>
      <c r="G124" s="31"/>
      <c r="H124" t="str">
        <f>IF(AND(OR('طباعة المحفظة'!$C$2="الكل",IFERROR(MONTH(A124),0)=IFERROR(MATCH('طباعة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المحفظة'!$F$2="الكل",IFERROR(YEAR(A124),0)=IFERROR(VALUE('طباعة المحفظة'!$F$2),0)),A124&lt;&gt;""),IFERROR(MAX($H$107:H123),0)+1,"")</f>
        <v/>
      </c>
    </row>
    <row r="125" spans="1:8" ht="18" customHeight="1">
      <c r="A125" s="18" t="str">
        <f>IFERROR(INDEX('كشف الحساب'!$A$4:$A$203,MATCH(19,'كشف الحساب'!$M$4:$M$203,0)),"")</f>
        <v/>
      </c>
      <c r="B125" s="19" t="str">
        <f>IFERROR(INDEX('كشف الحساب'!$B$4:$B$203,MATCH(19,'كشف الحساب'!$M$4:$M$203,0)),"")</f>
        <v/>
      </c>
      <c r="C125" s="20" t="str">
        <f>IFERROR(INDEX('كشف الحساب'!$C$4:$C$203,MATCH(19,'كشف الحساب'!$M$4:$M$203,0)),"")</f>
        <v/>
      </c>
      <c r="D125" s="21" t="str">
        <f>IFERROR(INDEX('كشف الحساب'!$D$4:$D$203,MATCH(19,'كشف الحساب'!$M$4:$M$203,0)),"")</f>
        <v/>
      </c>
      <c r="E125" s="22" t="s">
        <v>6</v>
      </c>
      <c r="F125" s="23" t="str">
        <f>IFERROR(INDEX('كشف الحساب'!$I$4:$I$203,MATCH(19,'كشف الحساب'!$M$4:$M$203,0)),"")</f>
        <v/>
      </c>
      <c r="G125" s="24"/>
      <c r="H125" t="str">
        <f>IF(AND(OR('طباعة المحفظة'!$C$2="الكل",IFERROR(MONTH(A125),0)=IFERROR(MATCH('طباعة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المحفظة'!$F$2="الكل",IFERROR(YEAR(A125),0)=IFERROR(VALUE('طباعة المحفظة'!$F$2),0)),A125&lt;&gt;""),IFERROR(MAX($H$107:H124),0)+1,"")</f>
        <v/>
      </c>
    </row>
    <row r="126" spans="1:8" ht="18" customHeight="1">
      <c r="A126" s="25" t="str">
        <f>IFERROR(INDEX('كشف الحساب'!$A$4:$A$203,MATCH(20,'كشف الحساب'!$M$4:$M$203,0)),"")</f>
        <v/>
      </c>
      <c r="B126" s="26" t="str">
        <f>IFERROR(INDEX('كشف الحساب'!$B$4:$B$203,MATCH(20,'كشف الحساب'!$M$4:$M$203,0)),"")</f>
        <v/>
      </c>
      <c r="C126" s="27" t="str">
        <f>IFERROR(INDEX('كشف الحساب'!$C$4:$C$203,MATCH(20,'كشف الحساب'!$M$4:$M$203,0)),"")</f>
        <v/>
      </c>
      <c r="D126" s="28" t="str">
        <f>IFERROR(INDEX('كشف الحساب'!$D$4:$D$203,MATCH(20,'كشف الحساب'!$M$4:$M$203,0)),"")</f>
        <v/>
      </c>
      <c r="E126" s="29" t="s">
        <v>6</v>
      </c>
      <c r="F126" s="30" t="str">
        <f>IFERROR(INDEX('كشف الحساب'!$I$4:$I$203,MATCH(20,'كشف الحساب'!$M$4:$M$203,0)),"")</f>
        <v/>
      </c>
      <c r="G126" s="31"/>
      <c r="H126" t="str">
        <f>IF(AND(OR('طباعة المحفظة'!$C$2="الكل",IFERROR(MONTH(A126),0)=IFERROR(MATCH('طباعة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المحفظة'!$F$2="الكل",IFERROR(YEAR(A126),0)=IFERROR(VALUE('طباعة المحفظة'!$F$2),0)),A126&lt;&gt;""),IFERROR(MAX($H$107:H125),0)+1,"")</f>
        <v/>
      </c>
    </row>
    <row r="127" spans="1:8" ht="18" customHeight="1">
      <c r="A127" s="18" t="str">
        <f>IFERROR(INDEX('كشف الحساب'!$A$4:$A$203,MATCH(21,'كشف الحساب'!$M$4:$M$203,0)),"")</f>
        <v/>
      </c>
      <c r="B127" s="19" t="str">
        <f>IFERROR(INDEX('كشف الحساب'!$B$4:$B$203,MATCH(21,'كشف الحساب'!$M$4:$M$203,0)),"")</f>
        <v/>
      </c>
      <c r="C127" s="20" t="str">
        <f>IFERROR(INDEX('كشف الحساب'!$C$4:$C$203,MATCH(21,'كشف الحساب'!$M$4:$M$203,0)),"")</f>
        <v/>
      </c>
      <c r="D127" s="21" t="str">
        <f>IFERROR(INDEX('كشف الحساب'!$D$4:$D$203,MATCH(21,'كشف الحساب'!$M$4:$M$203,0)),"")</f>
        <v/>
      </c>
      <c r="E127" s="22" t="s">
        <v>6</v>
      </c>
      <c r="F127" s="23" t="str">
        <f>IFERROR(INDEX('كشف الحساب'!$I$4:$I$203,MATCH(21,'كشف الحساب'!$M$4:$M$203,0)),"")</f>
        <v/>
      </c>
      <c r="G127" s="24"/>
      <c r="H127" t="str">
        <f>IF(AND(OR('طباعة المحفظة'!$C$2="الكل",IFERROR(MONTH(A127),0)=IFERROR(MATCH('طباعة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المحفظة'!$F$2="الكل",IFERROR(YEAR(A127),0)=IFERROR(VALUE('طباعة المحفظة'!$F$2),0)),A127&lt;&gt;""),IFERROR(MAX($H$107:H126),0)+1,"")</f>
        <v/>
      </c>
    </row>
    <row r="128" spans="1:8" ht="18" customHeight="1">
      <c r="A128" s="25" t="str">
        <f>IFERROR(INDEX('كشف الحساب'!$A$4:$A$203,MATCH(22,'كشف الحساب'!$M$4:$M$203,0)),"")</f>
        <v/>
      </c>
      <c r="B128" s="26" t="str">
        <f>IFERROR(INDEX('كشف الحساب'!$B$4:$B$203,MATCH(22,'كشف الحساب'!$M$4:$M$203,0)),"")</f>
        <v/>
      </c>
      <c r="C128" s="27" t="str">
        <f>IFERROR(INDEX('كشف الحساب'!$C$4:$C$203,MATCH(22,'كشف الحساب'!$M$4:$M$203,0)),"")</f>
        <v/>
      </c>
      <c r="D128" s="28" t="str">
        <f>IFERROR(INDEX('كشف الحساب'!$D$4:$D$203,MATCH(22,'كشف الحساب'!$M$4:$M$203,0)),"")</f>
        <v/>
      </c>
      <c r="E128" s="29" t="s">
        <v>6</v>
      </c>
      <c r="F128" s="30" t="str">
        <f>IFERROR(INDEX('كشف الحساب'!$I$4:$I$203,MATCH(22,'كشف الحساب'!$M$4:$M$203,0)),"")</f>
        <v/>
      </c>
      <c r="G128" s="31"/>
      <c r="H128" t="str">
        <f>IF(AND(OR('طباعة المحفظة'!$C$2="الكل",IFERROR(MONTH(A128),0)=IFERROR(MATCH('طباعة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المحفظة'!$F$2="الكل",IFERROR(YEAR(A128),0)=IFERROR(VALUE('طباعة المحفظة'!$F$2),0)),A128&lt;&gt;""),IFERROR(MAX($H$107:H127),0)+1,"")</f>
        <v/>
      </c>
    </row>
    <row r="129" spans="1:8" ht="18" customHeight="1">
      <c r="A129" s="18" t="str">
        <f>IFERROR(INDEX('كشف الحساب'!$A$4:$A$203,MATCH(23,'كشف الحساب'!$M$4:$M$203,0)),"")</f>
        <v/>
      </c>
      <c r="B129" s="19" t="str">
        <f>IFERROR(INDEX('كشف الحساب'!$B$4:$B$203,MATCH(23,'كشف الحساب'!$M$4:$M$203,0)),"")</f>
        <v/>
      </c>
      <c r="C129" s="20" t="str">
        <f>IFERROR(INDEX('كشف الحساب'!$C$4:$C$203,MATCH(23,'كشف الحساب'!$M$4:$M$203,0)),"")</f>
        <v/>
      </c>
      <c r="D129" s="21" t="str">
        <f>IFERROR(INDEX('كشف الحساب'!$D$4:$D$203,MATCH(23,'كشف الحساب'!$M$4:$M$203,0)),"")</f>
        <v/>
      </c>
      <c r="E129" s="22" t="s">
        <v>6</v>
      </c>
      <c r="F129" s="23" t="str">
        <f>IFERROR(INDEX('كشف الحساب'!$I$4:$I$203,MATCH(23,'كشف الحساب'!$M$4:$M$203,0)),"")</f>
        <v/>
      </c>
      <c r="G129" s="24"/>
      <c r="H129" t="str">
        <f>IF(AND(OR('طباعة المحفظة'!$C$2="الكل",IFERROR(MONTH(A129),0)=IFERROR(MATCH('طباعة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المحفظة'!$F$2="الكل",IFERROR(YEAR(A129),0)=IFERROR(VALUE('طباعة المحفظة'!$F$2),0)),A129&lt;&gt;""),IFERROR(MAX($H$107:H128),0)+1,"")</f>
        <v/>
      </c>
    </row>
    <row r="130" spans="1:8" ht="18" customHeight="1">
      <c r="A130" s="25" t="str">
        <f>IFERROR(INDEX('كشف الحساب'!$A$4:$A$203,MATCH(24,'كشف الحساب'!$M$4:$M$203,0)),"")</f>
        <v/>
      </c>
      <c r="B130" s="26" t="str">
        <f>IFERROR(INDEX('كشف الحساب'!$B$4:$B$203,MATCH(24,'كشف الحساب'!$M$4:$M$203,0)),"")</f>
        <v/>
      </c>
      <c r="C130" s="27" t="str">
        <f>IFERROR(INDEX('كشف الحساب'!$C$4:$C$203,MATCH(24,'كشف الحساب'!$M$4:$M$203,0)),"")</f>
        <v/>
      </c>
      <c r="D130" s="28" t="str">
        <f>IFERROR(INDEX('كشف الحساب'!$D$4:$D$203,MATCH(24,'كشف الحساب'!$M$4:$M$203,0)),"")</f>
        <v/>
      </c>
      <c r="E130" s="29" t="s">
        <v>6</v>
      </c>
      <c r="F130" s="30" t="str">
        <f>IFERROR(INDEX('كشف الحساب'!$I$4:$I$203,MATCH(24,'كشف الحساب'!$M$4:$M$203,0)),"")</f>
        <v/>
      </c>
      <c r="G130" s="31"/>
      <c r="H130" t="str">
        <f>IF(AND(OR('طباعة المحفظة'!$C$2="الكل",IFERROR(MONTH(A130),0)=IFERROR(MATCH('طباعة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المحفظة'!$F$2="الكل",IFERROR(YEAR(A130),0)=IFERROR(VALUE('طباعة المحفظة'!$F$2),0)),A130&lt;&gt;""),IFERROR(MAX($H$107:H129),0)+1,"")</f>
        <v/>
      </c>
    </row>
    <row r="131" spans="1:8" ht="18" customHeight="1">
      <c r="A131" s="18" t="str">
        <f>IFERROR(INDEX('كشف الحساب'!$A$4:$A$203,MATCH(25,'كشف الحساب'!$M$4:$M$203,0)),"")</f>
        <v/>
      </c>
      <c r="B131" s="19" t="str">
        <f>IFERROR(INDEX('كشف الحساب'!$B$4:$B$203,MATCH(25,'كشف الحساب'!$M$4:$M$203,0)),"")</f>
        <v/>
      </c>
      <c r="C131" s="20" t="str">
        <f>IFERROR(INDEX('كشف الحساب'!$C$4:$C$203,MATCH(25,'كشف الحساب'!$M$4:$M$203,0)),"")</f>
        <v/>
      </c>
      <c r="D131" s="21" t="str">
        <f>IFERROR(INDEX('كشف الحساب'!$D$4:$D$203,MATCH(25,'كشف الحساب'!$M$4:$M$203,0)),"")</f>
        <v/>
      </c>
      <c r="E131" s="22" t="s">
        <v>6</v>
      </c>
      <c r="F131" s="23" t="str">
        <f>IFERROR(INDEX('كشف الحساب'!$I$4:$I$203,MATCH(25,'كشف الحساب'!$M$4:$M$203,0)),"")</f>
        <v/>
      </c>
      <c r="G131" s="24"/>
      <c r="H131" t="str">
        <f>IF(AND(OR('طباعة المحفظة'!$C$2="الكل",IFERROR(MONTH(A131),0)=IFERROR(MATCH('طباعة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المحفظة'!$F$2="الكل",IFERROR(YEAR(A131),0)=IFERROR(VALUE('طباعة المحفظة'!$F$2),0)),A131&lt;&gt;""),IFERROR(MAX($H$107:H130),0)+1,"")</f>
        <v/>
      </c>
    </row>
    <row r="132" spans="1:8" ht="18" customHeight="1">
      <c r="A132" s="25" t="str">
        <f>IFERROR(INDEX('كشف الحساب'!$A$4:$A$203,MATCH(26,'كشف الحساب'!$M$4:$M$203,0)),"")</f>
        <v/>
      </c>
      <c r="B132" s="26" t="str">
        <f>IFERROR(INDEX('كشف الحساب'!$B$4:$B$203,MATCH(26,'كشف الحساب'!$M$4:$M$203,0)),"")</f>
        <v/>
      </c>
      <c r="C132" s="27" t="str">
        <f>IFERROR(INDEX('كشف الحساب'!$C$4:$C$203,MATCH(26,'كشف الحساب'!$M$4:$M$203,0)),"")</f>
        <v/>
      </c>
      <c r="D132" s="28" t="str">
        <f>IFERROR(INDEX('كشف الحساب'!$D$4:$D$203,MATCH(26,'كشف الحساب'!$M$4:$M$203,0)),"")</f>
        <v/>
      </c>
      <c r="E132" s="29" t="s">
        <v>6</v>
      </c>
      <c r="F132" s="30" t="str">
        <f>IFERROR(INDEX('كشف الحساب'!$I$4:$I$203,MATCH(26,'كشف الحساب'!$M$4:$M$203,0)),"")</f>
        <v/>
      </c>
      <c r="G132" s="31"/>
      <c r="H132" t="str">
        <f>IF(AND(OR('طباعة المحفظة'!$C$2="الكل",IFERROR(MONTH(A132),0)=IFERROR(MATCH('طباعة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المحفظة'!$F$2="الكل",IFERROR(YEAR(A132),0)=IFERROR(VALUE('طباعة المحفظة'!$F$2),0)),A132&lt;&gt;""),IFERROR(MAX($H$107:H131),0)+1,"")</f>
        <v/>
      </c>
    </row>
    <row r="133" spans="1:8" ht="18" customHeight="1">
      <c r="A133" s="18" t="str">
        <f>IFERROR(INDEX('كشف الحساب'!$A$4:$A$203,MATCH(27,'كشف الحساب'!$M$4:$M$203,0)),"")</f>
        <v/>
      </c>
      <c r="B133" s="19" t="str">
        <f>IFERROR(INDEX('كشف الحساب'!$B$4:$B$203,MATCH(27,'كشف الحساب'!$M$4:$M$203,0)),"")</f>
        <v/>
      </c>
      <c r="C133" s="20" t="str">
        <f>IFERROR(INDEX('كشف الحساب'!$C$4:$C$203,MATCH(27,'كشف الحساب'!$M$4:$M$203,0)),"")</f>
        <v/>
      </c>
      <c r="D133" s="21" t="str">
        <f>IFERROR(INDEX('كشف الحساب'!$D$4:$D$203,MATCH(27,'كشف الحساب'!$M$4:$M$203,0)),"")</f>
        <v/>
      </c>
      <c r="E133" s="22" t="s">
        <v>6</v>
      </c>
      <c r="F133" s="23" t="str">
        <f>IFERROR(INDEX('كشف الحساب'!$I$4:$I$203,MATCH(27,'كشف الحساب'!$M$4:$M$203,0)),"")</f>
        <v/>
      </c>
      <c r="G133" s="24"/>
      <c r="H133" t="str">
        <f>IF(AND(OR('طباعة المحفظة'!$C$2="الكل",IFERROR(MONTH(A133),0)=IFERROR(MATCH('طباعة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المحفظة'!$F$2="الكل",IFERROR(YEAR(A133),0)=IFERROR(VALUE('طباعة المحفظة'!$F$2),0)),A133&lt;&gt;""),IFERROR(MAX($H$107:H132),0)+1,"")</f>
        <v/>
      </c>
    </row>
    <row r="134" spans="1:8" ht="18" customHeight="1">
      <c r="A134" s="25" t="str">
        <f>IFERROR(INDEX('كشف الحساب'!$A$4:$A$203,MATCH(28,'كشف الحساب'!$M$4:$M$203,0)),"")</f>
        <v/>
      </c>
      <c r="B134" s="26" t="str">
        <f>IFERROR(INDEX('كشف الحساب'!$B$4:$B$203,MATCH(28,'كشف الحساب'!$M$4:$M$203,0)),"")</f>
        <v/>
      </c>
      <c r="C134" s="27" t="str">
        <f>IFERROR(INDEX('كشف الحساب'!$C$4:$C$203,MATCH(28,'كشف الحساب'!$M$4:$M$203,0)),"")</f>
        <v/>
      </c>
      <c r="D134" s="28" t="str">
        <f>IFERROR(INDEX('كشف الحساب'!$D$4:$D$203,MATCH(28,'كشف الحساب'!$M$4:$M$203,0)),"")</f>
        <v/>
      </c>
      <c r="E134" s="29" t="s">
        <v>6</v>
      </c>
      <c r="F134" s="30" t="str">
        <f>IFERROR(INDEX('كشف الحساب'!$I$4:$I$203,MATCH(28,'كشف الحساب'!$M$4:$M$203,0)),"")</f>
        <v/>
      </c>
      <c r="G134" s="31"/>
      <c r="H134" t="str">
        <f>IF(AND(OR('طباعة المحفظة'!$C$2="الكل",IFERROR(MONTH(A134),0)=IFERROR(MATCH('طباعة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المحفظة'!$F$2="الكل",IFERROR(YEAR(A134),0)=IFERROR(VALUE('طباعة المحفظة'!$F$2),0)),A134&lt;&gt;""),IFERROR(MAX($H$107:H133),0)+1,"")</f>
        <v/>
      </c>
    </row>
    <row r="135" spans="1:8" ht="18" customHeight="1">
      <c r="A135" s="18" t="str">
        <f>IFERROR(INDEX('كشف الحساب'!$A$4:$A$203,MATCH(29,'كشف الحساب'!$M$4:$M$203,0)),"")</f>
        <v/>
      </c>
      <c r="B135" s="19" t="str">
        <f>IFERROR(INDEX('كشف الحساب'!$B$4:$B$203,MATCH(29,'كشف الحساب'!$M$4:$M$203,0)),"")</f>
        <v/>
      </c>
      <c r="C135" s="20" t="str">
        <f>IFERROR(INDEX('كشف الحساب'!$C$4:$C$203,MATCH(29,'كشف الحساب'!$M$4:$M$203,0)),"")</f>
        <v/>
      </c>
      <c r="D135" s="21" t="str">
        <f>IFERROR(INDEX('كشف الحساب'!$D$4:$D$203,MATCH(29,'كشف الحساب'!$M$4:$M$203,0)),"")</f>
        <v/>
      </c>
      <c r="E135" s="22" t="s">
        <v>6</v>
      </c>
      <c r="F135" s="23" t="str">
        <f>IFERROR(INDEX('كشف الحساب'!$I$4:$I$203,MATCH(29,'كشف الحساب'!$M$4:$M$203,0)),"")</f>
        <v/>
      </c>
      <c r="G135" s="24"/>
      <c r="H135" t="str">
        <f>IF(AND(OR('طباعة المحفظة'!$C$2="الكل",IFERROR(MONTH(A135),0)=IFERROR(MATCH('طباعة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المحفظة'!$F$2="الكل",IFERROR(YEAR(A135),0)=IFERROR(VALUE('طباعة المحفظة'!$F$2),0)),A135&lt;&gt;""),IFERROR(MAX($H$107:H134),0)+1,"")</f>
        <v/>
      </c>
    </row>
    <row r="136" spans="1:8" ht="18" customHeight="1">
      <c r="A136" s="25" t="str">
        <f>IFERROR(INDEX('كشف الحساب'!$A$4:$A$203,MATCH(30,'كشف الحساب'!$M$4:$M$203,0)),"")</f>
        <v/>
      </c>
      <c r="B136" s="26" t="str">
        <f>IFERROR(INDEX('كشف الحساب'!$B$4:$B$203,MATCH(30,'كشف الحساب'!$M$4:$M$203,0)),"")</f>
        <v/>
      </c>
      <c r="C136" s="27" t="str">
        <f>IFERROR(INDEX('كشف الحساب'!$C$4:$C$203,MATCH(30,'كشف الحساب'!$M$4:$M$203,0)),"")</f>
        <v/>
      </c>
      <c r="D136" s="28" t="str">
        <f>IFERROR(INDEX('كشف الحساب'!$D$4:$D$203,MATCH(30,'كشف الحساب'!$M$4:$M$203,0)),"")</f>
        <v/>
      </c>
      <c r="E136" s="29" t="s">
        <v>6</v>
      </c>
      <c r="F136" s="30" t="str">
        <f>IFERROR(INDEX('كشف الحساب'!$I$4:$I$203,MATCH(30,'كشف الحساب'!$M$4:$M$203,0)),"")</f>
        <v/>
      </c>
      <c r="G136" s="31"/>
      <c r="H136" t="str">
        <f>IF(AND(OR('طباعة المحفظة'!$C$2="الكل",IFERROR(MONTH(A136),0)=IFERROR(MATCH('طباعة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المحفظة'!$F$2="الكل",IFERROR(YEAR(A136),0)=IFERROR(VALUE('طباعة المحفظة'!$F$2),0)),A136&lt;&gt;""),IFERROR(MAX($H$107:H135),0)+1,"")</f>
        <v/>
      </c>
    </row>
    <row r="137" spans="1:8" ht="18" customHeight="1">
      <c r="A137" s="18" t="str">
        <f>IFERROR(INDEX('كشف الحساب'!$A$4:$A$203,MATCH(31,'كشف الحساب'!$M$4:$M$203,0)),"")</f>
        <v/>
      </c>
      <c r="B137" s="19" t="str">
        <f>IFERROR(INDEX('كشف الحساب'!$B$4:$B$203,MATCH(31,'كشف الحساب'!$M$4:$M$203,0)),"")</f>
        <v/>
      </c>
      <c r="C137" s="20" t="str">
        <f>IFERROR(INDEX('كشف الحساب'!$C$4:$C$203,MATCH(31,'كشف الحساب'!$M$4:$M$203,0)),"")</f>
        <v/>
      </c>
      <c r="D137" s="21" t="str">
        <f>IFERROR(INDEX('كشف الحساب'!$D$4:$D$203,MATCH(31,'كشف الحساب'!$M$4:$M$203,0)),"")</f>
        <v/>
      </c>
      <c r="E137" s="22" t="s">
        <v>6</v>
      </c>
      <c r="F137" s="23" t="str">
        <f>IFERROR(INDEX('كشف الحساب'!$I$4:$I$203,MATCH(31,'كشف الحساب'!$M$4:$M$203,0)),"")</f>
        <v/>
      </c>
      <c r="G137" s="24"/>
      <c r="H137" t="str">
        <f>IF(AND(OR('طباعة المحفظة'!$C$2="الكل",IFERROR(MONTH(A137),0)=IFERROR(MATCH('طباعة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المحفظة'!$F$2="الكل",IFERROR(YEAR(A137),0)=IFERROR(VALUE('طباعة المحفظة'!$F$2),0)),A137&lt;&gt;""),IFERROR(MAX($H$107:H136),0)+1,"")</f>
        <v/>
      </c>
    </row>
    <row r="138" spans="1:8" ht="18" customHeight="1">
      <c r="A138" s="25" t="str">
        <f>IFERROR(INDEX('كشف الحساب'!$A$4:$A$203,MATCH(32,'كشف الحساب'!$M$4:$M$203,0)),"")</f>
        <v/>
      </c>
      <c r="B138" s="26" t="str">
        <f>IFERROR(INDEX('كشف الحساب'!$B$4:$B$203,MATCH(32,'كشف الحساب'!$M$4:$M$203,0)),"")</f>
        <v/>
      </c>
      <c r="C138" s="27" t="str">
        <f>IFERROR(INDEX('كشف الحساب'!$C$4:$C$203,MATCH(32,'كشف الحساب'!$M$4:$M$203,0)),"")</f>
        <v/>
      </c>
      <c r="D138" s="28" t="str">
        <f>IFERROR(INDEX('كشف الحساب'!$D$4:$D$203,MATCH(32,'كشف الحساب'!$M$4:$M$203,0)),"")</f>
        <v/>
      </c>
      <c r="E138" s="29" t="s">
        <v>6</v>
      </c>
      <c r="F138" s="30" t="str">
        <f>IFERROR(INDEX('كشف الحساب'!$I$4:$I$203,MATCH(32,'كشف الحساب'!$M$4:$M$203,0)),"")</f>
        <v/>
      </c>
      <c r="G138" s="31"/>
      <c r="H138" t="str">
        <f>IF(AND(OR('طباعة المحفظة'!$C$2="الكل",IFERROR(MONTH(A138),0)=IFERROR(MATCH('طباعة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المحفظة'!$F$2="الكل",IFERROR(YEAR(A138),0)=IFERROR(VALUE('طباعة المحفظة'!$F$2),0)),A138&lt;&gt;""),IFERROR(MAX($H$107:H137),0)+1,"")</f>
        <v/>
      </c>
    </row>
    <row r="139" spans="1:8" ht="18" customHeight="1">
      <c r="A139" s="18" t="str">
        <f>IFERROR(INDEX('كشف الحساب'!$A$4:$A$203,MATCH(33,'كشف الحساب'!$M$4:$M$203,0)),"")</f>
        <v/>
      </c>
      <c r="B139" s="19" t="str">
        <f>IFERROR(INDEX('كشف الحساب'!$B$4:$B$203,MATCH(33,'كشف الحساب'!$M$4:$M$203,0)),"")</f>
        <v/>
      </c>
      <c r="C139" s="20" t="str">
        <f>IFERROR(INDEX('كشف الحساب'!$C$4:$C$203,MATCH(33,'كشف الحساب'!$M$4:$M$203,0)),"")</f>
        <v/>
      </c>
      <c r="D139" s="21" t="str">
        <f>IFERROR(INDEX('كشف الحساب'!$D$4:$D$203,MATCH(33,'كشف الحساب'!$M$4:$M$203,0)),"")</f>
        <v/>
      </c>
      <c r="E139" s="22" t="s">
        <v>6</v>
      </c>
      <c r="F139" s="23" t="str">
        <f>IFERROR(INDEX('كشف الحساب'!$I$4:$I$203,MATCH(33,'كشف الحساب'!$M$4:$M$203,0)),"")</f>
        <v/>
      </c>
      <c r="G139" s="24"/>
      <c r="H139" t="str">
        <f>IF(AND(OR('طباعة المحفظة'!$C$2="الكل",IFERROR(MONTH(A139),0)=IFERROR(MATCH('طباعة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المحفظة'!$F$2="الكل",IFERROR(YEAR(A139),0)=IFERROR(VALUE('طباعة المحفظة'!$F$2),0)),A139&lt;&gt;""),IFERROR(MAX($H$107:H138),0)+1,"")</f>
        <v/>
      </c>
    </row>
    <row r="140" spans="1:8" ht="18" customHeight="1">
      <c r="A140" s="25" t="str">
        <f>IFERROR(INDEX('كشف الحساب'!$A$4:$A$203,MATCH(34,'كشف الحساب'!$M$4:$M$203,0)),"")</f>
        <v/>
      </c>
      <c r="B140" s="26" t="str">
        <f>IFERROR(INDEX('كشف الحساب'!$B$4:$B$203,MATCH(34,'كشف الحساب'!$M$4:$M$203,0)),"")</f>
        <v/>
      </c>
      <c r="C140" s="27" t="str">
        <f>IFERROR(INDEX('كشف الحساب'!$C$4:$C$203,MATCH(34,'كشف الحساب'!$M$4:$M$203,0)),"")</f>
        <v/>
      </c>
      <c r="D140" s="28" t="str">
        <f>IFERROR(INDEX('كشف الحساب'!$D$4:$D$203,MATCH(34,'كشف الحساب'!$M$4:$M$203,0)),"")</f>
        <v/>
      </c>
      <c r="E140" s="29" t="s">
        <v>6</v>
      </c>
      <c r="F140" s="30" t="str">
        <f>IFERROR(INDEX('كشف الحساب'!$I$4:$I$203,MATCH(34,'كشف الحساب'!$M$4:$M$203,0)),"")</f>
        <v/>
      </c>
      <c r="G140" s="31"/>
      <c r="H140" t="str">
        <f>IF(AND(OR('طباعة المحفظة'!$C$2="الكل",IFERROR(MONTH(A140),0)=IFERROR(MATCH('طباعة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المحفظة'!$F$2="الكل",IFERROR(YEAR(A140),0)=IFERROR(VALUE('طباعة المحفظة'!$F$2),0)),A140&lt;&gt;""),IFERROR(MAX($H$107:H139),0)+1,"")</f>
        <v/>
      </c>
    </row>
    <row r="141" spans="1:8" ht="18" customHeight="1">
      <c r="A141" s="18" t="str">
        <f>IFERROR(INDEX('كشف الحساب'!$A$4:$A$203,MATCH(35,'كشف الحساب'!$M$4:$M$203,0)),"")</f>
        <v/>
      </c>
      <c r="B141" s="19" t="str">
        <f>IFERROR(INDEX('كشف الحساب'!$B$4:$B$203,MATCH(35,'كشف الحساب'!$M$4:$M$203,0)),"")</f>
        <v/>
      </c>
      <c r="C141" s="20" t="str">
        <f>IFERROR(INDEX('كشف الحساب'!$C$4:$C$203,MATCH(35,'كشف الحساب'!$M$4:$M$203,0)),"")</f>
        <v/>
      </c>
      <c r="D141" s="21" t="str">
        <f>IFERROR(INDEX('كشف الحساب'!$D$4:$D$203,MATCH(35,'كشف الحساب'!$M$4:$M$203,0)),"")</f>
        <v/>
      </c>
      <c r="E141" s="22" t="s">
        <v>6</v>
      </c>
      <c r="F141" s="23" t="str">
        <f>IFERROR(INDEX('كشف الحساب'!$I$4:$I$203,MATCH(35,'كشف الحساب'!$M$4:$M$203,0)),"")</f>
        <v/>
      </c>
      <c r="G141" s="24"/>
      <c r="H141" t="str">
        <f>IF(AND(OR('طباعة المحفظة'!$C$2="الكل",IFERROR(MONTH(A141),0)=IFERROR(MATCH('طباعة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المحفظة'!$F$2="الكل",IFERROR(YEAR(A141),0)=IFERROR(VALUE('طباعة المحفظة'!$F$2),0)),A141&lt;&gt;""),IFERROR(MAX($H$107:H140),0)+1,"")</f>
        <v/>
      </c>
    </row>
    <row r="142" spans="1:8" ht="18" customHeight="1">
      <c r="A142" s="25" t="str">
        <f>IFERROR(INDEX('كشف الحساب'!$A$4:$A$203,MATCH(36,'كشف الحساب'!$M$4:$M$203,0)),"")</f>
        <v/>
      </c>
      <c r="B142" s="26" t="str">
        <f>IFERROR(INDEX('كشف الحساب'!$B$4:$B$203,MATCH(36,'كشف الحساب'!$M$4:$M$203,0)),"")</f>
        <v/>
      </c>
      <c r="C142" s="27" t="str">
        <f>IFERROR(INDEX('كشف الحساب'!$C$4:$C$203,MATCH(36,'كشف الحساب'!$M$4:$M$203,0)),"")</f>
        <v/>
      </c>
      <c r="D142" s="28" t="str">
        <f>IFERROR(INDEX('كشف الحساب'!$D$4:$D$203,MATCH(36,'كشف الحساب'!$M$4:$M$203,0)),"")</f>
        <v/>
      </c>
      <c r="E142" s="29" t="s">
        <v>6</v>
      </c>
      <c r="F142" s="30" t="str">
        <f>IFERROR(INDEX('كشف الحساب'!$I$4:$I$203,MATCH(36,'كشف الحساب'!$M$4:$M$203,0)),"")</f>
        <v/>
      </c>
      <c r="G142" s="31"/>
      <c r="H142" t="str">
        <f>IF(AND(OR('طباعة المحفظة'!$C$2="الكل",IFERROR(MONTH(A142),0)=IFERROR(MATCH('طباعة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المحفظة'!$F$2="الكل",IFERROR(YEAR(A142),0)=IFERROR(VALUE('طباعة المحفظة'!$F$2),0)),A142&lt;&gt;""),IFERROR(MAX($H$107:H141),0)+1,"")</f>
        <v/>
      </c>
    </row>
    <row r="143" spans="1:8" ht="18" customHeight="1">
      <c r="A143" s="18" t="str">
        <f>IFERROR(INDEX('كشف الحساب'!$A$4:$A$203,MATCH(37,'كشف الحساب'!$M$4:$M$203,0)),"")</f>
        <v/>
      </c>
      <c r="B143" s="19" t="str">
        <f>IFERROR(INDEX('كشف الحساب'!$B$4:$B$203,MATCH(37,'كشف الحساب'!$M$4:$M$203,0)),"")</f>
        <v/>
      </c>
      <c r="C143" s="20" t="str">
        <f>IFERROR(INDEX('كشف الحساب'!$C$4:$C$203,MATCH(37,'كشف الحساب'!$M$4:$M$203,0)),"")</f>
        <v/>
      </c>
      <c r="D143" s="21" t="str">
        <f>IFERROR(INDEX('كشف الحساب'!$D$4:$D$203,MATCH(37,'كشف الحساب'!$M$4:$M$203,0)),"")</f>
        <v/>
      </c>
      <c r="E143" s="22" t="s">
        <v>6</v>
      </c>
      <c r="F143" s="23" t="str">
        <f>IFERROR(INDEX('كشف الحساب'!$I$4:$I$203,MATCH(37,'كشف الحساب'!$M$4:$M$203,0)),"")</f>
        <v/>
      </c>
      <c r="G143" s="24"/>
      <c r="H143" t="str">
        <f>IF(AND(OR('طباعة المحفظة'!$C$2="الكل",IFERROR(MONTH(A143),0)=IFERROR(MATCH('طباعة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المحفظة'!$F$2="الكل",IFERROR(YEAR(A143),0)=IFERROR(VALUE('طباعة المحفظة'!$F$2),0)),A143&lt;&gt;""),IFERROR(MAX($H$107:H142),0)+1,"")</f>
        <v/>
      </c>
    </row>
    <row r="144" spans="1:8" ht="18" customHeight="1">
      <c r="A144" s="25" t="str">
        <f>IFERROR(INDEX('كشف الحساب'!$A$4:$A$203,MATCH(38,'كشف الحساب'!$M$4:$M$203,0)),"")</f>
        <v/>
      </c>
      <c r="B144" s="26" t="str">
        <f>IFERROR(INDEX('كشف الحساب'!$B$4:$B$203,MATCH(38,'كشف الحساب'!$M$4:$M$203,0)),"")</f>
        <v/>
      </c>
      <c r="C144" s="27" t="str">
        <f>IFERROR(INDEX('كشف الحساب'!$C$4:$C$203,MATCH(38,'كشف الحساب'!$M$4:$M$203,0)),"")</f>
        <v/>
      </c>
      <c r="D144" s="28" t="str">
        <f>IFERROR(INDEX('كشف الحساب'!$D$4:$D$203,MATCH(38,'كشف الحساب'!$M$4:$M$203,0)),"")</f>
        <v/>
      </c>
      <c r="E144" s="29" t="s">
        <v>6</v>
      </c>
      <c r="F144" s="30" t="str">
        <f>IFERROR(INDEX('كشف الحساب'!$I$4:$I$203,MATCH(38,'كشف الحساب'!$M$4:$M$203,0)),"")</f>
        <v/>
      </c>
      <c r="G144" s="31"/>
      <c r="H144" t="str">
        <f>IF(AND(OR('طباعة المحفظة'!$C$2="الكل",IFERROR(MONTH(A144),0)=IFERROR(MATCH('طباعة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المحفظة'!$F$2="الكل",IFERROR(YEAR(A144),0)=IFERROR(VALUE('طباعة المحفظة'!$F$2),0)),A144&lt;&gt;""),IFERROR(MAX($H$107:H143),0)+1,"")</f>
        <v/>
      </c>
    </row>
    <row r="145" spans="1:8" ht="18" customHeight="1">
      <c r="A145" s="18" t="str">
        <f>IFERROR(INDEX('كشف الحساب'!$A$4:$A$203,MATCH(39,'كشف الحساب'!$M$4:$M$203,0)),"")</f>
        <v/>
      </c>
      <c r="B145" s="19" t="str">
        <f>IFERROR(INDEX('كشف الحساب'!$B$4:$B$203,MATCH(39,'كشف الحساب'!$M$4:$M$203,0)),"")</f>
        <v/>
      </c>
      <c r="C145" s="20" t="str">
        <f>IFERROR(INDEX('كشف الحساب'!$C$4:$C$203,MATCH(39,'كشف الحساب'!$M$4:$M$203,0)),"")</f>
        <v/>
      </c>
      <c r="D145" s="21" t="str">
        <f>IFERROR(INDEX('كشف الحساب'!$D$4:$D$203,MATCH(39,'كشف الحساب'!$M$4:$M$203,0)),"")</f>
        <v/>
      </c>
      <c r="E145" s="22" t="s">
        <v>6</v>
      </c>
      <c r="F145" s="23" t="str">
        <f>IFERROR(INDEX('كشف الحساب'!$I$4:$I$203,MATCH(39,'كشف الحساب'!$M$4:$M$203,0)),"")</f>
        <v/>
      </c>
      <c r="G145" s="24"/>
      <c r="H145" t="str">
        <f>IF(AND(OR('طباعة المحفظة'!$C$2="الكل",IFERROR(MONTH(A145),0)=IFERROR(MATCH('طباعة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المحفظة'!$F$2="الكل",IFERROR(YEAR(A145),0)=IFERROR(VALUE('طباعة المحفظة'!$F$2),0)),A145&lt;&gt;""),IFERROR(MAX($H$107:H144),0)+1,"")</f>
        <v/>
      </c>
    </row>
    <row r="146" spans="1:8" ht="18" customHeight="1">
      <c r="A146" s="25" t="str">
        <f>IFERROR(INDEX('كشف الحساب'!$A$4:$A$203,MATCH(40,'كشف الحساب'!$M$4:$M$203,0)),"")</f>
        <v/>
      </c>
      <c r="B146" s="26" t="str">
        <f>IFERROR(INDEX('كشف الحساب'!$B$4:$B$203,MATCH(40,'كشف الحساب'!$M$4:$M$203,0)),"")</f>
        <v/>
      </c>
      <c r="C146" s="27" t="str">
        <f>IFERROR(INDEX('كشف الحساب'!$C$4:$C$203,MATCH(40,'كشف الحساب'!$M$4:$M$203,0)),"")</f>
        <v/>
      </c>
      <c r="D146" s="28" t="str">
        <f>IFERROR(INDEX('كشف الحساب'!$D$4:$D$203,MATCH(40,'كشف الحساب'!$M$4:$M$203,0)),"")</f>
        <v/>
      </c>
      <c r="E146" s="29" t="s">
        <v>6</v>
      </c>
      <c r="F146" s="30" t="str">
        <f>IFERROR(INDEX('كشف الحساب'!$I$4:$I$203,MATCH(40,'كشف الحساب'!$M$4:$M$203,0)),"")</f>
        <v/>
      </c>
      <c r="G146" s="31"/>
      <c r="H146" t="str">
        <f>IF(AND(OR('طباعة المحفظة'!$C$2="الكل",IFERROR(MONTH(A146),0)=IFERROR(MATCH('طباعة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المحفظة'!$F$2="الكل",IFERROR(YEAR(A146),0)=IFERROR(VALUE('طباعة المحفظة'!$F$2),0)),A146&lt;&gt;""),IFERROR(MAX($H$107:H145),0)+1,"")</f>
        <v/>
      </c>
    </row>
    <row r="147" spans="1:8" ht="18" customHeight="1">
      <c r="A147" s="18" t="str">
        <f>IFERROR(INDEX('كشف الحساب'!$A$4:$A$203,MATCH(41,'كشف الحساب'!$M$4:$M$203,0)),"")</f>
        <v/>
      </c>
      <c r="B147" s="19" t="str">
        <f>IFERROR(INDEX('كشف الحساب'!$B$4:$B$203,MATCH(41,'كشف الحساب'!$M$4:$M$203,0)),"")</f>
        <v/>
      </c>
      <c r="C147" s="20" t="str">
        <f>IFERROR(INDEX('كشف الحساب'!$C$4:$C$203,MATCH(41,'كشف الحساب'!$M$4:$M$203,0)),"")</f>
        <v/>
      </c>
      <c r="D147" s="21" t="str">
        <f>IFERROR(INDEX('كشف الحساب'!$D$4:$D$203,MATCH(41,'كشف الحساب'!$M$4:$M$203,0)),"")</f>
        <v/>
      </c>
      <c r="E147" s="22" t="s">
        <v>6</v>
      </c>
      <c r="F147" s="23" t="str">
        <f>IFERROR(INDEX('كشف الحساب'!$I$4:$I$203,MATCH(41,'كشف الحساب'!$M$4:$M$203,0)),"")</f>
        <v/>
      </c>
      <c r="G147" s="24"/>
      <c r="H147" t="str">
        <f>IF(AND(OR('طباعة المحفظة'!$C$2="الكل",IFERROR(MONTH(A147),0)=IFERROR(MATCH('طباعة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المحفظة'!$F$2="الكل",IFERROR(YEAR(A147),0)=IFERROR(VALUE('طباعة المحفظة'!$F$2),0)),A147&lt;&gt;""),IFERROR(MAX($H$107:H146),0)+1,"")</f>
        <v/>
      </c>
    </row>
    <row r="148" spans="1:8" ht="18" customHeight="1">
      <c r="A148" s="25" t="str">
        <f>IFERROR(INDEX('كشف الحساب'!$A$4:$A$203,MATCH(42,'كشف الحساب'!$M$4:$M$203,0)),"")</f>
        <v/>
      </c>
      <c r="B148" s="26" t="str">
        <f>IFERROR(INDEX('كشف الحساب'!$B$4:$B$203,MATCH(42,'كشف الحساب'!$M$4:$M$203,0)),"")</f>
        <v/>
      </c>
      <c r="C148" s="27" t="str">
        <f>IFERROR(INDEX('كشف الحساب'!$C$4:$C$203,MATCH(42,'كشف الحساب'!$M$4:$M$203,0)),"")</f>
        <v/>
      </c>
      <c r="D148" s="28" t="str">
        <f>IFERROR(INDEX('كشف الحساب'!$D$4:$D$203,MATCH(42,'كشف الحساب'!$M$4:$M$203,0)),"")</f>
        <v/>
      </c>
      <c r="E148" s="29" t="s">
        <v>6</v>
      </c>
      <c r="F148" s="30" t="str">
        <f>IFERROR(INDEX('كشف الحساب'!$I$4:$I$203,MATCH(42,'كشف الحساب'!$M$4:$M$203,0)),"")</f>
        <v/>
      </c>
      <c r="G148" s="31"/>
      <c r="H148" t="str">
        <f>IF(AND(OR('طباعة المحفظة'!$C$2="الكل",IFERROR(MONTH(A148),0)=IFERROR(MATCH('طباعة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المحفظة'!$F$2="الكل",IFERROR(YEAR(A148),0)=IFERROR(VALUE('طباعة المحفظة'!$F$2),0)),A148&lt;&gt;""),IFERROR(MAX($H$107:H147),0)+1,"")</f>
        <v/>
      </c>
    </row>
    <row r="149" spans="1:8" ht="18" customHeight="1">
      <c r="A149" s="18" t="str">
        <f>IFERROR(INDEX('كشف الحساب'!$A$4:$A$203,MATCH(43,'كشف الحساب'!$M$4:$M$203,0)),"")</f>
        <v/>
      </c>
      <c r="B149" s="19" t="str">
        <f>IFERROR(INDEX('كشف الحساب'!$B$4:$B$203,MATCH(43,'كشف الحساب'!$M$4:$M$203,0)),"")</f>
        <v/>
      </c>
      <c r="C149" s="20" t="str">
        <f>IFERROR(INDEX('كشف الحساب'!$C$4:$C$203,MATCH(43,'كشف الحساب'!$M$4:$M$203,0)),"")</f>
        <v/>
      </c>
      <c r="D149" s="21" t="str">
        <f>IFERROR(INDEX('كشف الحساب'!$D$4:$D$203,MATCH(43,'كشف الحساب'!$M$4:$M$203,0)),"")</f>
        <v/>
      </c>
      <c r="E149" s="22" t="s">
        <v>6</v>
      </c>
      <c r="F149" s="23" t="str">
        <f>IFERROR(INDEX('كشف الحساب'!$I$4:$I$203,MATCH(43,'كشف الحساب'!$M$4:$M$203,0)),"")</f>
        <v/>
      </c>
      <c r="G149" s="24"/>
      <c r="H149" t="str">
        <f>IF(AND(OR('طباعة المحفظة'!$C$2="الكل",IFERROR(MONTH(A149),0)=IFERROR(MATCH('طباعة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المحفظة'!$F$2="الكل",IFERROR(YEAR(A149),0)=IFERROR(VALUE('طباعة المحفظة'!$F$2),0)),A149&lt;&gt;""),IFERROR(MAX($H$107:H148),0)+1,"")</f>
        <v/>
      </c>
    </row>
    <row r="150" spans="1:8" ht="18" customHeight="1">
      <c r="A150" s="25" t="str">
        <f>IFERROR(INDEX('كشف الحساب'!$A$4:$A$203,MATCH(44,'كشف الحساب'!$M$4:$M$203,0)),"")</f>
        <v/>
      </c>
      <c r="B150" s="26" t="str">
        <f>IFERROR(INDEX('كشف الحساب'!$B$4:$B$203,MATCH(44,'كشف الحساب'!$M$4:$M$203,0)),"")</f>
        <v/>
      </c>
      <c r="C150" s="27" t="str">
        <f>IFERROR(INDEX('كشف الحساب'!$C$4:$C$203,MATCH(44,'كشف الحساب'!$M$4:$M$203,0)),"")</f>
        <v/>
      </c>
      <c r="D150" s="28" t="str">
        <f>IFERROR(INDEX('كشف الحساب'!$D$4:$D$203,MATCH(44,'كشف الحساب'!$M$4:$M$203,0)),"")</f>
        <v/>
      </c>
      <c r="E150" s="29" t="s">
        <v>6</v>
      </c>
      <c r="F150" s="30" t="str">
        <f>IFERROR(INDEX('كشف الحساب'!$I$4:$I$203,MATCH(44,'كشف الحساب'!$M$4:$M$203,0)),"")</f>
        <v/>
      </c>
      <c r="G150" s="31"/>
      <c r="H150" t="str">
        <f>IF(AND(OR('طباعة المحفظة'!$C$2="الكل",IFERROR(MONTH(A150),0)=IFERROR(MATCH('طباعة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المحفظة'!$F$2="الكل",IFERROR(YEAR(A150),0)=IFERROR(VALUE('طباعة المحفظة'!$F$2),0)),A150&lt;&gt;""),IFERROR(MAX($H$107:H149),0)+1,"")</f>
        <v/>
      </c>
    </row>
    <row r="151" spans="1:8" ht="18" customHeight="1">
      <c r="A151" s="18" t="str">
        <f>IFERROR(INDEX('كشف الحساب'!$A$4:$A$203,MATCH(45,'كشف الحساب'!$M$4:$M$203,0)),"")</f>
        <v/>
      </c>
      <c r="B151" s="19" t="str">
        <f>IFERROR(INDEX('كشف الحساب'!$B$4:$B$203,MATCH(45,'كشف الحساب'!$M$4:$M$203,0)),"")</f>
        <v/>
      </c>
      <c r="C151" s="20" t="str">
        <f>IFERROR(INDEX('كشف الحساب'!$C$4:$C$203,MATCH(45,'كشف الحساب'!$M$4:$M$203,0)),"")</f>
        <v/>
      </c>
      <c r="D151" s="21" t="str">
        <f>IFERROR(INDEX('كشف الحساب'!$D$4:$D$203,MATCH(45,'كشف الحساب'!$M$4:$M$203,0)),"")</f>
        <v/>
      </c>
      <c r="E151" s="22" t="s">
        <v>6</v>
      </c>
      <c r="F151" s="23" t="str">
        <f>IFERROR(INDEX('كشف الحساب'!$I$4:$I$203,MATCH(45,'كشف الحساب'!$M$4:$M$203,0)),"")</f>
        <v/>
      </c>
      <c r="G151" s="24"/>
      <c r="H151" t="str">
        <f>IF(AND(OR('طباعة المحفظة'!$C$2="الكل",IFERROR(MONTH(A151),0)=IFERROR(MATCH('طباعة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المحفظة'!$F$2="الكل",IFERROR(YEAR(A151),0)=IFERROR(VALUE('طباعة المحفظة'!$F$2),0)),A151&lt;&gt;""),IFERROR(MAX($H$107:H150),0)+1,"")</f>
        <v/>
      </c>
    </row>
    <row r="152" spans="1:8" ht="18" customHeight="1">
      <c r="A152" s="25" t="str">
        <f>IFERROR(INDEX('كشف الحساب'!$A$4:$A$203,MATCH(46,'كشف الحساب'!$M$4:$M$203,0)),"")</f>
        <v/>
      </c>
      <c r="B152" s="26" t="str">
        <f>IFERROR(INDEX('كشف الحساب'!$B$4:$B$203,MATCH(46,'كشف الحساب'!$M$4:$M$203,0)),"")</f>
        <v/>
      </c>
      <c r="C152" s="27" t="str">
        <f>IFERROR(INDEX('كشف الحساب'!$C$4:$C$203,MATCH(46,'كشف الحساب'!$M$4:$M$203,0)),"")</f>
        <v/>
      </c>
      <c r="D152" s="28" t="str">
        <f>IFERROR(INDEX('كشف الحساب'!$D$4:$D$203,MATCH(46,'كشف الحساب'!$M$4:$M$203,0)),"")</f>
        <v/>
      </c>
      <c r="E152" s="29" t="s">
        <v>6</v>
      </c>
      <c r="F152" s="30" t="str">
        <f>IFERROR(INDEX('كشف الحساب'!$I$4:$I$203,MATCH(46,'كشف الحساب'!$M$4:$M$203,0)),"")</f>
        <v/>
      </c>
      <c r="G152" s="31"/>
      <c r="H152" t="str">
        <f>IF(AND(OR('طباعة المحفظة'!$C$2="الكل",IFERROR(MONTH(A152),0)=IFERROR(MATCH('طباعة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المحفظة'!$F$2="الكل",IFERROR(YEAR(A152),0)=IFERROR(VALUE('طباعة المحفظة'!$F$2),0)),A152&lt;&gt;""),IFERROR(MAX($H$107:H151),0)+1,"")</f>
        <v/>
      </c>
    </row>
    <row r="153" spans="1:8" ht="18" customHeight="1">
      <c r="A153" s="18" t="str">
        <f>IFERROR(INDEX('كشف الحساب'!$A$4:$A$203,MATCH(47,'كشف الحساب'!$M$4:$M$203,0)),"")</f>
        <v/>
      </c>
      <c r="B153" s="19" t="str">
        <f>IFERROR(INDEX('كشف الحساب'!$B$4:$B$203,MATCH(47,'كشف الحساب'!$M$4:$M$203,0)),"")</f>
        <v/>
      </c>
      <c r="C153" s="20" t="str">
        <f>IFERROR(INDEX('كشف الحساب'!$C$4:$C$203,MATCH(47,'كشف الحساب'!$M$4:$M$203,0)),"")</f>
        <v/>
      </c>
      <c r="D153" s="21" t="str">
        <f>IFERROR(INDEX('كشف الحساب'!$D$4:$D$203,MATCH(47,'كشف الحساب'!$M$4:$M$203,0)),"")</f>
        <v/>
      </c>
      <c r="E153" s="22" t="s">
        <v>6</v>
      </c>
      <c r="F153" s="23" t="str">
        <f>IFERROR(INDEX('كشف الحساب'!$I$4:$I$203,MATCH(47,'كشف الحساب'!$M$4:$M$203,0)),"")</f>
        <v/>
      </c>
      <c r="G153" s="24"/>
      <c r="H153" t="str">
        <f>IF(AND(OR('طباعة المحفظة'!$C$2="الكل",IFERROR(MONTH(A153),0)=IFERROR(MATCH('طباعة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المحفظة'!$F$2="الكل",IFERROR(YEAR(A153),0)=IFERROR(VALUE('طباعة المحفظة'!$F$2),0)),A153&lt;&gt;""),IFERROR(MAX($H$107:H152),0)+1,"")</f>
        <v/>
      </c>
    </row>
    <row r="154" spans="1:8" ht="18" customHeight="1">
      <c r="A154" s="25" t="str">
        <f>IFERROR(INDEX('كشف الحساب'!$A$4:$A$203,MATCH(48,'كشف الحساب'!$M$4:$M$203,0)),"")</f>
        <v/>
      </c>
      <c r="B154" s="26" t="str">
        <f>IFERROR(INDEX('كشف الحساب'!$B$4:$B$203,MATCH(48,'كشف الحساب'!$M$4:$M$203,0)),"")</f>
        <v/>
      </c>
      <c r="C154" s="27" t="str">
        <f>IFERROR(INDEX('كشف الحساب'!$C$4:$C$203,MATCH(48,'كشف الحساب'!$M$4:$M$203,0)),"")</f>
        <v/>
      </c>
      <c r="D154" s="28" t="str">
        <f>IFERROR(INDEX('كشف الحساب'!$D$4:$D$203,MATCH(48,'كشف الحساب'!$M$4:$M$203,0)),"")</f>
        <v/>
      </c>
      <c r="E154" s="29" t="s">
        <v>6</v>
      </c>
      <c r="F154" s="30" t="str">
        <f>IFERROR(INDEX('كشف الحساب'!$I$4:$I$203,MATCH(48,'كشف الحساب'!$M$4:$M$203,0)),"")</f>
        <v/>
      </c>
      <c r="G154" s="31"/>
      <c r="H154" t="str">
        <f>IF(AND(OR('طباعة المحفظة'!$C$2="الكل",IFERROR(MONTH(A154),0)=IFERROR(MATCH('طباعة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المحفظة'!$F$2="الكل",IFERROR(YEAR(A154),0)=IFERROR(VALUE('طباعة المحفظة'!$F$2),0)),A154&lt;&gt;""),IFERROR(MAX($H$107:H153),0)+1,"")</f>
        <v/>
      </c>
    </row>
    <row r="155" spans="1:8" ht="18" customHeight="1">
      <c r="A155" s="18" t="str">
        <f>IFERROR(INDEX('كشف الحساب'!$A$4:$A$203,MATCH(49,'كشف الحساب'!$M$4:$M$203,0)),"")</f>
        <v/>
      </c>
      <c r="B155" s="19" t="str">
        <f>IFERROR(INDEX('كشف الحساب'!$B$4:$B$203,MATCH(49,'كشف الحساب'!$M$4:$M$203,0)),"")</f>
        <v/>
      </c>
      <c r="C155" s="20" t="str">
        <f>IFERROR(INDEX('كشف الحساب'!$C$4:$C$203,MATCH(49,'كشف الحساب'!$M$4:$M$203,0)),"")</f>
        <v/>
      </c>
      <c r="D155" s="21" t="str">
        <f>IFERROR(INDEX('كشف الحساب'!$D$4:$D$203,MATCH(49,'كشف الحساب'!$M$4:$M$203,0)),"")</f>
        <v/>
      </c>
      <c r="E155" s="22" t="s">
        <v>6</v>
      </c>
      <c r="F155" s="23" t="str">
        <f>IFERROR(INDEX('كشف الحساب'!$I$4:$I$203,MATCH(49,'كشف الحساب'!$M$4:$M$203,0)),"")</f>
        <v/>
      </c>
      <c r="G155" s="24"/>
      <c r="H155" t="str">
        <f>IF(AND(OR('طباعة المحفظة'!$C$2="الكل",IFERROR(MONTH(A155),0)=IFERROR(MATCH('طباعة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المحفظة'!$F$2="الكل",IFERROR(YEAR(A155),0)=IFERROR(VALUE('طباعة المحفظة'!$F$2),0)),A155&lt;&gt;""),IFERROR(MAX($H$107:H154),0)+1,"")</f>
        <v/>
      </c>
    </row>
    <row r="156" spans="1:8" ht="18" customHeight="1">
      <c r="A156" s="25" t="str">
        <f>IFERROR(INDEX('كشف الحساب'!$A$4:$A$203,MATCH(50,'كشف الحساب'!$M$4:$M$203,0)),"")</f>
        <v/>
      </c>
      <c r="B156" s="26" t="str">
        <f>IFERROR(INDEX('كشف الحساب'!$B$4:$B$203,MATCH(50,'كشف الحساب'!$M$4:$M$203,0)),"")</f>
        <v/>
      </c>
      <c r="C156" s="27" t="str">
        <f>IFERROR(INDEX('كشف الحساب'!$C$4:$C$203,MATCH(50,'كشف الحساب'!$M$4:$M$203,0)),"")</f>
        <v/>
      </c>
      <c r="D156" s="28" t="str">
        <f>IFERROR(INDEX('كشف الحساب'!$D$4:$D$203,MATCH(50,'كشف الحساب'!$M$4:$M$203,0)),"")</f>
        <v/>
      </c>
      <c r="E156" s="29" t="s">
        <v>6</v>
      </c>
      <c r="F156" s="30" t="str">
        <f>IFERROR(INDEX('كشف الحساب'!$I$4:$I$203,MATCH(50,'كشف الحساب'!$M$4:$M$203,0)),"")</f>
        <v/>
      </c>
      <c r="G156" s="31"/>
      <c r="H156" t="str">
        <f>IF(AND(OR('طباعة المحفظة'!$C$2="الكل",IFERROR(MONTH(A156),0)=IFERROR(MATCH('طباعة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المحفظة'!$F$2="الكل",IFERROR(YEAR(A156),0)=IFERROR(VALUE('طباعة المحفظة'!$F$2),0)),A156&lt;&gt;""),IFERROR(MAX($H$107:H155),0)+1,"")</f>
        <v/>
      </c>
    </row>
    <row r="157" spans="1:8" ht="18" customHeight="1">
      <c r="A157" s="18" t="str">
        <f>IFERROR(INDEX('كشف الحساب'!$A$4:$A$203,MATCH(51,'كشف الحساب'!$M$4:$M$203,0)),"")</f>
        <v/>
      </c>
      <c r="B157" s="19" t="str">
        <f>IFERROR(INDEX('كشف الحساب'!$B$4:$B$203,MATCH(51,'كشف الحساب'!$M$4:$M$203,0)),"")</f>
        <v/>
      </c>
      <c r="C157" s="20" t="str">
        <f>IFERROR(INDEX('كشف الحساب'!$C$4:$C$203,MATCH(51,'كشف الحساب'!$M$4:$M$203,0)),"")</f>
        <v/>
      </c>
      <c r="D157" s="21" t="str">
        <f>IFERROR(INDEX('كشف الحساب'!$D$4:$D$203,MATCH(51,'كشف الحساب'!$M$4:$M$203,0)),"")</f>
        <v/>
      </c>
      <c r="E157" s="22" t="s">
        <v>6</v>
      </c>
      <c r="F157" s="23" t="str">
        <f>IFERROR(INDEX('كشف الحساب'!$I$4:$I$203,MATCH(51,'كشف الحساب'!$M$4:$M$203,0)),"")</f>
        <v/>
      </c>
      <c r="G157" s="24"/>
      <c r="H157" t="str">
        <f>IF(AND(OR('طباعة المحفظة'!$C$2="الكل",IFERROR(MONTH(A157),0)=IFERROR(MATCH('طباعة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المحفظة'!$F$2="الكل",IFERROR(YEAR(A157),0)=IFERROR(VALUE('طباعة المحفظة'!$F$2),0)),A157&lt;&gt;""),IFERROR(MAX($H$107:H156),0)+1,"")</f>
        <v/>
      </c>
    </row>
    <row r="158" spans="1:8" ht="18" customHeight="1">
      <c r="A158" s="25" t="str">
        <f>IFERROR(INDEX('كشف الحساب'!$A$4:$A$203,MATCH(52,'كشف الحساب'!$M$4:$M$203,0)),"")</f>
        <v/>
      </c>
      <c r="B158" s="26" t="str">
        <f>IFERROR(INDEX('كشف الحساب'!$B$4:$B$203,MATCH(52,'كشف الحساب'!$M$4:$M$203,0)),"")</f>
        <v/>
      </c>
      <c r="C158" s="27" t="str">
        <f>IFERROR(INDEX('كشف الحساب'!$C$4:$C$203,MATCH(52,'كشف الحساب'!$M$4:$M$203,0)),"")</f>
        <v/>
      </c>
      <c r="D158" s="28" t="str">
        <f>IFERROR(INDEX('كشف الحساب'!$D$4:$D$203,MATCH(52,'كشف الحساب'!$M$4:$M$203,0)),"")</f>
        <v/>
      </c>
      <c r="E158" s="29" t="s">
        <v>6</v>
      </c>
      <c r="F158" s="30" t="str">
        <f>IFERROR(INDEX('كشف الحساب'!$I$4:$I$203,MATCH(52,'كشف الحساب'!$M$4:$M$203,0)),"")</f>
        <v/>
      </c>
      <c r="G158" s="31"/>
      <c r="H158" t="str">
        <f>IF(AND(OR('طباعة المحفظة'!$C$2="الكل",IFERROR(MONTH(A158),0)=IFERROR(MATCH('طباعة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المحفظة'!$F$2="الكل",IFERROR(YEAR(A158),0)=IFERROR(VALUE('طباعة المحفظة'!$F$2),0)),A158&lt;&gt;""),IFERROR(MAX($H$107:H157),0)+1,"")</f>
        <v/>
      </c>
    </row>
    <row r="159" spans="1:8" ht="18" customHeight="1">
      <c r="A159" s="18" t="str">
        <f>IFERROR(INDEX('كشف الحساب'!$A$4:$A$203,MATCH(53,'كشف الحساب'!$M$4:$M$203,0)),"")</f>
        <v/>
      </c>
      <c r="B159" s="19" t="str">
        <f>IFERROR(INDEX('كشف الحساب'!$B$4:$B$203,MATCH(53,'كشف الحساب'!$M$4:$M$203,0)),"")</f>
        <v/>
      </c>
      <c r="C159" s="20" t="str">
        <f>IFERROR(INDEX('كشف الحساب'!$C$4:$C$203,MATCH(53,'كشف الحساب'!$M$4:$M$203,0)),"")</f>
        <v/>
      </c>
      <c r="D159" s="21" t="str">
        <f>IFERROR(INDEX('كشف الحساب'!$D$4:$D$203,MATCH(53,'كشف الحساب'!$M$4:$M$203,0)),"")</f>
        <v/>
      </c>
      <c r="E159" s="22" t="s">
        <v>6</v>
      </c>
      <c r="F159" s="23" t="str">
        <f>IFERROR(INDEX('كشف الحساب'!$I$4:$I$203,MATCH(53,'كشف الحساب'!$M$4:$M$203,0)),"")</f>
        <v/>
      </c>
      <c r="G159" s="24"/>
      <c r="H159" t="str">
        <f>IF(AND(OR('طباعة المحفظة'!$C$2="الكل",IFERROR(MONTH(A159),0)=IFERROR(MATCH('طباعة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المحفظة'!$F$2="الكل",IFERROR(YEAR(A159),0)=IFERROR(VALUE('طباعة المحفظة'!$F$2),0)),A159&lt;&gt;""),IFERROR(MAX($H$107:H158),0)+1,"")</f>
        <v/>
      </c>
    </row>
    <row r="160" spans="1:8" ht="18" customHeight="1">
      <c r="A160" s="25" t="str">
        <f>IFERROR(INDEX('كشف الحساب'!$A$4:$A$203,MATCH(54,'كشف الحساب'!$M$4:$M$203,0)),"")</f>
        <v/>
      </c>
      <c r="B160" s="26" t="str">
        <f>IFERROR(INDEX('كشف الحساب'!$B$4:$B$203,MATCH(54,'كشف الحساب'!$M$4:$M$203,0)),"")</f>
        <v/>
      </c>
      <c r="C160" s="27" t="str">
        <f>IFERROR(INDEX('كشف الحساب'!$C$4:$C$203,MATCH(54,'كشف الحساب'!$M$4:$M$203,0)),"")</f>
        <v/>
      </c>
      <c r="D160" s="28" t="str">
        <f>IFERROR(INDEX('كشف الحساب'!$D$4:$D$203,MATCH(54,'كشف الحساب'!$M$4:$M$203,0)),"")</f>
        <v/>
      </c>
      <c r="E160" s="29" t="s">
        <v>6</v>
      </c>
      <c r="F160" s="30" t="str">
        <f>IFERROR(INDEX('كشف الحساب'!$I$4:$I$203,MATCH(54,'كشف الحساب'!$M$4:$M$203,0)),"")</f>
        <v/>
      </c>
      <c r="G160" s="31"/>
      <c r="H160" t="str">
        <f>IF(AND(OR('طباعة المحفظة'!$C$2="الكل",IFERROR(MONTH(A160),0)=IFERROR(MATCH('طباعة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المحفظة'!$F$2="الكل",IFERROR(YEAR(A160),0)=IFERROR(VALUE('طباعة المحفظة'!$F$2),0)),A160&lt;&gt;""),IFERROR(MAX($H$107:H159),0)+1,"")</f>
        <v/>
      </c>
    </row>
    <row r="161" spans="1:8" ht="18" customHeight="1">
      <c r="A161" s="18" t="str">
        <f>IFERROR(INDEX('كشف الحساب'!$A$4:$A$203,MATCH(55,'كشف الحساب'!$M$4:$M$203,0)),"")</f>
        <v/>
      </c>
      <c r="B161" s="19" t="str">
        <f>IFERROR(INDEX('كشف الحساب'!$B$4:$B$203,MATCH(55,'كشف الحساب'!$M$4:$M$203,0)),"")</f>
        <v/>
      </c>
      <c r="C161" s="20" t="str">
        <f>IFERROR(INDEX('كشف الحساب'!$C$4:$C$203,MATCH(55,'كشف الحساب'!$M$4:$M$203,0)),"")</f>
        <v/>
      </c>
      <c r="D161" s="21" t="str">
        <f>IFERROR(INDEX('كشف الحساب'!$D$4:$D$203,MATCH(55,'كشف الحساب'!$M$4:$M$203,0)),"")</f>
        <v/>
      </c>
      <c r="E161" s="22" t="s">
        <v>6</v>
      </c>
      <c r="F161" s="23" t="str">
        <f>IFERROR(INDEX('كشف الحساب'!$I$4:$I$203,MATCH(55,'كشف الحساب'!$M$4:$M$203,0)),"")</f>
        <v/>
      </c>
      <c r="G161" s="24"/>
      <c r="H161" t="str">
        <f>IF(AND(OR('طباعة المحفظة'!$C$2="الكل",IFERROR(MONTH(A161),0)=IFERROR(MATCH('طباعة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المحفظة'!$F$2="الكل",IFERROR(YEAR(A161),0)=IFERROR(VALUE('طباعة المحفظة'!$F$2),0)),A161&lt;&gt;""),IFERROR(MAX($H$107:H160),0)+1,"")</f>
        <v/>
      </c>
    </row>
    <row r="162" spans="1:8" ht="18" customHeight="1">
      <c r="A162" s="25" t="str">
        <f>IFERROR(INDEX('كشف الحساب'!$A$4:$A$203,MATCH(56,'كشف الحساب'!$M$4:$M$203,0)),"")</f>
        <v/>
      </c>
      <c r="B162" s="26" t="str">
        <f>IFERROR(INDEX('كشف الحساب'!$B$4:$B$203,MATCH(56,'كشف الحساب'!$M$4:$M$203,0)),"")</f>
        <v/>
      </c>
      <c r="C162" s="27" t="str">
        <f>IFERROR(INDEX('كشف الحساب'!$C$4:$C$203,MATCH(56,'كشف الحساب'!$M$4:$M$203,0)),"")</f>
        <v/>
      </c>
      <c r="D162" s="28" t="str">
        <f>IFERROR(INDEX('كشف الحساب'!$D$4:$D$203,MATCH(56,'كشف الحساب'!$M$4:$M$203,0)),"")</f>
        <v/>
      </c>
      <c r="E162" s="29" t="s">
        <v>6</v>
      </c>
      <c r="F162" s="30" t="str">
        <f>IFERROR(INDEX('كشف الحساب'!$I$4:$I$203,MATCH(56,'كشف الحساب'!$M$4:$M$203,0)),"")</f>
        <v/>
      </c>
      <c r="G162" s="31"/>
      <c r="H162" t="str">
        <f>IF(AND(OR('طباعة المحفظة'!$C$2="الكل",IFERROR(MONTH(A162),0)=IFERROR(MATCH('طباعة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المحفظة'!$F$2="الكل",IFERROR(YEAR(A162),0)=IFERROR(VALUE('طباعة المحفظة'!$F$2),0)),A162&lt;&gt;""),IFERROR(MAX($H$107:H161),0)+1,"")</f>
        <v/>
      </c>
    </row>
    <row r="163" spans="1:8" ht="18" customHeight="1">
      <c r="A163" s="18" t="str">
        <f>IFERROR(INDEX('كشف الحساب'!$A$4:$A$203,MATCH(57,'كشف الحساب'!$M$4:$M$203,0)),"")</f>
        <v/>
      </c>
      <c r="B163" s="19" t="str">
        <f>IFERROR(INDEX('كشف الحساب'!$B$4:$B$203,MATCH(57,'كشف الحساب'!$M$4:$M$203,0)),"")</f>
        <v/>
      </c>
      <c r="C163" s="20" t="str">
        <f>IFERROR(INDEX('كشف الحساب'!$C$4:$C$203,MATCH(57,'كشف الحساب'!$M$4:$M$203,0)),"")</f>
        <v/>
      </c>
      <c r="D163" s="21" t="str">
        <f>IFERROR(INDEX('كشف الحساب'!$D$4:$D$203,MATCH(57,'كشف الحساب'!$M$4:$M$203,0)),"")</f>
        <v/>
      </c>
      <c r="E163" s="22" t="s">
        <v>6</v>
      </c>
      <c r="F163" s="23" t="str">
        <f>IFERROR(INDEX('كشف الحساب'!$I$4:$I$203,MATCH(57,'كشف الحساب'!$M$4:$M$203,0)),"")</f>
        <v/>
      </c>
      <c r="G163" s="24"/>
      <c r="H163" t="str">
        <f>IF(AND(OR('طباعة المحفظة'!$C$2="الكل",IFERROR(MONTH(A163),0)=IFERROR(MATCH('طباعة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المحفظة'!$F$2="الكل",IFERROR(YEAR(A163),0)=IFERROR(VALUE('طباعة المحفظة'!$F$2),0)),A163&lt;&gt;""),IFERROR(MAX($H$107:H162),0)+1,"")</f>
        <v/>
      </c>
    </row>
    <row r="164" spans="1:8" ht="18" customHeight="1">
      <c r="A164" s="25" t="str">
        <f>IFERROR(INDEX('كشف الحساب'!$A$4:$A$203,MATCH(58,'كشف الحساب'!$M$4:$M$203,0)),"")</f>
        <v/>
      </c>
      <c r="B164" s="26" t="str">
        <f>IFERROR(INDEX('كشف الحساب'!$B$4:$B$203,MATCH(58,'كشف الحساب'!$M$4:$M$203,0)),"")</f>
        <v/>
      </c>
      <c r="C164" s="27" t="str">
        <f>IFERROR(INDEX('كشف الحساب'!$C$4:$C$203,MATCH(58,'كشف الحساب'!$M$4:$M$203,0)),"")</f>
        <v/>
      </c>
      <c r="D164" s="28" t="str">
        <f>IFERROR(INDEX('كشف الحساب'!$D$4:$D$203,MATCH(58,'كشف الحساب'!$M$4:$M$203,0)),"")</f>
        <v/>
      </c>
      <c r="E164" s="29" t="s">
        <v>6</v>
      </c>
      <c r="F164" s="30" t="str">
        <f>IFERROR(INDEX('كشف الحساب'!$I$4:$I$203,MATCH(58,'كشف الحساب'!$M$4:$M$203,0)),"")</f>
        <v/>
      </c>
      <c r="G164" s="31"/>
      <c r="H164" t="str">
        <f>IF(AND(OR('طباعة المحفظة'!$C$2="الكل",IFERROR(MONTH(A164),0)=IFERROR(MATCH('طباعة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المحفظة'!$F$2="الكل",IFERROR(YEAR(A164),0)=IFERROR(VALUE('طباعة المحفظة'!$F$2),0)),A164&lt;&gt;""),IFERROR(MAX($H$107:H163),0)+1,"")</f>
        <v/>
      </c>
    </row>
    <row r="165" spans="1:8" ht="18" customHeight="1">
      <c r="A165" s="18" t="str">
        <f>IFERROR(INDEX('كشف الحساب'!$A$4:$A$203,MATCH(59,'كشف الحساب'!$M$4:$M$203,0)),"")</f>
        <v/>
      </c>
      <c r="B165" s="19" t="str">
        <f>IFERROR(INDEX('كشف الحساب'!$B$4:$B$203,MATCH(59,'كشف الحساب'!$M$4:$M$203,0)),"")</f>
        <v/>
      </c>
      <c r="C165" s="20" t="str">
        <f>IFERROR(INDEX('كشف الحساب'!$C$4:$C$203,MATCH(59,'كشف الحساب'!$M$4:$M$203,0)),"")</f>
        <v/>
      </c>
      <c r="D165" s="21" t="str">
        <f>IFERROR(INDEX('كشف الحساب'!$D$4:$D$203,MATCH(59,'كشف الحساب'!$M$4:$M$203,0)),"")</f>
        <v/>
      </c>
      <c r="E165" s="22" t="s">
        <v>6</v>
      </c>
      <c r="F165" s="23" t="str">
        <f>IFERROR(INDEX('كشف الحساب'!$I$4:$I$203,MATCH(59,'كشف الحساب'!$M$4:$M$203,0)),"")</f>
        <v/>
      </c>
      <c r="G165" s="24"/>
      <c r="H165" t="str">
        <f>IF(AND(OR('طباعة المحفظة'!$C$2="الكل",IFERROR(MONTH(A165),0)=IFERROR(MATCH('طباعة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المحفظة'!$F$2="الكل",IFERROR(YEAR(A165),0)=IFERROR(VALUE('طباعة المحفظة'!$F$2),0)),A165&lt;&gt;""),IFERROR(MAX($H$107:H164),0)+1,"")</f>
        <v/>
      </c>
    </row>
    <row r="166" spans="1:8" ht="18" customHeight="1">
      <c r="A166" s="25" t="str">
        <f>IFERROR(INDEX('كشف الحساب'!$A$4:$A$203,MATCH(60,'كشف الحساب'!$M$4:$M$203,0)),"")</f>
        <v/>
      </c>
      <c r="B166" s="26" t="str">
        <f>IFERROR(INDEX('كشف الحساب'!$B$4:$B$203,MATCH(60,'كشف الحساب'!$M$4:$M$203,0)),"")</f>
        <v/>
      </c>
      <c r="C166" s="27" t="str">
        <f>IFERROR(INDEX('كشف الحساب'!$C$4:$C$203,MATCH(60,'كشف الحساب'!$M$4:$M$203,0)),"")</f>
        <v/>
      </c>
      <c r="D166" s="28" t="str">
        <f>IFERROR(INDEX('كشف الحساب'!$D$4:$D$203,MATCH(60,'كشف الحساب'!$M$4:$M$203,0)),"")</f>
        <v/>
      </c>
      <c r="E166" s="29" t="s">
        <v>6</v>
      </c>
      <c r="F166" s="30" t="str">
        <f>IFERROR(INDEX('كشف الحساب'!$I$4:$I$203,MATCH(60,'كشف الحساب'!$M$4:$M$203,0)),"")</f>
        <v/>
      </c>
      <c r="G166" s="31"/>
      <c r="H166" t="str">
        <f>IF(AND(OR('طباعة المحفظة'!$C$2="الكل",IFERROR(MONTH(A166),0)=IFERROR(MATCH('طباعة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المحفظة'!$F$2="الكل",IFERROR(YEAR(A166),0)=IFERROR(VALUE('طباعة المحفظة'!$F$2),0)),A166&lt;&gt;""),IFERROR(MAX($H$107:H165),0)+1,"")</f>
        <v/>
      </c>
    </row>
    <row r="167" spans="1:8" ht="18" customHeight="1">
      <c r="A167" s="18" t="str">
        <f>IFERROR(INDEX('كشف الحساب'!$A$4:$A$203,MATCH(61,'كشف الحساب'!$M$4:$M$203,0)),"")</f>
        <v/>
      </c>
      <c r="B167" s="19" t="str">
        <f>IFERROR(INDEX('كشف الحساب'!$B$4:$B$203,MATCH(61,'كشف الحساب'!$M$4:$M$203,0)),"")</f>
        <v/>
      </c>
      <c r="C167" s="20" t="str">
        <f>IFERROR(INDEX('كشف الحساب'!$C$4:$C$203,MATCH(61,'كشف الحساب'!$M$4:$M$203,0)),"")</f>
        <v/>
      </c>
      <c r="D167" s="21" t="str">
        <f>IFERROR(INDEX('كشف الحساب'!$D$4:$D$203,MATCH(61,'كشف الحساب'!$M$4:$M$203,0)),"")</f>
        <v/>
      </c>
      <c r="E167" s="22" t="s">
        <v>6</v>
      </c>
      <c r="F167" s="23" t="str">
        <f>IFERROR(INDEX('كشف الحساب'!$I$4:$I$203,MATCH(61,'كشف الحساب'!$M$4:$M$203,0)),"")</f>
        <v/>
      </c>
      <c r="G167" s="24"/>
      <c r="H167" t="str">
        <f>IF(AND(OR('طباعة المحفظة'!$C$2="الكل",IFERROR(MONTH(A167),0)=IFERROR(MATCH('طباعة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المحفظة'!$F$2="الكل",IFERROR(YEAR(A167),0)=IFERROR(VALUE('طباعة المحفظة'!$F$2),0)),A167&lt;&gt;""),IFERROR(MAX($H$107:H166),0)+1,"")</f>
        <v/>
      </c>
    </row>
    <row r="168" spans="1:8" ht="18" customHeight="1">
      <c r="A168" s="25" t="str">
        <f>IFERROR(INDEX('كشف الحساب'!$A$4:$A$203,MATCH(62,'كشف الحساب'!$M$4:$M$203,0)),"")</f>
        <v/>
      </c>
      <c r="B168" s="26" t="str">
        <f>IFERROR(INDEX('كشف الحساب'!$B$4:$B$203,MATCH(62,'كشف الحساب'!$M$4:$M$203,0)),"")</f>
        <v/>
      </c>
      <c r="C168" s="27" t="str">
        <f>IFERROR(INDEX('كشف الحساب'!$C$4:$C$203,MATCH(62,'كشف الحساب'!$M$4:$M$203,0)),"")</f>
        <v/>
      </c>
      <c r="D168" s="28" t="str">
        <f>IFERROR(INDEX('كشف الحساب'!$D$4:$D$203,MATCH(62,'كشف الحساب'!$M$4:$M$203,0)),"")</f>
        <v/>
      </c>
      <c r="E168" s="29" t="s">
        <v>6</v>
      </c>
      <c r="F168" s="30" t="str">
        <f>IFERROR(INDEX('كشف الحساب'!$I$4:$I$203,MATCH(62,'كشف الحساب'!$M$4:$M$203,0)),"")</f>
        <v/>
      </c>
      <c r="G168" s="31"/>
      <c r="H168" t="str">
        <f>IF(AND(OR('طباعة المحفظة'!$C$2="الكل",IFERROR(MONTH(A168),0)=IFERROR(MATCH('طباعة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المحفظة'!$F$2="الكل",IFERROR(YEAR(A168),0)=IFERROR(VALUE('طباعة المحفظة'!$F$2),0)),A168&lt;&gt;""),IFERROR(MAX($H$107:H167),0)+1,"")</f>
        <v/>
      </c>
    </row>
    <row r="169" spans="1:8" ht="18" customHeight="1">
      <c r="A169" s="18" t="str">
        <f>IFERROR(INDEX('كشف الحساب'!$A$4:$A$203,MATCH(63,'كشف الحساب'!$M$4:$M$203,0)),"")</f>
        <v/>
      </c>
      <c r="B169" s="19" t="str">
        <f>IFERROR(INDEX('كشف الحساب'!$B$4:$B$203,MATCH(63,'كشف الحساب'!$M$4:$M$203,0)),"")</f>
        <v/>
      </c>
      <c r="C169" s="20" t="str">
        <f>IFERROR(INDEX('كشف الحساب'!$C$4:$C$203,MATCH(63,'كشف الحساب'!$M$4:$M$203,0)),"")</f>
        <v/>
      </c>
      <c r="D169" s="21" t="str">
        <f>IFERROR(INDEX('كشف الحساب'!$D$4:$D$203,MATCH(63,'كشف الحساب'!$M$4:$M$203,0)),"")</f>
        <v/>
      </c>
      <c r="E169" s="22" t="s">
        <v>6</v>
      </c>
      <c r="F169" s="23" t="str">
        <f>IFERROR(INDEX('كشف الحساب'!$I$4:$I$203,MATCH(63,'كشف الحساب'!$M$4:$M$203,0)),"")</f>
        <v/>
      </c>
      <c r="G169" s="24"/>
      <c r="H169" t="str">
        <f>IF(AND(OR('طباعة المحفظة'!$C$2="الكل",IFERROR(MONTH(A169),0)=IFERROR(MATCH('طباعة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المحفظة'!$F$2="الكل",IFERROR(YEAR(A169),0)=IFERROR(VALUE('طباعة المحفظة'!$F$2),0)),A169&lt;&gt;""),IFERROR(MAX($H$107:H168),0)+1,"")</f>
        <v/>
      </c>
    </row>
    <row r="170" spans="1:8" ht="18" customHeight="1">
      <c r="A170" s="25" t="str">
        <f>IFERROR(INDEX('كشف الحساب'!$A$4:$A$203,MATCH(64,'كشف الحساب'!$M$4:$M$203,0)),"")</f>
        <v/>
      </c>
      <c r="B170" s="26" t="str">
        <f>IFERROR(INDEX('كشف الحساب'!$B$4:$B$203,MATCH(64,'كشف الحساب'!$M$4:$M$203,0)),"")</f>
        <v/>
      </c>
      <c r="C170" s="27" t="str">
        <f>IFERROR(INDEX('كشف الحساب'!$C$4:$C$203,MATCH(64,'كشف الحساب'!$M$4:$M$203,0)),"")</f>
        <v/>
      </c>
      <c r="D170" s="28" t="str">
        <f>IFERROR(INDEX('كشف الحساب'!$D$4:$D$203,MATCH(64,'كشف الحساب'!$M$4:$M$203,0)),"")</f>
        <v/>
      </c>
      <c r="E170" s="29" t="s">
        <v>6</v>
      </c>
      <c r="F170" s="30" t="str">
        <f>IFERROR(INDEX('كشف الحساب'!$I$4:$I$203,MATCH(64,'كشف الحساب'!$M$4:$M$203,0)),"")</f>
        <v/>
      </c>
      <c r="G170" s="31"/>
      <c r="H170" t="str">
        <f>IF(AND(OR('طباعة المحفظة'!$C$2="الكل",IFERROR(MONTH(A170),0)=IFERROR(MATCH('طباعة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المحفظة'!$F$2="الكل",IFERROR(YEAR(A170),0)=IFERROR(VALUE('طباعة المحفظة'!$F$2),0)),A170&lt;&gt;""),IFERROR(MAX($H$107:H169),0)+1,"")</f>
        <v/>
      </c>
    </row>
    <row r="171" spans="1:8" ht="18" customHeight="1">
      <c r="A171" s="18" t="str">
        <f>IFERROR(INDEX('كشف الحساب'!$A$4:$A$203,MATCH(65,'كشف الحساب'!$M$4:$M$203,0)),"")</f>
        <v/>
      </c>
      <c r="B171" s="19" t="str">
        <f>IFERROR(INDEX('كشف الحساب'!$B$4:$B$203,MATCH(65,'كشف الحساب'!$M$4:$M$203,0)),"")</f>
        <v/>
      </c>
      <c r="C171" s="20" t="str">
        <f>IFERROR(INDEX('كشف الحساب'!$C$4:$C$203,MATCH(65,'كشف الحساب'!$M$4:$M$203,0)),"")</f>
        <v/>
      </c>
      <c r="D171" s="21" t="str">
        <f>IFERROR(INDEX('كشف الحساب'!$D$4:$D$203,MATCH(65,'كشف الحساب'!$M$4:$M$203,0)),"")</f>
        <v/>
      </c>
      <c r="E171" s="22" t="s">
        <v>6</v>
      </c>
      <c r="F171" s="23" t="str">
        <f>IFERROR(INDEX('كشف الحساب'!$I$4:$I$203,MATCH(65,'كشف الحساب'!$M$4:$M$203,0)),"")</f>
        <v/>
      </c>
      <c r="G171" s="24"/>
      <c r="H171" t="str">
        <f>IF(AND(OR('طباعة المحفظة'!$C$2="الكل",IFERROR(MONTH(A171),0)=IFERROR(MATCH('طباعة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المحفظة'!$F$2="الكل",IFERROR(YEAR(A171),0)=IFERROR(VALUE('طباعة المحفظة'!$F$2),0)),A171&lt;&gt;""),IFERROR(MAX($H$107:H170),0)+1,"")</f>
        <v/>
      </c>
    </row>
    <row r="172" spans="1:8" ht="18" customHeight="1">
      <c r="A172" s="25" t="str">
        <f>IFERROR(INDEX('كشف الحساب'!$A$4:$A$203,MATCH(66,'كشف الحساب'!$M$4:$M$203,0)),"")</f>
        <v/>
      </c>
      <c r="B172" s="26" t="str">
        <f>IFERROR(INDEX('كشف الحساب'!$B$4:$B$203,MATCH(66,'كشف الحساب'!$M$4:$M$203,0)),"")</f>
        <v/>
      </c>
      <c r="C172" s="27" t="str">
        <f>IFERROR(INDEX('كشف الحساب'!$C$4:$C$203,MATCH(66,'كشف الحساب'!$M$4:$M$203,0)),"")</f>
        <v/>
      </c>
      <c r="D172" s="28" t="str">
        <f>IFERROR(INDEX('كشف الحساب'!$D$4:$D$203,MATCH(66,'كشف الحساب'!$M$4:$M$203,0)),"")</f>
        <v/>
      </c>
      <c r="E172" s="29" t="s">
        <v>6</v>
      </c>
      <c r="F172" s="30" t="str">
        <f>IFERROR(INDEX('كشف الحساب'!$I$4:$I$203,MATCH(66,'كشف الحساب'!$M$4:$M$203,0)),"")</f>
        <v/>
      </c>
      <c r="G172" s="31"/>
      <c r="H172" t="str">
        <f>IF(AND(OR('طباعة المحفظة'!$C$2="الكل",IFERROR(MONTH(A172),0)=IFERROR(MATCH('طباعة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المحفظة'!$F$2="الكل",IFERROR(YEAR(A172),0)=IFERROR(VALUE('طباعة المحفظة'!$F$2),0)),A172&lt;&gt;""),IFERROR(MAX($H$107:H171),0)+1,"")</f>
        <v/>
      </c>
    </row>
    <row r="173" spans="1:8" ht="18" customHeight="1">
      <c r="A173" s="18" t="str">
        <f>IFERROR(INDEX('كشف الحساب'!$A$4:$A$203,MATCH(67,'كشف الحساب'!$M$4:$M$203,0)),"")</f>
        <v/>
      </c>
      <c r="B173" s="19" t="str">
        <f>IFERROR(INDEX('كشف الحساب'!$B$4:$B$203,MATCH(67,'كشف الحساب'!$M$4:$M$203,0)),"")</f>
        <v/>
      </c>
      <c r="C173" s="20" t="str">
        <f>IFERROR(INDEX('كشف الحساب'!$C$4:$C$203,MATCH(67,'كشف الحساب'!$M$4:$M$203,0)),"")</f>
        <v/>
      </c>
      <c r="D173" s="21" t="str">
        <f>IFERROR(INDEX('كشف الحساب'!$D$4:$D$203,MATCH(67,'كشف الحساب'!$M$4:$M$203,0)),"")</f>
        <v/>
      </c>
      <c r="E173" s="22" t="s">
        <v>6</v>
      </c>
      <c r="F173" s="23" t="str">
        <f>IFERROR(INDEX('كشف الحساب'!$I$4:$I$203,MATCH(67,'كشف الحساب'!$M$4:$M$203,0)),"")</f>
        <v/>
      </c>
      <c r="G173" s="24"/>
      <c r="H173" t="str">
        <f>IF(AND(OR('طباعة المحفظة'!$C$2="الكل",IFERROR(MONTH(A173),0)=IFERROR(MATCH('طباعة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المحفظة'!$F$2="الكل",IFERROR(YEAR(A173),0)=IFERROR(VALUE('طباعة المحفظة'!$F$2),0)),A173&lt;&gt;""),IFERROR(MAX($H$107:H172),0)+1,"")</f>
        <v/>
      </c>
    </row>
    <row r="174" spans="1:8" ht="18" customHeight="1">
      <c r="A174" s="25" t="str">
        <f>IFERROR(INDEX('كشف الحساب'!$A$4:$A$203,MATCH(68,'كشف الحساب'!$M$4:$M$203,0)),"")</f>
        <v/>
      </c>
      <c r="B174" s="26" t="str">
        <f>IFERROR(INDEX('كشف الحساب'!$B$4:$B$203,MATCH(68,'كشف الحساب'!$M$4:$M$203,0)),"")</f>
        <v/>
      </c>
      <c r="C174" s="27" t="str">
        <f>IFERROR(INDEX('كشف الحساب'!$C$4:$C$203,MATCH(68,'كشف الحساب'!$M$4:$M$203,0)),"")</f>
        <v/>
      </c>
      <c r="D174" s="28" t="str">
        <f>IFERROR(INDEX('كشف الحساب'!$D$4:$D$203,MATCH(68,'كشف الحساب'!$M$4:$M$203,0)),"")</f>
        <v/>
      </c>
      <c r="E174" s="29" t="s">
        <v>6</v>
      </c>
      <c r="F174" s="30" t="str">
        <f>IFERROR(INDEX('كشف الحساب'!$I$4:$I$203,MATCH(68,'كشف الحساب'!$M$4:$M$203,0)),"")</f>
        <v/>
      </c>
      <c r="G174" s="31"/>
      <c r="H174" t="str">
        <f>IF(AND(OR('طباعة المحفظة'!$C$2="الكل",IFERROR(MONTH(A174),0)=IFERROR(MATCH('طباعة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المحفظة'!$F$2="الكل",IFERROR(YEAR(A174),0)=IFERROR(VALUE('طباعة المحفظة'!$F$2),0)),A174&lt;&gt;""),IFERROR(MAX($H$107:H173),0)+1,"")</f>
        <v/>
      </c>
    </row>
    <row r="175" spans="1:8" ht="18" customHeight="1">
      <c r="A175" s="18" t="str">
        <f>IFERROR(INDEX('كشف الحساب'!$A$4:$A$203,MATCH(69,'كشف الحساب'!$M$4:$M$203,0)),"")</f>
        <v/>
      </c>
      <c r="B175" s="19" t="str">
        <f>IFERROR(INDEX('كشف الحساب'!$B$4:$B$203,MATCH(69,'كشف الحساب'!$M$4:$M$203,0)),"")</f>
        <v/>
      </c>
      <c r="C175" s="20" t="str">
        <f>IFERROR(INDEX('كشف الحساب'!$C$4:$C$203,MATCH(69,'كشف الحساب'!$M$4:$M$203,0)),"")</f>
        <v/>
      </c>
      <c r="D175" s="21" t="str">
        <f>IFERROR(INDEX('كشف الحساب'!$D$4:$D$203,MATCH(69,'كشف الحساب'!$M$4:$M$203,0)),"")</f>
        <v/>
      </c>
      <c r="E175" s="22" t="s">
        <v>6</v>
      </c>
      <c r="F175" s="23" t="str">
        <f>IFERROR(INDEX('كشف الحساب'!$I$4:$I$203,MATCH(69,'كشف الحساب'!$M$4:$M$203,0)),"")</f>
        <v/>
      </c>
      <c r="G175" s="24"/>
      <c r="H175" t="str">
        <f>IF(AND(OR('طباعة المحفظة'!$C$2="الكل",IFERROR(MONTH(A175),0)=IFERROR(MATCH('طباعة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المحفظة'!$F$2="الكل",IFERROR(YEAR(A175),0)=IFERROR(VALUE('طباعة المحفظة'!$F$2),0)),A175&lt;&gt;""),IFERROR(MAX($H$107:H174),0)+1,"")</f>
        <v/>
      </c>
    </row>
    <row r="176" spans="1:8" ht="18" customHeight="1">
      <c r="A176" s="25" t="str">
        <f>IFERROR(INDEX('كشف الحساب'!$A$4:$A$203,MATCH(70,'كشف الحساب'!$M$4:$M$203,0)),"")</f>
        <v/>
      </c>
      <c r="B176" s="26" t="str">
        <f>IFERROR(INDEX('كشف الحساب'!$B$4:$B$203,MATCH(70,'كشف الحساب'!$M$4:$M$203,0)),"")</f>
        <v/>
      </c>
      <c r="C176" s="27" t="str">
        <f>IFERROR(INDEX('كشف الحساب'!$C$4:$C$203,MATCH(70,'كشف الحساب'!$M$4:$M$203,0)),"")</f>
        <v/>
      </c>
      <c r="D176" s="28" t="str">
        <f>IFERROR(INDEX('كشف الحساب'!$D$4:$D$203,MATCH(70,'كشف الحساب'!$M$4:$M$203,0)),"")</f>
        <v/>
      </c>
      <c r="E176" s="29" t="s">
        <v>6</v>
      </c>
      <c r="F176" s="30" t="str">
        <f>IFERROR(INDEX('كشف الحساب'!$I$4:$I$203,MATCH(70,'كشف الحساب'!$M$4:$M$203,0)),"")</f>
        <v/>
      </c>
      <c r="G176" s="31"/>
      <c r="H176" t="str">
        <f>IF(AND(OR('طباعة المحفظة'!$C$2="الكل",IFERROR(MONTH(A176),0)=IFERROR(MATCH('طباعة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المحفظة'!$F$2="الكل",IFERROR(YEAR(A176),0)=IFERROR(VALUE('طباعة المحفظة'!$F$2),0)),A176&lt;&gt;""),IFERROR(MAX($H$107:H175),0)+1,"")</f>
        <v/>
      </c>
    </row>
    <row r="177" spans="1:8" ht="18" customHeight="1">
      <c r="A177" s="18" t="str">
        <f>IFERROR(INDEX('كشف الحساب'!$A$4:$A$203,MATCH(71,'كشف الحساب'!$M$4:$M$203,0)),"")</f>
        <v/>
      </c>
      <c r="B177" s="19" t="str">
        <f>IFERROR(INDEX('كشف الحساب'!$B$4:$B$203,MATCH(71,'كشف الحساب'!$M$4:$M$203,0)),"")</f>
        <v/>
      </c>
      <c r="C177" s="20" t="str">
        <f>IFERROR(INDEX('كشف الحساب'!$C$4:$C$203,MATCH(71,'كشف الحساب'!$M$4:$M$203,0)),"")</f>
        <v/>
      </c>
      <c r="D177" s="21" t="str">
        <f>IFERROR(INDEX('كشف الحساب'!$D$4:$D$203,MATCH(71,'كشف الحساب'!$M$4:$M$203,0)),"")</f>
        <v/>
      </c>
      <c r="E177" s="22" t="s">
        <v>6</v>
      </c>
      <c r="F177" s="23" t="str">
        <f>IFERROR(INDEX('كشف الحساب'!$I$4:$I$203,MATCH(71,'كشف الحساب'!$M$4:$M$203,0)),"")</f>
        <v/>
      </c>
      <c r="G177" s="24"/>
      <c r="H177" t="str">
        <f>IF(AND(OR('طباعة المحفظة'!$C$2="الكل",IFERROR(MONTH(A177),0)=IFERROR(MATCH('طباعة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المحفظة'!$F$2="الكل",IFERROR(YEAR(A177),0)=IFERROR(VALUE('طباعة المحفظة'!$F$2),0)),A177&lt;&gt;""),IFERROR(MAX($H$107:H176),0)+1,"")</f>
        <v/>
      </c>
    </row>
    <row r="178" spans="1:8" ht="18" customHeight="1">
      <c r="A178" s="25" t="str">
        <f>IFERROR(INDEX('كشف الحساب'!$A$4:$A$203,MATCH(72,'كشف الحساب'!$M$4:$M$203,0)),"")</f>
        <v/>
      </c>
      <c r="B178" s="26" t="str">
        <f>IFERROR(INDEX('كشف الحساب'!$B$4:$B$203,MATCH(72,'كشف الحساب'!$M$4:$M$203,0)),"")</f>
        <v/>
      </c>
      <c r="C178" s="27" t="str">
        <f>IFERROR(INDEX('كشف الحساب'!$C$4:$C$203,MATCH(72,'كشف الحساب'!$M$4:$M$203,0)),"")</f>
        <v/>
      </c>
      <c r="D178" s="28" t="str">
        <f>IFERROR(INDEX('كشف الحساب'!$D$4:$D$203,MATCH(72,'كشف الحساب'!$M$4:$M$203,0)),"")</f>
        <v/>
      </c>
      <c r="E178" s="29" t="s">
        <v>6</v>
      </c>
      <c r="F178" s="30" t="str">
        <f>IFERROR(INDEX('كشف الحساب'!$I$4:$I$203,MATCH(72,'كشف الحساب'!$M$4:$M$203,0)),"")</f>
        <v/>
      </c>
      <c r="G178" s="31"/>
      <c r="H178" t="str">
        <f>IF(AND(OR('طباعة المحفظة'!$C$2="الكل",IFERROR(MONTH(A178),0)=IFERROR(MATCH('طباعة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المحفظة'!$F$2="الكل",IFERROR(YEAR(A178),0)=IFERROR(VALUE('طباعة المحفظة'!$F$2),0)),A178&lt;&gt;""),IFERROR(MAX($H$107:H177),0)+1,"")</f>
        <v/>
      </c>
    </row>
    <row r="179" spans="1:8" ht="18" customHeight="1">
      <c r="A179" s="18" t="str">
        <f>IFERROR(INDEX('كشف الحساب'!$A$4:$A$203,MATCH(73,'كشف الحساب'!$M$4:$M$203,0)),"")</f>
        <v/>
      </c>
      <c r="B179" s="19" t="str">
        <f>IFERROR(INDEX('كشف الحساب'!$B$4:$B$203,MATCH(73,'كشف الحساب'!$M$4:$M$203,0)),"")</f>
        <v/>
      </c>
      <c r="C179" s="20" t="str">
        <f>IFERROR(INDEX('كشف الحساب'!$C$4:$C$203,MATCH(73,'كشف الحساب'!$M$4:$M$203,0)),"")</f>
        <v/>
      </c>
      <c r="D179" s="21" t="str">
        <f>IFERROR(INDEX('كشف الحساب'!$D$4:$D$203,MATCH(73,'كشف الحساب'!$M$4:$M$203,0)),"")</f>
        <v/>
      </c>
      <c r="E179" s="22" t="s">
        <v>6</v>
      </c>
      <c r="F179" s="23" t="str">
        <f>IFERROR(INDEX('كشف الحساب'!$I$4:$I$203,MATCH(73,'كشف الحساب'!$M$4:$M$203,0)),"")</f>
        <v/>
      </c>
      <c r="G179" s="24"/>
      <c r="H179" t="str">
        <f>IF(AND(OR('طباعة المحفظة'!$C$2="الكل",IFERROR(MONTH(A179),0)=IFERROR(MATCH('طباعة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المحفظة'!$F$2="الكل",IFERROR(YEAR(A179),0)=IFERROR(VALUE('طباعة المحفظة'!$F$2),0)),A179&lt;&gt;""),IFERROR(MAX($H$107:H178),0)+1,"")</f>
        <v/>
      </c>
    </row>
    <row r="180" spans="1:8" ht="18" customHeight="1">
      <c r="A180" s="25" t="str">
        <f>IFERROR(INDEX('كشف الحساب'!$A$4:$A$203,MATCH(74,'كشف الحساب'!$M$4:$M$203,0)),"")</f>
        <v/>
      </c>
      <c r="B180" s="26" t="str">
        <f>IFERROR(INDEX('كشف الحساب'!$B$4:$B$203,MATCH(74,'كشف الحساب'!$M$4:$M$203,0)),"")</f>
        <v/>
      </c>
      <c r="C180" s="27" t="str">
        <f>IFERROR(INDEX('كشف الحساب'!$C$4:$C$203,MATCH(74,'كشف الحساب'!$M$4:$M$203,0)),"")</f>
        <v/>
      </c>
      <c r="D180" s="28" t="str">
        <f>IFERROR(INDEX('كشف الحساب'!$D$4:$D$203,MATCH(74,'كشف الحساب'!$M$4:$M$203,0)),"")</f>
        <v/>
      </c>
      <c r="E180" s="29" t="s">
        <v>6</v>
      </c>
      <c r="F180" s="30" t="str">
        <f>IFERROR(INDEX('كشف الحساب'!$I$4:$I$203,MATCH(74,'كشف الحساب'!$M$4:$M$203,0)),"")</f>
        <v/>
      </c>
      <c r="G180" s="31"/>
      <c r="H180" t="str">
        <f>IF(AND(OR('طباعة المحفظة'!$C$2="الكل",IFERROR(MONTH(A180),0)=IFERROR(MATCH('طباعة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المحفظة'!$F$2="الكل",IFERROR(YEAR(A180),0)=IFERROR(VALUE('طباعة المحفظة'!$F$2),0)),A180&lt;&gt;""),IFERROR(MAX($H$107:H179),0)+1,"")</f>
        <v/>
      </c>
    </row>
    <row r="181" spans="1:8" ht="18" customHeight="1">
      <c r="A181" s="18" t="str">
        <f>IFERROR(INDEX('كشف الحساب'!$A$4:$A$203,MATCH(75,'كشف الحساب'!$M$4:$M$203,0)),"")</f>
        <v/>
      </c>
      <c r="B181" s="19" t="str">
        <f>IFERROR(INDEX('كشف الحساب'!$B$4:$B$203,MATCH(75,'كشف الحساب'!$M$4:$M$203,0)),"")</f>
        <v/>
      </c>
      <c r="C181" s="20" t="str">
        <f>IFERROR(INDEX('كشف الحساب'!$C$4:$C$203,MATCH(75,'كشف الحساب'!$M$4:$M$203,0)),"")</f>
        <v/>
      </c>
      <c r="D181" s="21" t="str">
        <f>IFERROR(INDEX('كشف الحساب'!$D$4:$D$203,MATCH(75,'كشف الحساب'!$M$4:$M$203,0)),"")</f>
        <v/>
      </c>
      <c r="E181" s="22" t="s">
        <v>6</v>
      </c>
      <c r="F181" s="23" t="str">
        <f>IFERROR(INDEX('كشف الحساب'!$I$4:$I$203,MATCH(75,'كشف الحساب'!$M$4:$M$203,0)),"")</f>
        <v/>
      </c>
      <c r="G181" s="24"/>
      <c r="H181" t="str">
        <f>IF(AND(OR('طباعة المحفظة'!$C$2="الكل",IFERROR(MONTH(A181),0)=IFERROR(MATCH('طباعة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المحفظة'!$F$2="الكل",IFERROR(YEAR(A181),0)=IFERROR(VALUE('طباعة المحفظة'!$F$2),0)),A181&lt;&gt;""),IFERROR(MAX($H$107:H180),0)+1,"")</f>
        <v/>
      </c>
    </row>
    <row r="182" spans="1:8" ht="18" customHeight="1">
      <c r="A182" s="25" t="str">
        <f>IFERROR(INDEX('كشف الحساب'!$A$4:$A$203,MATCH(76,'كشف الحساب'!$M$4:$M$203,0)),"")</f>
        <v/>
      </c>
      <c r="B182" s="26" t="str">
        <f>IFERROR(INDEX('كشف الحساب'!$B$4:$B$203,MATCH(76,'كشف الحساب'!$M$4:$M$203,0)),"")</f>
        <v/>
      </c>
      <c r="C182" s="27" t="str">
        <f>IFERROR(INDEX('كشف الحساب'!$C$4:$C$203,MATCH(76,'كشف الحساب'!$M$4:$M$203,0)),"")</f>
        <v/>
      </c>
      <c r="D182" s="28" t="str">
        <f>IFERROR(INDEX('كشف الحساب'!$D$4:$D$203,MATCH(76,'كشف الحساب'!$M$4:$M$203,0)),"")</f>
        <v/>
      </c>
      <c r="E182" s="29" t="s">
        <v>6</v>
      </c>
      <c r="F182" s="30" t="str">
        <f>IFERROR(INDEX('كشف الحساب'!$I$4:$I$203,MATCH(76,'كشف الحساب'!$M$4:$M$203,0)),"")</f>
        <v/>
      </c>
      <c r="G182" s="31"/>
      <c r="H182" t="str">
        <f>IF(AND(OR('طباعة المحفظة'!$C$2="الكل",IFERROR(MONTH(A182),0)=IFERROR(MATCH('طباعة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المحفظة'!$F$2="الكل",IFERROR(YEAR(A182),0)=IFERROR(VALUE('طباعة المحفظة'!$F$2),0)),A182&lt;&gt;""),IFERROR(MAX($H$107:H181),0)+1,"")</f>
        <v/>
      </c>
    </row>
    <row r="183" spans="1:8" ht="18" customHeight="1">
      <c r="A183" s="18" t="str">
        <f>IFERROR(INDEX('كشف الحساب'!$A$4:$A$203,MATCH(77,'كشف الحساب'!$M$4:$M$203,0)),"")</f>
        <v/>
      </c>
      <c r="B183" s="19" t="str">
        <f>IFERROR(INDEX('كشف الحساب'!$B$4:$B$203,MATCH(77,'كشف الحساب'!$M$4:$M$203,0)),"")</f>
        <v/>
      </c>
      <c r="C183" s="20" t="str">
        <f>IFERROR(INDEX('كشف الحساب'!$C$4:$C$203,MATCH(77,'كشف الحساب'!$M$4:$M$203,0)),"")</f>
        <v/>
      </c>
      <c r="D183" s="21" t="str">
        <f>IFERROR(INDEX('كشف الحساب'!$D$4:$D$203,MATCH(77,'كشف الحساب'!$M$4:$M$203,0)),"")</f>
        <v/>
      </c>
      <c r="E183" s="22" t="s">
        <v>6</v>
      </c>
      <c r="F183" s="23" t="str">
        <f>IFERROR(INDEX('كشف الحساب'!$I$4:$I$203,MATCH(77,'كشف الحساب'!$M$4:$M$203,0)),"")</f>
        <v/>
      </c>
      <c r="G183" s="24"/>
      <c r="H183" t="str">
        <f>IF(AND(OR('طباعة المحفظة'!$C$2="الكل",IFERROR(MONTH(A183),0)=IFERROR(MATCH('طباعة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المحفظة'!$F$2="الكل",IFERROR(YEAR(A183),0)=IFERROR(VALUE('طباعة المحفظة'!$F$2),0)),A183&lt;&gt;""),IFERROR(MAX($H$107:H182),0)+1,"")</f>
        <v/>
      </c>
    </row>
    <row r="184" spans="1:8" ht="18" customHeight="1">
      <c r="A184" s="25" t="str">
        <f>IFERROR(INDEX('كشف الحساب'!$A$4:$A$203,MATCH(78,'كشف الحساب'!$M$4:$M$203,0)),"")</f>
        <v/>
      </c>
      <c r="B184" s="26" t="str">
        <f>IFERROR(INDEX('كشف الحساب'!$B$4:$B$203,MATCH(78,'كشف الحساب'!$M$4:$M$203,0)),"")</f>
        <v/>
      </c>
      <c r="C184" s="27" t="str">
        <f>IFERROR(INDEX('كشف الحساب'!$C$4:$C$203,MATCH(78,'كشف الحساب'!$M$4:$M$203,0)),"")</f>
        <v/>
      </c>
      <c r="D184" s="28" t="str">
        <f>IFERROR(INDEX('كشف الحساب'!$D$4:$D$203,MATCH(78,'كشف الحساب'!$M$4:$M$203,0)),"")</f>
        <v/>
      </c>
      <c r="E184" s="29" t="s">
        <v>6</v>
      </c>
      <c r="F184" s="30" t="str">
        <f>IFERROR(INDEX('كشف الحساب'!$I$4:$I$203,MATCH(78,'كشف الحساب'!$M$4:$M$203,0)),"")</f>
        <v/>
      </c>
      <c r="G184" s="31"/>
      <c r="H184" t="str">
        <f>IF(AND(OR('طباعة المحفظة'!$C$2="الكل",IFERROR(MONTH(A184),0)=IFERROR(MATCH('طباعة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المحفظة'!$F$2="الكل",IFERROR(YEAR(A184),0)=IFERROR(VALUE('طباعة المحفظة'!$F$2),0)),A184&lt;&gt;""),IFERROR(MAX($H$107:H183),0)+1,"")</f>
        <v/>
      </c>
    </row>
    <row r="185" spans="1:8" ht="18" customHeight="1">
      <c r="A185" s="18" t="str">
        <f>IFERROR(INDEX('كشف الحساب'!$A$4:$A$203,MATCH(79,'كشف الحساب'!$M$4:$M$203,0)),"")</f>
        <v/>
      </c>
      <c r="B185" s="19" t="str">
        <f>IFERROR(INDEX('كشف الحساب'!$B$4:$B$203,MATCH(79,'كشف الحساب'!$M$4:$M$203,0)),"")</f>
        <v/>
      </c>
      <c r="C185" s="20" t="str">
        <f>IFERROR(INDEX('كشف الحساب'!$C$4:$C$203,MATCH(79,'كشف الحساب'!$M$4:$M$203,0)),"")</f>
        <v/>
      </c>
      <c r="D185" s="21" t="str">
        <f>IFERROR(INDEX('كشف الحساب'!$D$4:$D$203,MATCH(79,'كشف الحساب'!$M$4:$M$203,0)),"")</f>
        <v/>
      </c>
      <c r="E185" s="22" t="s">
        <v>6</v>
      </c>
      <c r="F185" s="23" t="str">
        <f>IFERROR(INDEX('كشف الحساب'!$I$4:$I$203,MATCH(79,'كشف الحساب'!$M$4:$M$203,0)),"")</f>
        <v/>
      </c>
      <c r="G185" s="24"/>
      <c r="H185" t="str">
        <f>IF(AND(OR('طباعة المحفظة'!$C$2="الكل",IFERROR(MONTH(A185),0)=IFERROR(MATCH('طباعة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المحفظة'!$F$2="الكل",IFERROR(YEAR(A185),0)=IFERROR(VALUE('طباعة المحفظة'!$F$2),0)),A185&lt;&gt;""),IFERROR(MAX($H$107:H184),0)+1,"")</f>
        <v/>
      </c>
    </row>
    <row r="186" spans="1:8" ht="18" customHeight="1">
      <c r="A186" s="25" t="str">
        <f>IFERROR(INDEX('كشف الحساب'!$A$4:$A$203,MATCH(80,'كشف الحساب'!$M$4:$M$203,0)),"")</f>
        <v/>
      </c>
      <c r="B186" s="26" t="str">
        <f>IFERROR(INDEX('كشف الحساب'!$B$4:$B$203,MATCH(80,'كشف الحساب'!$M$4:$M$203,0)),"")</f>
        <v/>
      </c>
      <c r="C186" s="27" t="str">
        <f>IFERROR(INDEX('كشف الحساب'!$C$4:$C$203,MATCH(80,'كشف الحساب'!$M$4:$M$203,0)),"")</f>
        <v/>
      </c>
      <c r="D186" s="28" t="str">
        <f>IFERROR(INDEX('كشف الحساب'!$D$4:$D$203,MATCH(80,'كشف الحساب'!$M$4:$M$203,0)),"")</f>
        <v/>
      </c>
      <c r="E186" s="29" t="s">
        <v>6</v>
      </c>
      <c r="F186" s="30" t="str">
        <f>IFERROR(INDEX('كشف الحساب'!$I$4:$I$203,MATCH(80,'كشف الحساب'!$M$4:$M$203,0)),"")</f>
        <v/>
      </c>
      <c r="G186" s="31"/>
      <c r="H186" t="str">
        <f>IF(AND(OR('طباعة المحفظة'!$C$2="الكل",IFERROR(MONTH(A186),0)=IFERROR(MATCH('طباعة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المحفظة'!$F$2="الكل",IFERROR(YEAR(A186),0)=IFERROR(VALUE('طباعة المحفظة'!$F$2),0)),A186&lt;&gt;""),IFERROR(MAX($H$107:H185),0)+1,"")</f>
        <v/>
      </c>
    </row>
    <row r="187" spans="1:8" ht="18" customHeight="1">
      <c r="A187" s="18" t="str">
        <f>IFERROR(INDEX('كشف الحساب'!$A$4:$A$203,MATCH(81,'كشف الحساب'!$M$4:$M$203,0)),"")</f>
        <v/>
      </c>
      <c r="B187" s="19" t="str">
        <f>IFERROR(INDEX('كشف الحساب'!$B$4:$B$203,MATCH(81,'كشف الحساب'!$M$4:$M$203,0)),"")</f>
        <v/>
      </c>
      <c r="C187" s="20" t="str">
        <f>IFERROR(INDEX('كشف الحساب'!$C$4:$C$203,MATCH(81,'كشف الحساب'!$M$4:$M$203,0)),"")</f>
        <v/>
      </c>
      <c r="D187" s="21" t="str">
        <f>IFERROR(INDEX('كشف الحساب'!$D$4:$D$203,MATCH(81,'كشف الحساب'!$M$4:$M$203,0)),"")</f>
        <v/>
      </c>
      <c r="E187" s="22" t="s">
        <v>6</v>
      </c>
      <c r="F187" s="23" t="str">
        <f>IFERROR(INDEX('كشف الحساب'!$I$4:$I$203,MATCH(81,'كشف الحساب'!$M$4:$M$203,0)),"")</f>
        <v/>
      </c>
      <c r="G187" s="24"/>
      <c r="H187" t="str">
        <f>IF(AND(OR('طباعة المحفظة'!$C$2="الكل",IFERROR(MONTH(A187),0)=IFERROR(MATCH('طباعة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المحفظة'!$F$2="الكل",IFERROR(YEAR(A187),0)=IFERROR(VALUE('طباعة المحفظة'!$F$2),0)),A187&lt;&gt;""),IFERROR(MAX($H$107:H186),0)+1,"")</f>
        <v/>
      </c>
    </row>
    <row r="188" spans="1:8" ht="18" customHeight="1">
      <c r="A188" s="25" t="str">
        <f>IFERROR(INDEX('كشف الحساب'!$A$4:$A$203,MATCH(82,'كشف الحساب'!$M$4:$M$203,0)),"")</f>
        <v/>
      </c>
      <c r="B188" s="26" t="str">
        <f>IFERROR(INDEX('كشف الحساب'!$B$4:$B$203,MATCH(82,'كشف الحساب'!$M$4:$M$203,0)),"")</f>
        <v/>
      </c>
      <c r="C188" s="27" t="str">
        <f>IFERROR(INDEX('كشف الحساب'!$C$4:$C$203,MATCH(82,'كشف الحساب'!$M$4:$M$203,0)),"")</f>
        <v/>
      </c>
      <c r="D188" s="28" t="str">
        <f>IFERROR(INDEX('كشف الحساب'!$D$4:$D$203,MATCH(82,'كشف الحساب'!$M$4:$M$203,0)),"")</f>
        <v/>
      </c>
      <c r="E188" s="29" t="s">
        <v>6</v>
      </c>
      <c r="F188" s="30" t="str">
        <f>IFERROR(INDEX('كشف الحساب'!$I$4:$I$203,MATCH(82,'كشف الحساب'!$M$4:$M$203,0)),"")</f>
        <v/>
      </c>
      <c r="G188" s="31"/>
      <c r="H188" t="str">
        <f>IF(AND(OR('طباعة المحفظة'!$C$2="الكل",IFERROR(MONTH(A188),0)=IFERROR(MATCH('طباعة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المحفظة'!$F$2="الكل",IFERROR(YEAR(A188),0)=IFERROR(VALUE('طباعة المحفظة'!$F$2),0)),A188&lt;&gt;""),IFERROR(MAX($H$107:H187),0)+1,"")</f>
        <v/>
      </c>
    </row>
    <row r="189" spans="1:8" ht="18" customHeight="1">
      <c r="A189" s="18" t="str">
        <f>IFERROR(INDEX('كشف الحساب'!$A$4:$A$203,MATCH(83,'كشف الحساب'!$M$4:$M$203,0)),"")</f>
        <v/>
      </c>
      <c r="B189" s="19" t="str">
        <f>IFERROR(INDEX('كشف الحساب'!$B$4:$B$203,MATCH(83,'كشف الحساب'!$M$4:$M$203,0)),"")</f>
        <v/>
      </c>
      <c r="C189" s="20" t="str">
        <f>IFERROR(INDEX('كشف الحساب'!$C$4:$C$203,MATCH(83,'كشف الحساب'!$M$4:$M$203,0)),"")</f>
        <v/>
      </c>
      <c r="D189" s="21" t="str">
        <f>IFERROR(INDEX('كشف الحساب'!$D$4:$D$203,MATCH(83,'كشف الحساب'!$M$4:$M$203,0)),"")</f>
        <v/>
      </c>
      <c r="E189" s="22" t="s">
        <v>6</v>
      </c>
      <c r="F189" s="23" t="str">
        <f>IFERROR(INDEX('كشف الحساب'!$I$4:$I$203,MATCH(83,'كشف الحساب'!$M$4:$M$203,0)),"")</f>
        <v/>
      </c>
      <c r="G189" s="24"/>
      <c r="H189" t="str">
        <f>IF(AND(OR('طباعة المحفظة'!$C$2="الكل",IFERROR(MONTH(A189),0)=IFERROR(MATCH('طباعة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المحفظة'!$F$2="الكل",IFERROR(YEAR(A189),0)=IFERROR(VALUE('طباعة المحفظة'!$F$2),0)),A189&lt;&gt;""),IFERROR(MAX($H$107:H188),0)+1,"")</f>
        <v/>
      </c>
    </row>
    <row r="190" spans="1:8" ht="18" customHeight="1">
      <c r="A190" s="25" t="str">
        <f>IFERROR(INDEX('كشف الحساب'!$A$4:$A$203,MATCH(84,'كشف الحساب'!$M$4:$M$203,0)),"")</f>
        <v/>
      </c>
      <c r="B190" s="26" t="str">
        <f>IFERROR(INDEX('كشف الحساب'!$B$4:$B$203,MATCH(84,'كشف الحساب'!$M$4:$M$203,0)),"")</f>
        <v/>
      </c>
      <c r="C190" s="27" t="str">
        <f>IFERROR(INDEX('كشف الحساب'!$C$4:$C$203,MATCH(84,'كشف الحساب'!$M$4:$M$203,0)),"")</f>
        <v/>
      </c>
      <c r="D190" s="28" t="str">
        <f>IFERROR(INDEX('كشف الحساب'!$D$4:$D$203,MATCH(84,'كشف الحساب'!$M$4:$M$203,0)),"")</f>
        <v/>
      </c>
      <c r="E190" s="29" t="s">
        <v>6</v>
      </c>
      <c r="F190" s="30" t="str">
        <f>IFERROR(INDEX('كشف الحساب'!$I$4:$I$203,MATCH(84,'كشف الحساب'!$M$4:$M$203,0)),"")</f>
        <v/>
      </c>
      <c r="G190" s="31"/>
      <c r="H190" t="str">
        <f>IF(AND(OR('طباعة المحفظة'!$C$2="الكل",IFERROR(MONTH(A190),0)=IFERROR(MATCH('طباعة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المحفظة'!$F$2="الكل",IFERROR(YEAR(A190),0)=IFERROR(VALUE('طباعة المحفظة'!$F$2),0)),A190&lt;&gt;""),IFERROR(MAX($H$107:H189),0)+1,"")</f>
        <v/>
      </c>
    </row>
    <row r="191" spans="1:8" ht="18" customHeight="1">
      <c r="A191" s="18" t="str">
        <f>IFERROR(INDEX('كشف الحساب'!$A$4:$A$203,MATCH(85,'كشف الحساب'!$M$4:$M$203,0)),"")</f>
        <v/>
      </c>
      <c r="B191" s="19" t="str">
        <f>IFERROR(INDEX('كشف الحساب'!$B$4:$B$203,MATCH(85,'كشف الحساب'!$M$4:$M$203,0)),"")</f>
        <v/>
      </c>
      <c r="C191" s="20" t="str">
        <f>IFERROR(INDEX('كشف الحساب'!$C$4:$C$203,MATCH(85,'كشف الحساب'!$M$4:$M$203,0)),"")</f>
        <v/>
      </c>
      <c r="D191" s="21" t="str">
        <f>IFERROR(INDEX('كشف الحساب'!$D$4:$D$203,MATCH(85,'كشف الحساب'!$M$4:$M$203,0)),"")</f>
        <v/>
      </c>
      <c r="E191" s="22" t="s">
        <v>6</v>
      </c>
      <c r="F191" s="23" t="str">
        <f>IFERROR(INDEX('كشف الحساب'!$I$4:$I$203,MATCH(85,'كشف الحساب'!$M$4:$M$203,0)),"")</f>
        <v/>
      </c>
      <c r="G191" s="24"/>
      <c r="H191" t="str">
        <f>IF(AND(OR('طباعة المحفظة'!$C$2="الكل",IFERROR(MONTH(A191),0)=IFERROR(MATCH('طباعة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المحفظة'!$F$2="الكل",IFERROR(YEAR(A191),0)=IFERROR(VALUE('طباعة المحفظة'!$F$2),0)),A191&lt;&gt;""),IFERROR(MAX($H$107:H190),0)+1,"")</f>
        <v/>
      </c>
    </row>
    <row r="192" spans="1:8" ht="18" customHeight="1">
      <c r="A192" s="25" t="str">
        <f>IFERROR(INDEX('كشف الحساب'!$A$4:$A$203,MATCH(86,'كشف الحساب'!$M$4:$M$203,0)),"")</f>
        <v/>
      </c>
      <c r="B192" s="26" t="str">
        <f>IFERROR(INDEX('كشف الحساب'!$B$4:$B$203,MATCH(86,'كشف الحساب'!$M$4:$M$203,0)),"")</f>
        <v/>
      </c>
      <c r="C192" s="27" t="str">
        <f>IFERROR(INDEX('كشف الحساب'!$C$4:$C$203,MATCH(86,'كشف الحساب'!$M$4:$M$203,0)),"")</f>
        <v/>
      </c>
      <c r="D192" s="28" t="str">
        <f>IFERROR(INDEX('كشف الحساب'!$D$4:$D$203,MATCH(86,'كشف الحساب'!$M$4:$M$203,0)),"")</f>
        <v/>
      </c>
      <c r="E192" s="29" t="s">
        <v>6</v>
      </c>
      <c r="F192" s="30" t="str">
        <f>IFERROR(INDEX('كشف الحساب'!$I$4:$I$203,MATCH(86,'كشف الحساب'!$M$4:$M$203,0)),"")</f>
        <v/>
      </c>
      <c r="G192" s="31"/>
      <c r="H192" t="str">
        <f>IF(AND(OR('طباعة المحفظة'!$C$2="الكل",IFERROR(MONTH(A192),0)=IFERROR(MATCH('طباعة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المحفظة'!$F$2="الكل",IFERROR(YEAR(A192),0)=IFERROR(VALUE('طباعة المحفظة'!$F$2),0)),A192&lt;&gt;""),IFERROR(MAX($H$107:H191),0)+1,"")</f>
        <v/>
      </c>
    </row>
    <row r="193" spans="1:8" ht="18" customHeight="1">
      <c r="A193" s="18" t="str">
        <f>IFERROR(INDEX('كشف الحساب'!$A$4:$A$203,MATCH(87,'كشف الحساب'!$M$4:$M$203,0)),"")</f>
        <v/>
      </c>
      <c r="B193" s="19" t="str">
        <f>IFERROR(INDEX('كشف الحساب'!$B$4:$B$203,MATCH(87,'كشف الحساب'!$M$4:$M$203,0)),"")</f>
        <v/>
      </c>
      <c r="C193" s="20" t="str">
        <f>IFERROR(INDEX('كشف الحساب'!$C$4:$C$203,MATCH(87,'كشف الحساب'!$M$4:$M$203,0)),"")</f>
        <v/>
      </c>
      <c r="D193" s="21" t="str">
        <f>IFERROR(INDEX('كشف الحساب'!$D$4:$D$203,MATCH(87,'كشف الحساب'!$M$4:$M$203,0)),"")</f>
        <v/>
      </c>
      <c r="E193" s="22" t="s">
        <v>6</v>
      </c>
      <c r="F193" s="23" t="str">
        <f>IFERROR(INDEX('كشف الحساب'!$I$4:$I$203,MATCH(87,'كشف الحساب'!$M$4:$M$203,0)),"")</f>
        <v/>
      </c>
      <c r="G193" s="24"/>
      <c r="H193" t="str">
        <f>IF(AND(OR('طباعة المحفظة'!$C$2="الكل",IFERROR(MONTH(A193),0)=IFERROR(MATCH('طباعة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المحفظة'!$F$2="الكل",IFERROR(YEAR(A193),0)=IFERROR(VALUE('طباعة المحفظة'!$F$2),0)),A193&lt;&gt;""),IFERROR(MAX($H$107:H192),0)+1,"")</f>
        <v/>
      </c>
    </row>
    <row r="194" spans="1:8" ht="18" customHeight="1">
      <c r="A194" s="25" t="str">
        <f>IFERROR(INDEX('كشف الحساب'!$A$4:$A$203,MATCH(88,'كشف الحساب'!$M$4:$M$203,0)),"")</f>
        <v/>
      </c>
      <c r="B194" s="26" t="str">
        <f>IFERROR(INDEX('كشف الحساب'!$B$4:$B$203,MATCH(88,'كشف الحساب'!$M$4:$M$203,0)),"")</f>
        <v/>
      </c>
      <c r="C194" s="27" t="str">
        <f>IFERROR(INDEX('كشف الحساب'!$C$4:$C$203,MATCH(88,'كشف الحساب'!$M$4:$M$203,0)),"")</f>
        <v/>
      </c>
      <c r="D194" s="28" t="str">
        <f>IFERROR(INDEX('كشف الحساب'!$D$4:$D$203,MATCH(88,'كشف الحساب'!$M$4:$M$203,0)),"")</f>
        <v/>
      </c>
      <c r="E194" s="29" t="s">
        <v>6</v>
      </c>
      <c r="F194" s="30" t="str">
        <f>IFERROR(INDEX('كشف الحساب'!$I$4:$I$203,MATCH(88,'كشف الحساب'!$M$4:$M$203,0)),"")</f>
        <v/>
      </c>
      <c r="G194" s="31"/>
      <c r="H194" t="str">
        <f>IF(AND(OR('طباعة المحفظة'!$C$2="الكل",IFERROR(MONTH(A194),0)=IFERROR(MATCH('طباعة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المحفظة'!$F$2="الكل",IFERROR(YEAR(A194),0)=IFERROR(VALUE('طباعة المحفظة'!$F$2),0)),A194&lt;&gt;""),IFERROR(MAX($H$107:H193),0)+1,"")</f>
        <v/>
      </c>
    </row>
    <row r="195" spans="1:8" ht="18" customHeight="1">
      <c r="A195" s="18" t="str">
        <f>IFERROR(INDEX('كشف الحساب'!$A$4:$A$203,MATCH(89,'كشف الحساب'!$M$4:$M$203,0)),"")</f>
        <v/>
      </c>
      <c r="B195" s="19" t="str">
        <f>IFERROR(INDEX('كشف الحساب'!$B$4:$B$203,MATCH(89,'كشف الحساب'!$M$4:$M$203,0)),"")</f>
        <v/>
      </c>
      <c r="C195" s="20" t="str">
        <f>IFERROR(INDEX('كشف الحساب'!$C$4:$C$203,MATCH(89,'كشف الحساب'!$M$4:$M$203,0)),"")</f>
        <v/>
      </c>
      <c r="D195" s="21" t="str">
        <f>IFERROR(INDEX('كشف الحساب'!$D$4:$D$203,MATCH(89,'كشف الحساب'!$M$4:$M$203,0)),"")</f>
        <v/>
      </c>
      <c r="E195" s="22" t="s">
        <v>6</v>
      </c>
      <c r="F195" s="23" t="str">
        <f>IFERROR(INDEX('كشف الحساب'!$I$4:$I$203,MATCH(89,'كشف الحساب'!$M$4:$M$203,0)),"")</f>
        <v/>
      </c>
      <c r="G195" s="24"/>
      <c r="H195" t="str">
        <f>IF(AND(OR('طباعة المحفظة'!$C$2="الكل",IFERROR(MONTH(A195),0)=IFERROR(MATCH('طباعة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المحفظة'!$F$2="الكل",IFERROR(YEAR(A195),0)=IFERROR(VALUE('طباعة المحفظة'!$F$2),0)),A195&lt;&gt;""),IFERROR(MAX($H$107:H194),0)+1,"")</f>
        <v/>
      </c>
    </row>
    <row r="196" spans="1:8" ht="18" customHeight="1">
      <c r="A196" s="25" t="str">
        <f>IFERROR(INDEX('كشف الحساب'!$A$4:$A$203,MATCH(90,'كشف الحساب'!$M$4:$M$203,0)),"")</f>
        <v/>
      </c>
      <c r="B196" s="26" t="str">
        <f>IFERROR(INDEX('كشف الحساب'!$B$4:$B$203,MATCH(90,'كشف الحساب'!$M$4:$M$203,0)),"")</f>
        <v/>
      </c>
      <c r="C196" s="27" t="str">
        <f>IFERROR(INDEX('كشف الحساب'!$C$4:$C$203,MATCH(90,'كشف الحساب'!$M$4:$M$203,0)),"")</f>
        <v/>
      </c>
      <c r="D196" s="28" t="str">
        <f>IFERROR(INDEX('كشف الحساب'!$D$4:$D$203,MATCH(90,'كشف الحساب'!$M$4:$M$203,0)),"")</f>
        <v/>
      </c>
      <c r="E196" s="29" t="s">
        <v>6</v>
      </c>
      <c r="F196" s="30" t="str">
        <f>IFERROR(INDEX('كشف الحساب'!$I$4:$I$203,MATCH(90,'كشف الحساب'!$M$4:$M$203,0)),"")</f>
        <v/>
      </c>
      <c r="G196" s="31"/>
      <c r="H196" t="str">
        <f>IF(AND(OR('طباعة المحفظة'!$C$2="الكل",IFERROR(MONTH(A196),0)=IFERROR(MATCH('طباعة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المحفظة'!$F$2="الكل",IFERROR(YEAR(A196),0)=IFERROR(VALUE('طباعة المحفظة'!$F$2),0)),A196&lt;&gt;""),IFERROR(MAX($H$107:H195),0)+1,"")</f>
        <v/>
      </c>
    </row>
    <row r="197" spans="1:8" ht="18" customHeight="1">
      <c r="A197" s="18" t="str">
        <f>IFERROR(INDEX('كشف الحساب'!$A$4:$A$203,MATCH(91,'كشف الحساب'!$M$4:$M$203,0)),"")</f>
        <v/>
      </c>
      <c r="B197" s="19" t="str">
        <f>IFERROR(INDEX('كشف الحساب'!$B$4:$B$203,MATCH(91,'كشف الحساب'!$M$4:$M$203,0)),"")</f>
        <v/>
      </c>
      <c r="C197" s="20" t="str">
        <f>IFERROR(INDEX('كشف الحساب'!$C$4:$C$203,MATCH(91,'كشف الحساب'!$M$4:$M$203,0)),"")</f>
        <v/>
      </c>
      <c r="D197" s="21" t="str">
        <f>IFERROR(INDEX('كشف الحساب'!$D$4:$D$203,MATCH(91,'كشف الحساب'!$M$4:$M$203,0)),"")</f>
        <v/>
      </c>
      <c r="E197" s="22" t="s">
        <v>6</v>
      </c>
      <c r="F197" s="23" t="str">
        <f>IFERROR(INDEX('كشف الحساب'!$I$4:$I$203,MATCH(91,'كشف الحساب'!$M$4:$M$203,0)),"")</f>
        <v/>
      </c>
      <c r="G197" s="24"/>
      <c r="H197" t="str">
        <f>IF(AND(OR('طباعة المحفظة'!$C$2="الكل",IFERROR(MONTH(A197),0)=IFERROR(MATCH('طباعة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المحفظة'!$F$2="الكل",IFERROR(YEAR(A197),0)=IFERROR(VALUE('طباعة المحفظة'!$F$2),0)),A197&lt;&gt;""),IFERROR(MAX($H$107:H196),0)+1,"")</f>
        <v/>
      </c>
    </row>
    <row r="198" spans="1:8" ht="18" customHeight="1">
      <c r="A198" s="25" t="str">
        <f>IFERROR(INDEX('كشف الحساب'!$A$4:$A$203,MATCH(92,'كشف الحساب'!$M$4:$M$203,0)),"")</f>
        <v/>
      </c>
      <c r="B198" s="26" t="str">
        <f>IFERROR(INDEX('كشف الحساب'!$B$4:$B$203,MATCH(92,'كشف الحساب'!$M$4:$M$203,0)),"")</f>
        <v/>
      </c>
      <c r="C198" s="27" t="str">
        <f>IFERROR(INDEX('كشف الحساب'!$C$4:$C$203,MATCH(92,'كشف الحساب'!$M$4:$M$203,0)),"")</f>
        <v/>
      </c>
      <c r="D198" s="28" t="str">
        <f>IFERROR(INDEX('كشف الحساب'!$D$4:$D$203,MATCH(92,'كشف الحساب'!$M$4:$M$203,0)),"")</f>
        <v/>
      </c>
      <c r="E198" s="29" t="s">
        <v>6</v>
      </c>
      <c r="F198" s="30" t="str">
        <f>IFERROR(INDEX('كشف الحساب'!$I$4:$I$203,MATCH(92,'كشف الحساب'!$M$4:$M$203,0)),"")</f>
        <v/>
      </c>
      <c r="G198" s="31"/>
      <c r="H198" t="str">
        <f>IF(AND(OR('طباعة المحفظة'!$C$2="الكل",IFERROR(MONTH(A198),0)=IFERROR(MATCH('طباعة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المحفظة'!$F$2="الكل",IFERROR(YEAR(A198),0)=IFERROR(VALUE('طباعة المحفظة'!$F$2),0)),A198&lt;&gt;""),IFERROR(MAX($H$107:H197),0)+1,"")</f>
        <v/>
      </c>
    </row>
    <row r="199" spans="1:8" ht="18" customHeight="1">
      <c r="A199" s="18" t="str">
        <f>IFERROR(INDEX('كشف الحساب'!$A$4:$A$203,MATCH(93,'كشف الحساب'!$M$4:$M$203,0)),"")</f>
        <v/>
      </c>
      <c r="B199" s="19" t="str">
        <f>IFERROR(INDEX('كشف الحساب'!$B$4:$B$203,MATCH(93,'كشف الحساب'!$M$4:$M$203,0)),"")</f>
        <v/>
      </c>
      <c r="C199" s="20" t="str">
        <f>IFERROR(INDEX('كشف الحساب'!$C$4:$C$203,MATCH(93,'كشف الحساب'!$M$4:$M$203,0)),"")</f>
        <v/>
      </c>
      <c r="D199" s="21" t="str">
        <f>IFERROR(INDEX('كشف الحساب'!$D$4:$D$203,MATCH(93,'كشف الحساب'!$M$4:$M$203,0)),"")</f>
        <v/>
      </c>
      <c r="E199" s="22" t="s">
        <v>6</v>
      </c>
      <c r="F199" s="23" t="str">
        <f>IFERROR(INDEX('كشف الحساب'!$I$4:$I$203,MATCH(93,'كشف الحساب'!$M$4:$M$203,0)),"")</f>
        <v/>
      </c>
      <c r="G199" s="24"/>
      <c r="H199" t="str">
        <f>IF(AND(OR('طباعة المحفظة'!$C$2="الكل",IFERROR(MONTH(A199),0)=IFERROR(MATCH('طباعة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المحفظة'!$F$2="الكل",IFERROR(YEAR(A199),0)=IFERROR(VALUE('طباعة المحفظة'!$F$2),0)),A199&lt;&gt;""),IFERROR(MAX($H$107:H198),0)+1,"")</f>
        <v/>
      </c>
    </row>
    <row r="200" spans="1:8" ht="18" customHeight="1">
      <c r="A200" s="25" t="str">
        <f>IFERROR(INDEX('كشف الحساب'!$A$4:$A$203,MATCH(94,'كشف الحساب'!$M$4:$M$203,0)),"")</f>
        <v/>
      </c>
      <c r="B200" s="26" t="str">
        <f>IFERROR(INDEX('كشف الحساب'!$B$4:$B$203,MATCH(94,'كشف الحساب'!$M$4:$M$203,0)),"")</f>
        <v/>
      </c>
      <c r="C200" s="27" t="str">
        <f>IFERROR(INDEX('كشف الحساب'!$C$4:$C$203,MATCH(94,'كشف الحساب'!$M$4:$M$203,0)),"")</f>
        <v/>
      </c>
      <c r="D200" s="28" t="str">
        <f>IFERROR(INDEX('كشف الحساب'!$D$4:$D$203,MATCH(94,'كشف الحساب'!$M$4:$M$203,0)),"")</f>
        <v/>
      </c>
      <c r="E200" s="29" t="s">
        <v>6</v>
      </c>
      <c r="F200" s="30" t="str">
        <f>IFERROR(INDEX('كشف الحساب'!$I$4:$I$203,MATCH(94,'كشف الحساب'!$M$4:$M$203,0)),"")</f>
        <v/>
      </c>
      <c r="G200" s="31"/>
      <c r="H200" t="str">
        <f>IF(AND(OR('طباعة المحفظة'!$C$2="الكل",IFERROR(MONTH(A200),0)=IFERROR(MATCH('طباعة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المحفظة'!$F$2="الكل",IFERROR(YEAR(A200),0)=IFERROR(VALUE('طباعة المحفظة'!$F$2),0)),A200&lt;&gt;""),IFERROR(MAX($H$107:H199),0)+1,"")</f>
        <v/>
      </c>
    </row>
    <row r="201" spans="1:8" ht="18" customHeight="1">
      <c r="A201" s="18" t="str">
        <f>IFERROR(INDEX('كشف الحساب'!$A$4:$A$203,MATCH(95,'كشف الحساب'!$M$4:$M$203,0)),"")</f>
        <v/>
      </c>
      <c r="B201" s="19" t="str">
        <f>IFERROR(INDEX('كشف الحساب'!$B$4:$B$203,MATCH(95,'كشف الحساب'!$M$4:$M$203,0)),"")</f>
        <v/>
      </c>
      <c r="C201" s="20" t="str">
        <f>IFERROR(INDEX('كشف الحساب'!$C$4:$C$203,MATCH(95,'كشف الحساب'!$M$4:$M$203,0)),"")</f>
        <v/>
      </c>
      <c r="D201" s="21" t="str">
        <f>IFERROR(INDEX('كشف الحساب'!$D$4:$D$203,MATCH(95,'كشف الحساب'!$M$4:$M$203,0)),"")</f>
        <v/>
      </c>
      <c r="E201" s="22" t="s">
        <v>6</v>
      </c>
      <c r="F201" s="23" t="str">
        <f>IFERROR(INDEX('كشف الحساب'!$I$4:$I$203,MATCH(95,'كشف الحساب'!$M$4:$M$203,0)),"")</f>
        <v/>
      </c>
      <c r="G201" s="24"/>
      <c r="H201" t="str">
        <f>IF(AND(OR('طباعة المحفظة'!$C$2="الكل",IFERROR(MONTH(A201),0)=IFERROR(MATCH('طباعة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المحفظة'!$F$2="الكل",IFERROR(YEAR(A201),0)=IFERROR(VALUE('طباعة المحفظة'!$F$2),0)),A201&lt;&gt;""),IFERROR(MAX($H$107:H200),0)+1,"")</f>
        <v/>
      </c>
    </row>
    <row r="202" spans="1:8" ht="18" customHeight="1">
      <c r="A202" s="25" t="str">
        <f>IFERROR(INDEX('كشف الحساب'!$A$4:$A$203,MATCH(96,'كشف الحساب'!$M$4:$M$203,0)),"")</f>
        <v/>
      </c>
      <c r="B202" s="26" t="str">
        <f>IFERROR(INDEX('كشف الحساب'!$B$4:$B$203,MATCH(96,'كشف الحساب'!$M$4:$M$203,0)),"")</f>
        <v/>
      </c>
      <c r="C202" s="27" t="str">
        <f>IFERROR(INDEX('كشف الحساب'!$C$4:$C$203,MATCH(96,'كشف الحساب'!$M$4:$M$203,0)),"")</f>
        <v/>
      </c>
      <c r="D202" s="28" t="str">
        <f>IFERROR(INDEX('كشف الحساب'!$D$4:$D$203,MATCH(96,'كشف الحساب'!$M$4:$M$203,0)),"")</f>
        <v/>
      </c>
      <c r="E202" s="29" t="s">
        <v>6</v>
      </c>
      <c r="F202" s="30" t="str">
        <f>IFERROR(INDEX('كشف الحساب'!$I$4:$I$203,MATCH(96,'كشف الحساب'!$M$4:$M$203,0)),"")</f>
        <v/>
      </c>
      <c r="G202" s="31"/>
      <c r="H202" t="str">
        <f>IF(AND(OR('طباعة المحفظة'!$C$2="الكل",IFERROR(MONTH(A202),0)=IFERROR(MATCH('طباعة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المحفظة'!$F$2="الكل",IFERROR(YEAR(A202),0)=IFERROR(VALUE('طباعة المحفظة'!$F$2),0)),A202&lt;&gt;""),IFERROR(MAX($H$107:H201),0)+1,"")</f>
        <v/>
      </c>
    </row>
    <row r="203" spans="1:8" ht="18" customHeight="1">
      <c r="A203" s="18" t="str">
        <f>IFERROR(INDEX('كشف الحساب'!$A$4:$A$203,MATCH(97,'كشف الحساب'!$M$4:$M$203,0)),"")</f>
        <v/>
      </c>
      <c r="B203" s="19" t="str">
        <f>IFERROR(INDEX('كشف الحساب'!$B$4:$B$203,MATCH(97,'كشف الحساب'!$M$4:$M$203,0)),"")</f>
        <v/>
      </c>
      <c r="C203" s="20" t="str">
        <f>IFERROR(INDEX('كشف الحساب'!$C$4:$C$203,MATCH(97,'كشف الحساب'!$M$4:$M$203,0)),"")</f>
        <v/>
      </c>
      <c r="D203" s="21" t="str">
        <f>IFERROR(INDEX('كشف الحساب'!$D$4:$D$203,MATCH(97,'كشف الحساب'!$M$4:$M$203,0)),"")</f>
        <v/>
      </c>
      <c r="E203" s="22" t="s">
        <v>6</v>
      </c>
      <c r="F203" s="23" t="str">
        <f>IFERROR(INDEX('كشف الحساب'!$I$4:$I$203,MATCH(97,'كشف الحساب'!$M$4:$M$203,0)),"")</f>
        <v/>
      </c>
      <c r="G203" s="24"/>
      <c r="H203" t="str">
        <f>IF(AND(OR('طباعة المحفظة'!$C$2="الكل",IFERROR(MONTH(A203),0)=IFERROR(MATCH('طباعة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المحفظة'!$F$2="الكل",IFERROR(YEAR(A203),0)=IFERROR(VALUE('طباعة المحفظة'!$F$2),0)),A203&lt;&gt;""),IFERROR(MAX($H$107:H202),0)+1,"")</f>
        <v/>
      </c>
    </row>
    <row r="204" spans="1:8" ht="18" customHeight="1">
      <c r="A204" s="25" t="str">
        <f>IFERROR(INDEX('كشف الحساب'!$A$4:$A$203,MATCH(98,'كشف الحساب'!$M$4:$M$203,0)),"")</f>
        <v/>
      </c>
      <c r="B204" s="26" t="str">
        <f>IFERROR(INDEX('كشف الحساب'!$B$4:$B$203,MATCH(98,'كشف الحساب'!$M$4:$M$203,0)),"")</f>
        <v/>
      </c>
      <c r="C204" s="27" t="str">
        <f>IFERROR(INDEX('كشف الحساب'!$C$4:$C$203,MATCH(98,'كشف الحساب'!$M$4:$M$203,0)),"")</f>
        <v/>
      </c>
      <c r="D204" s="28" t="str">
        <f>IFERROR(INDEX('كشف الحساب'!$D$4:$D$203,MATCH(98,'كشف الحساب'!$M$4:$M$203,0)),"")</f>
        <v/>
      </c>
      <c r="E204" s="29" t="s">
        <v>6</v>
      </c>
      <c r="F204" s="30" t="str">
        <f>IFERROR(INDEX('كشف الحساب'!$I$4:$I$203,MATCH(98,'كشف الحساب'!$M$4:$M$203,0)),"")</f>
        <v/>
      </c>
      <c r="G204" s="31"/>
      <c r="H204" t="str">
        <f>IF(AND(OR('طباعة المحفظة'!$C$2="الكل",IFERROR(MONTH(A204),0)=IFERROR(MATCH('طباعة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المحفظة'!$F$2="الكل",IFERROR(YEAR(A204),0)=IFERROR(VALUE('طباعة المحفظة'!$F$2),0)),A204&lt;&gt;""),IFERROR(MAX($H$107:H203),0)+1,"")</f>
        <v/>
      </c>
    </row>
    <row r="205" spans="1:8" ht="18" customHeight="1">
      <c r="A205" s="18" t="str">
        <f>IFERROR(INDEX('كشف الحساب'!$A$4:$A$203,MATCH(99,'كشف الحساب'!$M$4:$M$203,0)),"")</f>
        <v/>
      </c>
      <c r="B205" s="19" t="str">
        <f>IFERROR(INDEX('كشف الحساب'!$B$4:$B$203,MATCH(99,'كشف الحساب'!$M$4:$M$203,0)),"")</f>
        <v/>
      </c>
      <c r="C205" s="20" t="str">
        <f>IFERROR(INDEX('كشف الحساب'!$C$4:$C$203,MATCH(99,'كشف الحساب'!$M$4:$M$203,0)),"")</f>
        <v/>
      </c>
      <c r="D205" s="21" t="str">
        <f>IFERROR(INDEX('كشف الحساب'!$D$4:$D$203,MATCH(99,'كشف الحساب'!$M$4:$M$203,0)),"")</f>
        <v/>
      </c>
      <c r="E205" s="22" t="s">
        <v>6</v>
      </c>
      <c r="F205" s="23" t="str">
        <f>IFERROR(INDEX('كشف الحساب'!$I$4:$I$203,MATCH(99,'كشف الحساب'!$M$4:$M$203,0)),"")</f>
        <v/>
      </c>
      <c r="G205" s="24"/>
      <c r="H205" t="str">
        <f>IF(AND(OR('طباعة المحفظة'!$C$2="الكل",IFERROR(MONTH(A205),0)=IFERROR(MATCH('طباعة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المحفظة'!$F$2="الكل",IFERROR(YEAR(A205),0)=IFERROR(VALUE('طباعة المحفظة'!$F$2),0)),A205&lt;&gt;""),IFERROR(MAX($H$107:H204),0)+1,"")</f>
        <v/>
      </c>
    </row>
    <row r="206" spans="1:8" ht="18" customHeight="1">
      <c r="A206" s="25" t="str">
        <f>IFERROR(INDEX('كشف الحساب'!$A$4:$A$203,MATCH(100,'كشف الحساب'!$M$4:$M$203,0)),"")</f>
        <v/>
      </c>
      <c r="B206" s="26" t="str">
        <f>IFERROR(INDEX('كشف الحساب'!$B$4:$B$203,MATCH(100,'كشف الحساب'!$M$4:$M$203,0)),"")</f>
        <v/>
      </c>
      <c r="C206" s="27" t="str">
        <f>IFERROR(INDEX('كشف الحساب'!$C$4:$C$203,MATCH(100,'كشف الحساب'!$M$4:$M$203,0)),"")</f>
        <v/>
      </c>
      <c r="D206" s="28" t="str">
        <f>IFERROR(INDEX('كشف الحساب'!$D$4:$D$203,MATCH(100,'كشف الحساب'!$M$4:$M$203,0)),"")</f>
        <v/>
      </c>
      <c r="E206" s="29" t="s">
        <v>6</v>
      </c>
      <c r="F206" s="30" t="str">
        <f>IFERROR(INDEX('كشف الحساب'!$I$4:$I$203,MATCH(100,'كشف الحساب'!$M$4:$M$203,0)),"")</f>
        <v/>
      </c>
      <c r="G206" s="31"/>
      <c r="H206" t="str">
        <f>IF(AND(OR('طباعة المحفظة'!$C$2="الكل",IFERROR(MONTH(A206),0)=IFERROR(MATCH('طباعة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المحفظة'!$F$2="الكل",IFERROR(YEAR(A206),0)=IFERROR(VALUE('طباعة المحفظة'!$F$2),0)),A206&lt;&gt;""),IFERROR(MAX($H$107:H205),0)+1,"")</f>
        <v/>
      </c>
    </row>
    <row r="207" spans="1:8" ht="21.75" customHeight="1">
      <c r="A207" s="142" t="s">
        <v>9</v>
      </c>
      <c r="B207" s="142"/>
      <c r="C207" s="142"/>
      <c r="D207" s="32">
        <f>SUM(D107:D206)</f>
        <v>202.5</v>
      </c>
    </row>
    <row r="208" spans="1:8" ht="27.75" customHeight="1">
      <c r="A208" s="143" t="s">
        <v>10</v>
      </c>
      <c r="B208" s="143"/>
      <c r="C208" s="143"/>
      <c r="D208" s="34">
        <f>$D$2+E105-D207</f>
        <v>316.60000000000002</v>
      </c>
      <c r="E208" s="144" t="s">
        <v>11</v>
      </c>
      <c r="F208" s="144"/>
      <c r="G208" s="144"/>
    </row>
    <row r="210" spans="1:7" ht="15" customHeight="1">
      <c r="A210" s="35" t="s">
        <v>12</v>
      </c>
    </row>
    <row r="211" spans="1:7" ht="15" customHeight="1">
      <c r="A211" s="36" t="s">
        <v>13</v>
      </c>
      <c r="B211" s="36" t="s">
        <v>14</v>
      </c>
      <c r="C211" s="36" t="s">
        <v>15</v>
      </c>
      <c r="D211" s="36" t="s">
        <v>16</v>
      </c>
      <c r="E211" s="37" t="s">
        <v>6</v>
      </c>
      <c r="F211" s="36" t="s">
        <v>17</v>
      </c>
      <c r="G211" s="36" t="s">
        <v>18</v>
      </c>
    </row>
    <row r="212" spans="1:7" ht="15" customHeight="1">
      <c r="A212" s="38">
        <f>IFERROR(INDEX('كشف الحساب'!$A$4:$A$203,MATCH(1,'كشف الحساب'!$O$4:$O$203,0)),"")</f>
        <v>46131</v>
      </c>
      <c r="B212">
        <f>IFERROR(INDEX('كشف الحساب'!$B$4:$B$203,MATCH(1,'كشف الحساب'!$O$4:$O$203,0)),"")</f>
        <v>0</v>
      </c>
      <c r="C212" t="str">
        <f>IFERROR(INDEX('كشف الحساب'!$C$4:$C$203,MATCH(1,'كشف الحساب'!$O$4:$O$203,0)),"")</f>
        <v>تبديل كمبرسيور ثلاجة العمال</v>
      </c>
      <c r="D212" s="39">
        <f>IFERROR(INDEX('كشف الحساب'!$D$4:$D$203,MATCH(1,'كشف الحساب'!$O$4:$O$203,0)),"")</f>
        <v>45</v>
      </c>
      <c r="E212" t="s">
        <v>6</v>
      </c>
      <c r="F212" t="str">
        <f>IFERROR(INDEX('كشف الحساب'!$I$4:$I$203,MATCH(1,'كشف الحساب'!$O$4:$O$203,0)),"")</f>
        <v>صيانة المعدات</v>
      </c>
      <c r="G212" t="str">
        <f>IFERROR(INDEX('كشف الحساب'!$G$4:$G$203,MATCH(1,'كشف الحساب'!$O$4:$O$203,0)),"")</f>
        <v>أبو اسحاق</v>
      </c>
    </row>
    <row r="213" spans="1:7" ht="15" customHeight="1">
      <c r="A213" s="38">
        <f>IFERROR(INDEX('كشف الحساب'!$A$4:$A$203,MATCH(2,'كشف الحساب'!$O$4:$O$203,0)),"")</f>
        <v>46134</v>
      </c>
      <c r="B213" t="str">
        <f>IFERROR(INDEX('كشف الحساب'!$B$4:$B$203,MATCH(2,'كشف الحساب'!$O$4:$O$203,0)),"")</f>
        <v>11300</v>
      </c>
      <c r="C213" t="str">
        <f>IFERROR(INDEX('كشف الحساب'!$C$4:$C$203,MATCH(2,'كشف الحساب'!$O$4:$O$203,0)),"")</f>
        <v>فلاتر كيميكال لمحطة التحلية</v>
      </c>
      <c r="D213" s="39">
        <f>IFERROR(INDEX('كشف الحساب'!$D$4:$D$203,MATCH(2,'كشف الحساب'!$O$4:$O$203,0)),"")</f>
        <v>55</v>
      </c>
      <c r="E213" t="s">
        <v>6</v>
      </c>
      <c r="F213" t="str">
        <f>IFERROR(INDEX('كشف الحساب'!$I$4:$I$203,MATCH(2,'كشف الحساب'!$O$4:$O$203,0)),"")</f>
        <v>وقود ومحروقات</v>
      </c>
      <c r="G213" t="str">
        <f>IFERROR(INDEX('كشف الحساب'!$G$4:$G$203,MATCH(2,'كشف الحساب'!$O$4:$O$203,0)),"")</f>
        <v>أبو اسحاق</v>
      </c>
    </row>
    <row r="214" spans="1:7" ht="15" customHeight="1">
      <c r="A214" s="38">
        <f>IFERROR(INDEX('كشف الحساب'!$A$4:$A$203,MATCH(3,'كشف الحساب'!$O$4:$O$203,0)),"")</f>
        <v>46134</v>
      </c>
      <c r="B214">
        <f>IFERROR(INDEX('كشف الحساب'!$B$4:$B$203,MATCH(3,'كشف الحساب'!$O$4:$O$203,0)),"")</f>
        <v>0</v>
      </c>
      <c r="C214" t="str">
        <f>IFERROR(INDEX('كشف الحساب'!$C$4:$C$203,MATCH(3,'كشف الحساب'!$O$4:$O$203,0)),"")</f>
        <v>ديزل لمكينة الكهرباء</v>
      </c>
      <c r="D214" s="39">
        <f>IFERROR(INDEX('كشف الحساب'!$D$4:$D$203,MATCH(3,'كشف الحساب'!$O$4:$O$203,0)),"")</f>
        <v>20</v>
      </c>
      <c r="E214" t="s">
        <v>6</v>
      </c>
      <c r="F214" t="str">
        <f>IFERROR(INDEX('كشف الحساب'!$I$4:$I$203,MATCH(3,'كشف الحساب'!$O$4:$O$203,0)),"")</f>
        <v>وقود ومحروقات</v>
      </c>
      <c r="G214" t="str">
        <f>IFERROR(INDEX('كشف الحساب'!$G$4:$G$203,MATCH(3,'كشف الحساب'!$O$4:$O$203,0)),"")</f>
        <v>أبو اسحاق</v>
      </c>
    </row>
    <row r="215" spans="1:7" ht="15" customHeight="1">
      <c r="A215" s="38">
        <f>IFERROR(INDEX('كشف الحساب'!$A$4:$A$203,MATCH(4,'كشف الحساب'!$O$4:$O$203,0)),"")</f>
        <v>46134</v>
      </c>
      <c r="B215" t="str">
        <f>IFERROR(INDEX('كشف الحساب'!$B$4:$B$203,MATCH(4,'كشف الحساب'!$O$4:$O$203,0)),"")</f>
        <v>242</v>
      </c>
      <c r="C215" t="str">
        <f>IFERROR(INDEX('كشف الحساب'!$C$4:$C$203,MATCH(4,'كشف الحساب'!$O$4:$O$203,0)),"")</f>
        <v>احواض حجم25سم عدد 2000</v>
      </c>
      <c r="D215" s="39">
        <f>IFERROR(INDEX('كشف الحساب'!$D$4:$D$203,MATCH(4,'كشف الحساب'!$O$4:$O$203,0)),"")</f>
        <v>190</v>
      </c>
      <c r="E215" t="s">
        <v>6</v>
      </c>
      <c r="F215" t="str">
        <f>IFERROR(INDEX('كشف الحساب'!$I$4:$I$203,MATCH(4,'كشف الحساب'!$O$4:$O$203,0)),"")</f>
        <v>أحواض وأدوات</v>
      </c>
      <c r="G215" t="str">
        <f>IFERROR(INDEX('كشف الحساب'!$G$4:$G$203,MATCH(4,'كشف الحساب'!$O$4:$O$203,0)),"")</f>
        <v>أبو آدم</v>
      </c>
    </row>
    <row r="216" spans="1:7" ht="15" customHeight="1">
      <c r="A216" s="38">
        <f>IFERROR(INDEX('كشف الحساب'!$A$4:$A$203,MATCH(5,'كشف الحساب'!$O$4:$O$203,0)),"")</f>
        <v>46152</v>
      </c>
      <c r="B216" t="str">
        <f>IFERROR(INDEX('كشف الحساب'!$B$4:$B$203,MATCH(5,'كشف الحساب'!$O$4:$O$203,0)),"")</f>
        <v>Inv-016</v>
      </c>
      <c r="C216" t="str">
        <f>IFERROR(INDEX('كشف الحساب'!$C$4:$C$203,MATCH(5,'كشف الحساب'!$O$4:$O$203,0)),"")</f>
        <v>ودليه عدد 3 الحبه 0.750</v>
      </c>
      <c r="D216" s="39">
        <f>IFERROR(INDEX('كشف الحساب'!$D$4:$D$203,MATCH(5,'كشف الحساب'!$O$4:$O$203,0)),"")</f>
        <v>0</v>
      </c>
      <c r="E216" t="s">
        <v>6</v>
      </c>
      <c r="F216">
        <f>IFERROR(INDEX('كشف الحساب'!$I$4:$I$203,MATCH(5,'كشف الحساب'!$O$4:$O$203,0)),"")</f>
        <v>0</v>
      </c>
      <c r="G216">
        <f>IFERROR(INDEX('كشف الحساب'!$G$4:$G$203,MATCH(5,'كشف الحساب'!$O$4:$O$203,0)),"")</f>
        <v>0</v>
      </c>
    </row>
    <row r="217" spans="1:7" ht="15" customHeight="1">
      <c r="A217" s="38">
        <f>IFERROR(INDEX('كشف الحساب'!$A$4:$A$203,MATCH(6,'كشف الحساب'!$O$4:$O$203,0)),"")</f>
        <v>46167</v>
      </c>
      <c r="B217">
        <f>IFERROR(INDEX('كشف الحساب'!$B$4:$B$203,MATCH(6,'كشف الحساب'!$O$4:$O$203,0)),"")</f>
        <v>0</v>
      </c>
      <c r="C217" t="str">
        <f>IFERROR(INDEX('كشف الحساب'!$C$4:$C$203,MATCH(6,'كشف الحساب'!$O$4:$O$203,0)),"")</f>
        <v>راتب عماله مايو 2025</v>
      </c>
      <c r="D217" s="39">
        <f>IFERROR(INDEX('كشف الحساب'!$D$4:$D$203,MATCH(6,'كشف الحساب'!$O$4:$O$203,0)),"")</f>
        <v>250</v>
      </c>
      <c r="E217" t="s">
        <v>6</v>
      </c>
      <c r="F217" t="str">
        <f>IFERROR(INDEX('كشف الحساب'!$I$4:$I$203,MATCH(6,'كشف الحساب'!$O$4:$O$203,0)),"")</f>
        <v>رواتب العمال</v>
      </c>
      <c r="G217" t="str">
        <f>IFERROR(INDEX('كشف الحساب'!$G$4:$G$203,MATCH(6,'كشف الحساب'!$O$4:$O$203,0)),"")</f>
        <v>أبو آدم</v>
      </c>
    </row>
    <row r="218" spans="1:7" ht="15" customHeight="1">
      <c r="A218" s="38">
        <f>IFERROR(INDEX('كشف الحساب'!$A$4:$A$203,MATCH(7,'كشف الحساب'!$O$4:$O$203,0)),"")</f>
        <v>46167</v>
      </c>
      <c r="B218">
        <f>IFERROR(INDEX('كشف الحساب'!$B$4:$B$203,MATCH(7,'كشف الحساب'!$O$4:$O$203,0)),"")</f>
        <v>0</v>
      </c>
      <c r="C218" t="str">
        <f>IFERROR(INDEX('كشف الحساب'!$C$4:$C$203,MATCH(7,'كشف الحساب'!$O$4:$O$203,0)),"")</f>
        <v>راتب عماله مايو 2025</v>
      </c>
      <c r="D218" s="39">
        <f>IFERROR(INDEX('كشف الحساب'!$D$4:$D$203,MATCH(7,'كشف الحساب'!$O$4:$O$203,0)),"")</f>
        <v>250</v>
      </c>
      <c r="E218" t="s">
        <v>6</v>
      </c>
      <c r="F218" t="str">
        <f>IFERROR(INDEX('كشف الحساب'!$I$4:$I$203,MATCH(7,'كشف الحساب'!$O$4:$O$203,0)),"")</f>
        <v>رواتب العمال</v>
      </c>
      <c r="G218" t="str">
        <f>IFERROR(INDEX('كشف الحساب'!$G$4:$G$203,MATCH(7,'كشف الحساب'!$O$4:$O$203,0)),"")</f>
        <v>أبو اسحاق</v>
      </c>
    </row>
    <row r="219" spans="1:7" ht="15" customHeight="1">
      <c r="A219" s="38">
        <f>IFERROR(INDEX('كشف الحساب'!$A$4:$A$203,MATCH(8,'كشف الحساب'!$O$4:$O$203,0)),"")</f>
        <v>46146</v>
      </c>
      <c r="B219" t="str">
        <f>IFERROR(INDEX('كشف الحساب'!$B$4:$B$203,MATCH(8,'كشف الحساب'!$O$4:$O$203,0)),"")</f>
        <v>Inv-40</v>
      </c>
      <c r="C219" t="str">
        <f>IFERROR(INDEX('كشف الحساب'!$C$4:$C$203,MATCH(8,'كشف الحساب'!$O$4:$O$203,0)),"")</f>
        <v>other</v>
      </c>
      <c r="D219" s="39">
        <f>IFERROR(INDEX('كشف الحساب'!$D$4:$D$203,MATCH(8,'كشف الحساب'!$O$4:$O$203,0)),"")</f>
        <v>0</v>
      </c>
      <c r="E219" t="s">
        <v>6</v>
      </c>
      <c r="F219">
        <f>IFERROR(INDEX('كشف الحساب'!$I$4:$I$203,MATCH(8,'كشف الحساب'!$O$4:$O$203,0)),"")</f>
        <v>0</v>
      </c>
      <c r="G219">
        <f>IFERROR(INDEX('كشف الحساب'!$G$4:$G$203,MATCH(8,'كشف الحساب'!$O$4:$O$203,0)),"")</f>
        <v>0</v>
      </c>
    </row>
    <row r="220" spans="1:7" ht="15" customHeight="1">
      <c r="A220" t="str">
        <f>IFERROR(INDEX('كشف الحساب'!$A$4:$A$203,MATCH(9,'كشف الحساب'!$O$4:$O$203,0)),"")</f>
        <v/>
      </c>
      <c r="B220" t="str">
        <f>IFERROR(INDEX('كشف الحساب'!$B$4:$B$203,MATCH(9,'كشف الحساب'!$O$4:$O$203,0)),"")</f>
        <v/>
      </c>
      <c r="C220" t="str">
        <f>IFERROR(INDEX('كشف الحساب'!$C$4:$C$203,MATCH(9,'كشف الحساب'!$O$4:$O$203,0)),"")</f>
        <v/>
      </c>
      <c r="D220" t="str">
        <f>IFERROR(INDEX('كشف الحساب'!$D$4:$D$203,MATCH(9,'كشف الحساب'!$O$4:$O$203,0)),"")</f>
        <v/>
      </c>
      <c r="E220" t="s">
        <v>6</v>
      </c>
      <c r="F220" t="str">
        <f>IFERROR(INDEX('كشف الحساب'!$I$4:$I$203,MATCH(9,'كشف الحساب'!$O$4:$O$203,0)),"")</f>
        <v/>
      </c>
      <c r="G220" t="str">
        <f>IFERROR(INDEX('كشف الحساب'!$G$4:$G$203,MATCH(9,'كشف الحساب'!$O$4:$O$203,0)),"")</f>
        <v/>
      </c>
    </row>
    <row r="221" spans="1:7" ht="15" customHeight="1">
      <c r="A221" t="str">
        <f>IFERROR(INDEX('كشف الحساب'!$A$4:$A$203,MATCH(10,'كشف الحساب'!$O$4:$O$203,0)),"")</f>
        <v/>
      </c>
      <c r="B221" t="str">
        <f>IFERROR(INDEX('كشف الحساب'!$B$4:$B$203,MATCH(10,'كشف الحساب'!$O$4:$O$203,0)),"")</f>
        <v/>
      </c>
      <c r="C221" t="str">
        <f>IFERROR(INDEX('كشف الحساب'!$C$4:$C$203,MATCH(10,'كشف الحساب'!$O$4:$O$203,0)),"")</f>
        <v/>
      </c>
      <c r="D221" t="str">
        <f>IFERROR(INDEX('كشف الحساب'!$D$4:$D$203,MATCH(10,'كشف الحساب'!$O$4:$O$203,0)),"")</f>
        <v/>
      </c>
      <c r="E221" t="s">
        <v>6</v>
      </c>
      <c r="F221" t="str">
        <f>IFERROR(INDEX('كشف الحساب'!$I$4:$I$203,MATCH(10,'كشف الحساب'!$O$4:$O$203,0)),"")</f>
        <v/>
      </c>
      <c r="G221" t="str">
        <f>IFERROR(INDEX('كشف الحساب'!$G$4:$G$203,MATCH(10,'كشف الحساب'!$O$4:$O$203,0)),"")</f>
        <v/>
      </c>
    </row>
    <row r="222" spans="1:7" ht="15" customHeight="1">
      <c r="A222" t="str">
        <f>IFERROR(INDEX('كشف الحساب'!$A$4:$A$203,MATCH(11,'كشف الحساب'!$O$4:$O$203,0)),"")</f>
        <v/>
      </c>
      <c r="B222" t="str">
        <f>IFERROR(INDEX('كشف الحساب'!$B$4:$B$203,MATCH(11,'كشف الحساب'!$O$4:$O$203,0)),"")</f>
        <v/>
      </c>
      <c r="C222" t="str">
        <f>IFERROR(INDEX('كشف الحساب'!$C$4:$C$203,MATCH(11,'كشف الحساب'!$O$4:$O$203,0)),"")</f>
        <v/>
      </c>
      <c r="D222" t="str">
        <f>IFERROR(INDEX('كشف الحساب'!$D$4:$D$203,MATCH(11,'كشف الحساب'!$O$4:$O$203,0)),"")</f>
        <v/>
      </c>
      <c r="E222" t="s">
        <v>6</v>
      </c>
      <c r="F222" t="str">
        <f>IFERROR(INDEX('كشف الحساب'!$I$4:$I$203,MATCH(11,'كشف الحساب'!$O$4:$O$203,0)),"")</f>
        <v/>
      </c>
      <c r="G222" t="str">
        <f>IFERROR(INDEX('كشف الحساب'!$G$4:$G$203,MATCH(11,'كشف الحساب'!$O$4:$O$203,0)),"")</f>
        <v/>
      </c>
    </row>
    <row r="223" spans="1:7" ht="15" customHeight="1">
      <c r="A223" t="str">
        <f>IFERROR(INDEX('كشف الحساب'!$A$4:$A$203,MATCH(12,'كشف الحساب'!$O$4:$O$203,0)),"")</f>
        <v/>
      </c>
      <c r="B223" t="str">
        <f>IFERROR(INDEX('كشف الحساب'!$B$4:$B$203,MATCH(12,'كشف الحساب'!$O$4:$O$203,0)),"")</f>
        <v/>
      </c>
      <c r="C223" t="str">
        <f>IFERROR(INDEX('كشف الحساب'!$C$4:$C$203,MATCH(12,'كشف الحساب'!$O$4:$O$203,0)),"")</f>
        <v/>
      </c>
      <c r="D223" t="str">
        <f>IFERROR(INDEX('كشف الحساب'!$D$4:$D$203,MATCH(12,'كشف الحساب'!$O$4:$O$203,0)),"")</f>
        <v/>
      </c>
      <c r="E223" t="s">
        <v>6</v>
      </c>
      <c r="F223" t="str">
        <f>IFERROR(INDEX('كشف الحساب'!$I$4:$I$203,MATCH(12,'كشف الحساب'!$O$4:$O$203,0)),"")</f>
        <v/>
      </c>
      <c r="G223" t="str">
        <f>IFERROR(INDEX('كشف الحساب'!$G$4:$G$203,MATCH(12,'كشف الحساب'!$O$4:$O$203,0)),"")</f>
        <v/>
      </c>
    </row>
    <row r="224" spans="1:7" ht="15" customHeight="1">
      <c r="A224" t="str">
        <f>IFERROR(INDEX('كشف الحساب'!$A$4:$A$203,MATCH(13,'كشف الحساب'!$O$4:$O$203,0)),"")</f>
        <v/>
      </c>
      <c r="B224" t="str">
        <f>IFERROR(INDEX('كشف الحساب'!$B$4:$B$203,MATCH(13,'كشف الحساب'!$O$4:$O$203,0)),"")</f>
        <v/>
      </c>
      <c r="C224" t="str">
        <f>IFERROR(INDEX('كشف الحساب'!$C$4:$C$203,MATCH(13,'كشف الحساب'!$O$4:$O$203,0)),"")</f>
        <v/>
      </c>
      <c r="D224" t="str">
        <f>IFERROR(INDEX('كشف الحساب'!$D$4:$D$203,MATCH(13,'كشف الحساب'!$O$4:$O$203,0)),"")</f>
        <v/>
      </c>
      <c r="E224" t="s">
        <v>6</v>
      </c>
      <c r="F224" t="str">
        <f>IFERROR(INDEX('كشف الحساب'!$I$4:$I$203,MATCH(13,'كشف الحساب'!$O$4:$O$203,0)),"")</f>
        <v/>
      </c>
      <c r="G224" t="str">
        <f>IFERROR(INDEX('كشف الحساب'!$G$4:$G$203,MATCH(13,'كشف الحساب'!$O$4:$O$203,0)),"")</f>
        <v/>
      </c>
    </row>
    <row r="225" spans="1:7" ht="15" customHeight="1">
      <c r="A225" t="str">
        <f>IFERROR(INDEX('كشف الحساب'!$A$4:$A$203,MATCH(14,'كشف الحساب'!$O$4:$O$203,0)),"")</f>
        <v/>
      </c>
      <c r="B225" t="str">
        <f>IFERROR(INDEX('كشف الحساب'!$B$4:$B$203,MATCH(14,'كشف الحساب'!$O$4:$O$203,0)),"")</f>
        <v/>
      </c>
      <c r="C225" t="str">
        <f>IFERROR(INDEX('كشف الحساب'!$C$4:$C$203,MATCH(14,'كشف الحساب'!$O$4:$O$203,0)),"")</f>
        <v/>
      </c>
      <c r="D225" t="str">
        <f>IFERROR(INDEX('كشف الحساب'!$D$4:$D$203,MATCH(14,'كشف الحساب'!$O$4:$O$203,0)),"")</f>
        <v/>
      </c>
      <c r="E225" t="s">
        <v>6</v>
      </c>
      <c r="F225" t="str">
        <f>IFERROR(INDEX('كشف الحساب'!$I$4:$I$203,MATCH(14,'كشف الحساب'!$O$4:$O$203,0)),"")</f>
        <v/>
      </c>
      <c r="G225" t="str">
        <f>IFERROR(INDEX('كشف الحساب'!$G$4:$G$203,MATCH(14,'كشف الحساب'!$O$4:$O$203,0)),"")</f>
        <v/>
      </c>
    </row>
    <row r="226" spans="1:7" ht="15" customHeight="1">
      <c r="A226" t="str">
        <f>IFERROR(INDEX('كشف الحساب'!$A$4:$A$203,MATCH(15,'كشف الحساب'!$O$4:$O$203,0)),"")</f>
        <v/>
      </c>
      <c r="B226" t="str">
        <f>IFERROR(INDEX('كشف الحساب'!$B$4:$B$203,MATCH(15,'كشف الحساب'!$O$4:$O$203,0)),"")</f>
        <v/>
      </c>
      <c r="C226" t="str">
        <f>IFERROR(INDEX('كشف الحساب'!$C$4:$C$203,MATCH(15,'كشف الحساب'!$O$4:$O$203,0)),"")</f>
        <v/>
      </c>
      <c r="D226" t="str">
        <f>IFERROR(INDEX('كشف الحساب'!$D$4:$D$203,MATCH(15,'كشف الحساب'!$O$4:$O$203,0)),"")</f>
        <v/>
      </c>
      <c r="E226" t="s">
        <v>6</v>
      </c>
      <c r="F226" t="str">
        <f>IFERROR(INDEX('كشف الحساب'!$I$4:$I$203,MATCH(15,'كشف الحساب'!$O$4:$O$203,0)),"")</f>
        <v/>
      </c>
      <c r="G226" t="str">
        <f>IFERROR(INDEX('كشف الحساب'!$G$4:$G$203,MATCH(15,'كشف الحساب'!$O$4:$O$203,0)),"")</f>
        <v/>
      </c>
    </row>
    <row r="227" spans="1:7" ht="15" customHeight="1">
      <c r="A227" t="str">
        <f>IFERROR(INDEX('كشف الحساب'!$A$4:$A$203,MATCH(16,'كشف الحساب'!$O$4:$O$203,0)),"")</f>
        <v/>
      </c>
      <c r="B227" t="str">
        <f>IFERROR(INDEX('كشف الحساب'!$B$4:$B$203,MATCH(16,'كشف الحساب'!$O$4:$O$203,0)),"")</f>
        <v/>
      </c>
      <c r="C227" t="str">
        <f>IFERROR(INDEX('كشف الحساب'!$C$4:$C$203,MATCH(16,'كشف الحساب'!$O$4:$O$203,0)),"")</f>
        <v/>
      </c>
      <c r="D227" t="str">
        <f>IFERROR(INDEX('كشف الحساب'!$D$4:$D$203,MATCH(16,'كشف الحساب'!$O$4:$O$203,0)),"")</f>
        <v/>
      </c>
      <c r="E227" t="s">
        <v>6</v>
      </c>
      <c r="F227" t="str">
        <f>IFERROR(INDEX('كشف الحساب'!$I$4:$I$203,MATCH(16,'كشف الحساب'!$O$4:$O$203,0)),"")</f>
        <v/>
      </c>
      <c r="G227" t="str">
        <f>IFERROR(INDEX('كشف الحساب'!$G$4:$G$203,MATCH(16,'كشف الحساب'!$O$4:$O$203,0)),"")</f>
        <v/>
      </c>
    </row>
    <row r="228" spans="1:7" ht="15" customHeight="1">
      <c r="A228" t="str">
        <f>IFERROR(INDEX('كشف الحساب'!$A$4:$A$203,MATCH(17,'كشف الحساب'!$O$4:$O$203,0)),"")</f>
        <v/>
      </c>
      <c r="B228" t="str">
        <f>IFERROR(INDEX('كشف الحساب'!$B$4:$B$203,MATCH(17,'كشف الحساب'!$O$4:$O$203,0)),"")</f>
        <v/>
      </c>
      <c r="C228" t="str">
        <f>IFERROR(INDEX('كشف الحساب'!$C$4:$C$203,MATCH(17,'كشف الحساب'!$O$4:$O$203,0)),"")</f>
        <v/>
      </c>
      <c r="D228" t="str">
        <f>IFERROR(INDEX('كشف الحساب'!$D$4:$D$203,MATCH(17,'كشف الحساب'!$O$4:$O$203,0)),"")</f>
        <v/>
      </c>
      <c r="E228" t="s">
        <v>6</v>
      </c>
      <c r="F228" t="str">
        <f>IFERROR(INDEX('كشف الحساب'!$I$4:$I$203,MATCH(17,'كشف الحساب'!$O$4:$O$203,0)),"")</f>
        <v/>
      </c>
      <c r="G228" t="str">
        <f>IFERROR(INDEX('كشف الحساب'!$G$4:$G$203,MATCH(17,'كشف الحساب'!$O$4:$O$203,0)),"")</f>
        <v/>
      </c>
    </row>
    <row r="229" spans="1:7" ht="15" customHeight="1">
      <c r="A229" t="str">
        <f>IFERROR(INDEX('كشف الحساب'!$A$4:$A$203,MATCH(18,'كشف الحساب'!$O$4:$O$203,0)),"")</f>
        <v/>
      </c>
      <c r="B229" t="str">
        <f>IFERROR(INDEX('كشف الحساب'!$B$4:$B$203,MATCH(18,'كشف الحساب'!$O$4:$O$203,0)),"")</f>
        <v/>
      </c>
      <c r="C229" t="str">
        <f>IFERROR(INDEX('كشف الحساب'!$C$4:$C$203,MATCH(18,'كشف الحساب'!$O$4:$O$203,0)),"")</f>
        <v/>
      </c>
      <c r="D229" t="str">
        <f>IFERROR(INDEX('كشف الحساب'!$D$4:$D$203,MATCH(18,'كشف الحساب'!$O$4:$O$203,0)),"")</f>
        <v/>
      </c>
      <c r="E229" t="s">
        <v>6</v>
      </c>
      <c r="F229" t="str">
        <f>IFERROR(INDEX('كشف الحساب'!$I$4:$I$203,MATCH(18,'كشف الحساب'!$O$4:$O$203,0)),"")</f>
        <v/>
      </c>
      <c r="G229" t="str">
        <f>IFERROR(INDEX('كشف الحساب'!$G$4:$G$203,MATCH(18,'كشف الحساب'!$O$4:$O$203,0)),"")</f>
        <v/>
      </c>
    </row>
    <row r="230" spans="1:7" ht="15" customHeight="1">
      <c r="A230" t="str">
        <f>IFERROR(INDEX('كشف الحساب'!$A$4:$A$203,MATCH(19,'كشف الحساب'!$O$4:$O$203,0)),"")</f>
        <v/>
      </c>
      <c r="B230" t="str">
        <f>IFERROR(INDEX('كشف الحساب'!$B$4:$B$203,MATCH(19,'كشف الحساب'!$O$4:$O$203,0)),"")</f>
        <v/>
      </c>
      <c r="C230" t="str">
        <f>IFERROR(INDEX('كشف الحساب'!$C$4:$C$203,MATCH(19,'كشف الحساب'!$O$4:$O$203,0)),"")</f>
        <v/>
      </c>
      <c r="D230" t="str">
        <f>IFERROR(INDEX('كشف الحساب'!$D$4:$D$203,MATCH(19,'كشف الحساب'!$O$4:$O$203,0)),"")</f>
        <v/>
      </c>
      <c r="E230" t="s">
        <v>6</v>
      </c>
      <c r="F230" t="str">
        <f>IFERROR(INDEX('كشف الحساب'!$I$4:$I$203,MATCH(19,'كشف الحساب'!$O$4:$O$203,0)),"")</f>
        <v/>
      </c>
      <c r="G230" t="str">
        <f>IFERROR(INDEX('كشف الحساب'!$G$4:$G$203,MATCH(19,'كشف الحساب'!$O$4:$O$203,0)),"")</f>
        <v/>
      </c>
    </row>
    <row r="231" spans="1:7" ht="15" customHeight="1">
      <c r="A231" t="str">
        <f>IFERROR(INDEX('كشف الحساب'!$A$4:$A$203,MATCH(20,'كشف الحساب'!$O$4:$O$203,0)),"")</f>
        <v/>
      </c>
      <c r="B231" t="str">
        <f>IFERROR(INDEX('كشف الحساب'!$B$4:$B$203,MATCH(20,'كشف الحساب'!$O$4:$O$203,0)),"")</f>
        <v/>
      </c>
      <c r="C231" t="str">
        <f>IFERROR(INDEX('كشف الحساب'!$C$4:$C$203,MATCH(20,'كشف الحساب'!$O$4:$O$203,0)),"")</f>
        <v/>
      </c>
      <c r="D231" t="str">
        <f>IFERROR(INDEX('كشف الحساب'!$D$4:$D$203,MATCH(20,'كشف الحساب'!$O$4:$O$203,0)),"")</f>
        <v/>
      </c>
      <c r="E231" t="s">
        <v>6</v>
      </c>
      <c r="F231" t="str">
        <f>IFERROR(INDEX('كشف الحساب'!$I$4:$I$203,MATCH(20,'كشف الحساب'!$O$4:$O$203,0)),"")</f>
        <v/>
      </c>
      <c r="G231" t="str">
        <f>IFERROR(INDEX('كشف الحساب'!$G$4:$G$203,MATCH(20,'كشف الحساب'!$O$4:$O$203,0)),"")</f>
        <v/>
      </c>
    </row>
    <row r="232" spans="1:7" ht="15" customHeight="1">
      <c r="A232" t="str">
        <f>IFERROR(INDEX('كشف الحساب'!$A$4:$A$203,MATCH(21,'كشف الحساب'!$O$4:$O$203,0)),"")</f>
        <v/>
      </c>
      <c r="B232" t="str">
        <f>IFERROR(INDEX('كشف الحساب'!$B$4:$B$203,MATCH(21,'كشف الحساب'!$O$4:$O$203,0)),"")</f>
        <v/>
      </c>
      <c r="C232" t="str">
        <f>IFERROR(INDEX('كشف الحساب'!$C$4:$C$203,MATCH(21,'كشف الحساب'!$O$4:$O$203,0)),"")</f>
        <v/>
      </c>
      <c r="D232" t="str">
        <f>IFERROR(INDEX('كشف الحساب'!$D$4:$D$203,MATCH(21,'كشف الحساب'!$O$4:$O$203,0)),"")</f>
        <v/>
      </c>
      <c r="E232" t="s">
        <v>6</v>
      </c>
      <c r="F232" t="str">
        <f>IFERROR(INDEX('كشف الحساب'!$I$4:$I$203,MATCH(21,'كشف الحساب'!$O$4:$O$203,0)),"")</f>
        <v/>
      </c>
      <c r="G232" t="str">
        <f>IFERROR(INDEX('كشف الحساب'!$G$4:$G$203,MATCH(21,'كشف الحساب'!$O$4:$O$203,0)),"")</f>
        <v/>
      </c>
    </row>
    <row r="233" spans="1:7" ht="15" customHeight="1">
      <c r="A233" t="str">
        <f>IFERROR(INDEX('كشف الحساب'!$A$4:$A$203,MATCH(22,'كشف الحساب'!$O$4:$O$203,0)),"")</f>
        <v/>
      </c>
      <c r="B233" t="str">
        <f>IFERROR(INDEX('كشف الحساب'!$B$4:$B$203,MATCH(22,'كشف الحساب'!$O$4:$O$203,0)),"")</f>
        <v/>
      </c>
      <c r="C233" t="str">
        <f>IFERROR(INDEX('كشف الحساب'!$C$4:$C$203,MATCH(22,'كشف الحساب'!$O$4:$O$203,0)),"")</f>
        <v/>
      </c>
      <c r="D233" t="str">
        <f>IFERROR(INDEX('كشف الحساب'!$D$4:$D$203,MATCH(22,'كشف الحساب'!$O$4:$O$203,0)),"")</f>
        <v/>
      </c>
      <c r="E233" t="s">
        <v>6</v>
      </c>
      <c r="F233" t="str">
        <f>IFERROR(INDEX('كشف الحساب'!$I$4:$I$203,MATCH(22,'كشف الحساب'!$O$4:$O$203,0)),"")</f>
        <v/>
      </c>
      <c r="G233" t="str">
        <f>IFERROR(INDEX('كشف الحساب'!$G$4:$G$203,MATCH(22,'كشف الحساب'!$O$4:$O$203,0)),"")</f>
        <v/>
      </c>
    </row>
    <row r="234" spans="1:7" ht="15" customHeight="1">
      <c r="A234" t="str">
        <f>IFERROR(INDEX('كشف الحساب'!$A$4:$A$203,MATCH(23,'كشف الحساب'!$O$4:$O$203,0)),"")</f>
        <v/>
      </c>
      <c r="B234" t="str">
        <f>IFERROR(INDEX('كشف الحساب'!$B$4:$B$203,MATCH(23,'كشف الحساب'!$O$4:$O$203,0)),"")</f>
        <v/>
      </c>
      <c r="C234" t="str">
        <f>IFERROR(INDEX('كشف الحساب'!$C$4:$C$203,MATCH(23,'كشف الحساب'!$O$4:$O$203,0)),"")</f>
        <v/>
      </c>
      <c r="D234" t="str">
        <f>IFERROR(INDEX('كشف الحساب'!$D$4:$D$203,MATCH(23,'كشف الحساب'!$O$4:$O$203,0)),"")</f>
        <v/>
      </c>
      <c r="E234" t="s">
        <v>6</v>
      </c>
      <c r="F234" t="str">
        <f>IFERROR(INDEX('كشف الحساب'!$I$4:$I$203,MATCH(23,'كشف الحساب'!$O$4:$O$203,0)),"")</f>
        <v/>
      </c>
      <c r="G234" t="str">
        <f>IFERROR(INDEX('كشف الحساب'!$G$4:$G$203,MATCH(23,'كشف الحساب'!$O$4:$O$203,0)),"")</f>
        <v/>
      </c>
    </row>
    <row r="235" spans="1:7" ht="15" customHeight="1">
      <c r="A235" t="str">
        <f>IFERROR(INDEX('كشف الحساب'!$A$4:$A$203,MATCH(24,'كشف الحساب'!$O$4:$O$203,0)),"")</f>
        <v/>
      </c>
      <c r="B235" t="str">
        <f>IFERROR(INDEX('كشف الحساب'!$B$4:$B$203,MATCH(24,'كشف الحساب'!$O$4:$O$203,0)),"")</f>
        <v/>
      </c>
      <c r="C235" t="str">
        <f>IFERROR(INDEX('كشف الحساب'!$C$4:$C$203,MATCH(24,'كشف الحساب'!$O$4:$O$203,0)),"")</f>
        <v/>
      </c>
      <c r="D235" t="str">
        <f>IFERROR(INDEX('كشف الحساب'!$D$4:$D$203,MATCH(24,'كشف الحساب'!$O$4:$O$203,0)),"")</f>
        <v/>
      </c>
      <c r="E235" t="s">
        <v>6</v>
      </c>
      <c r="F235" t="str">
        <f>IFERROR(INDEX('كشف الحساب'!$I$4:$I$203,MATCH(24,'كشف الحساب'!$O$4:$O$203,0)),"")</f>
        <v/>
      </c>
      <c r="G235" t="str">
        <f>IFERROR(INDEX('كشف الحساب'!$G$4:$G$203,MATCH(24,'كشف الحساب'!$O$4:$O$203,0)),"")</f>
        <v/>
      </c>
    </row>
    <row r="236" spans="1:7" ht="15" customHeight="1">
      <c r="A236" t="str">
        <f>IFERROR(INDEX('كشف الحساب'!$A$4:$A$203,MATCH(25,'كشف الحساب'!$O$4:$O$203,0)),"")</f>
        <v/>
      </c>
      <c r="B236" t="str">
        <f>IFERROR(INDEX('كشف الحساب'!$B$4:$B$203,MATCH(25,'كشف الحساب'!$O$4:$O$203,0)),"")</f>
        <v/>
      </c>
      <c r="C236" t="str">
        <f>IFERROR(INDEX('كشف الحساب'!$C$4:$C$203,MATCH(25,'كشف الحساب'!$O$4:$O$203,0)),"")</f>
        <v/>
      </c>
      <c r="D236" t="str">
        <f>IFERROR(INDEX('كشف الحساب'!$D$4:$D$203,MATCH(25,'كشف الحساب'!$O$4:$O$203,0)),"")</f>
        <v/>
      </c>
      <c r="E236" t="s">
        <v>6</v>
      </c>
      <c r="F236" t="str">
        <f>IFERROR(INDEX('كشف الحساب'!$I$4:$I$203,MATCH(25,'كشف الحساب'!$O$4:$O$203,0)),"")</f>
        <v/>
      </c>
      <c r="G236" t="str">
        <f>IFERROR(INDEX('كشف الحساب'!$G$4:$G$203,MATCH(25,'كشف الحساب'!$O$4:$O$203,0)),"")</f>
        <v/>
      </c>
    </row>
    <row r="237" spans="1:7" ht="15" customHeight="1">
      <c r="A237" t="str">
        <f>IFERROR(INDEX('كشف الحساب'!$A$4:$A$203,MATCH(26,'كشف الحساب'!$O$4:$O$203,0)),"")</f>
        <v/>
      </c>
      <c r="B237" t="str">
        <f>IFERROR(INDEX('كشف الحساب'!$B$4:$B$203,MATCH(26,'كشف الحساب'!$O$4:$O$203,0)),"")</f>
        <v/>
      </c>
      <c r="C237" t="str">
        <f>IFERROR(INDEX('كشف الحساب'!$C$4:$C$203,MATCH(26,'كشف الحساب'!$O$4:$O$203,0)),"")</f>
        <v/>
      </c>
      <c r="D237" t="str">
        <f>IFERROR(INDEX('كشف الحساب'!$D$4:$D$203,MATCH(26,'كشف الحساب'!$O$4:$O$203,0)),"")</f>
        <v/>
      </c>
      <c r="E237" t="s">
        <v>6</v>
      </c>
      <c r="F237" t="str">
        <f>IFERROR(INDEX('كشف الحساب'!$I$4:$I$203,MATCH(26,'كشف الحساب'!$O$4:$O$203,0)),"")</f>
        <v/>
      </c>
      <c r="G237" t="str">
        <f>IFERROR(INDEX('كشف الحساب'!$G$4:$G$203,MATCH(26,'كشف الحساب'!$O$4:$O$203,0)),"")</f>
        <v/>
      </c>
    </row>
    <row r="238" spans="1:7" ht="15" customHeight="1">
      <c r="A238" t="str">
        <f>IFERROR(INDEX('كشف الحساب'!$A$4:$A$203,MATCH(27,'كشف الحساب'!$O$4:$O$203,0)),"")</f>
        <v/>
      </c>
      <c r="B238" t="str">
        <f>IFERROR(INDEX('كشف الحساب'!$B$4:$B$203,MATCH(27,'كشف الحساب'!$O$4:$O$203,0)),"")</f>
        <v/>
      </c>
      <c r="C238" t="str">
        <f>IFERROR(INDEX('كشف الحساب'!$C$4:$C$203,MATCH(27,'كشف الحساب'!$O$4:$O$203,0)),"")</f>
        <v/>
      </c>
      <c r="D238" t="str">
        <f>IFERROR(INDEX('كشف الحساب'!$D$4:$D$203,MATCH(27,'كشف الحساب'!$O$4:$O$203,0)),"")</f>
        <v/>
      </c>
      <c r="E238" t="s">
        <v>6</v>
      </c>
      <c r="F238" t="str">
        <f>IFERROR(INDEX('كشف الحساب'!$I$4:$I$203,MATCH(27,'كشف الحساب'!$O$4:$O$203,0)),"")</f>
        <v/>
      </c>
      <c r="G238" t="str">
        <f>IFERROR(INDEX('كشف الحساب'!$G$4:$G$203,MATCH(27,'كشف الحساب'!$O$4:$O$203,0)),"")</f>
        <v/>
      </c>
    </row>
    <row r="239" spans="1:7" ht="15" customHeight="1">
      <c r="A239" t="str">
        <f>IFERROR(INDEX('كشف الحساب'!$A$4:$A$203,MATCH(28,'كشف الحساب'!$O$4:$O$203,0)),"")</f>
        <v/>
      </c>
      <c r="B239" t="str">
        <f>IFERROR(INDEX('كشف الحساب'!$B$4:$B$203,MATCH(28,'كشف الحساب'!$O$4:$O$203,0)),"")</f>
        <v/>
      </c>
      <c r="C239" t="str">
        <f>IFERROR(INDEX('كشف الحساب'!$C$4:$C$203,MATCH(28,'كشف الحساب'!$O$4:$O$203,0)),"")</f>
        <v/>
      </c>
      <c r="D239" t="str">
        <f>IFERROR(INDEX('كشف الحساب'!$D$4:$D$203,MATCH(28,'كشف الحساب'!$O$4:$O$203,0)),"")</f>
        <v/>
      </c>
      <c r="E239" t="s">
        <v>6</v>
      </c>
      <c r="F239" t="str">
        <f>IFERROR(INDEX('كشف الحساب'!$I$4:$I$203,MATCH(28,'كشف الحساب'!$O$4:$O$203,0)),"")</f>
        <v/>
      </c>
      <c r="G239" t="str">
        <f>IFERROR(INDEX('كشف الحساب'!$G$4:$G$203,MATCH(28,'كشف الحساب'!$O$4:$O$203,0)),"")</f>
        <v/>
      </c>
    </row>
    <row r="240" spans="1:7" ht="15" customHeight="1">
      <c r="A240" t="str">
        <f>IFERROR(INDEX('كشف الحساب'!$A$4:$A$203,MATCH(29,'كشف الحساب'!$O$4:$O$203,0)),"")</f>
        <v/>
      </c>
      <c r="B240" t="str">
        <f>IFERROR(INDEX('كشف الحساب'!$B$4:$B$203,MATCH(29,'كشف الحساب'!$O$4:$O$203,0)),"")</f>
        <v/>
      </c>
      <c r="C240" t="str">
        <f>IFERROR(INDEX('كشف الحساب'!$C$4:$C$203,MATCH(29,'كشف الحساب'!$O$4:$O$203,0)),"")</f>
        <v/>
      </c>
      <c r="D240" t="str">
        <f>IFERROR(INDEX('كشف الحساب'!$D$4:$D$203,MATCH(29,'كشف الحساب'!$O$4:$O$203,0)),"")</f>
        <v/>
      </c>
      <c r="E240" t="s">
        <v>6</v>
      </c>
      <c r="F240" t="str">
        <f>IFERROR(INDEX('كشف الحساب'!$I$4:$I$203,MATCH(29,'كشف الحساب'!$O$4:$O$203,0)),"")</f>
        <v/>
      </c>
      <c r="G240" t="str">
        <f>IFERROR(INDEX('كشف الحساب'!$G$4:$G$203,MATCH(29,'كشف الحساب'!$O$4:$O$203,0)),"")</f>
        <v/>
      </c>
    </row>
    <row r="241" spans="1:7" ht="15" customHeight="1">
      <c r="A241" t="str">
        <f>IFERROR(INDEX('كشف الحساب'!$A$4:$A$203,MATCH(30,'كشف الحساب'!$O$4:$O$203,0)),"")</f>
        <v/>
      </c>
      <c r="B241" t="str">
        <f>IFERROR(INDEX('كشف الحساب'!$B$4:$B$203,MATCH(30,'كشف الحساب'!$O$4:$O$203,0)),"")</f>
        <v/>
      </c>
      <c r="C241" t="str">
        <f>IFERROR(INDEX('كشف الحساب'!$C$4:$C$203,MATCH(30,'كشف الحساب'!$O$4:$O$203,0)),"")</f>
        <v/>
      </c>
      <c r="D241" t="str">
        <f>IFERROR(INDEX('كشف الحساب'!$D$4:$D$203,MATCH(30,'كشف الحساب'!$O$4:$O$203,0)),"")</f>
        <v/>
      </c>
      <c r="E241" t="s">
        <v>6</v>
      </c>
      <c r="F241" t="str">
        <f>IFERROR(INDEX('كشف الحساب'!$I$4:$I$203,MATCH(30,'كشف الحساب'!$O$4:$O$203,0)),"")</f>
        <v/>
      </c>
      <c r="G241" t="str">
        <f>IFERROR(INDEX('كشف الحساب'!$G$4:$G$203,MATCH(30,'كشف الحساب'!$O$4:$O$203,0)),"")</f>
        <v/>
      </c>
    </row>
    <row r="242" spans="1:7" ht="15" customHeight="1">
      <c r="A242" t="str">
        <f>IFERROR(INDEX('كشف الحساب'!$A$4:$A$203,MATCH(31,'كشف الحساب'!$O$4:$O$203,0)),"")</f>
        <v/>
      </c>
      <c r="B242" t="str">
        <f>IFERROR(INDEX('كشف الحساب'!$B$4:$B$203,MATCH(31,'كشف الحساب'!$O$4:$O$203,0)),"")</f>
        <v/>
      </c>
      <c r="C242" t="str">
        <f>IFERROR(INDEX('كشف الحساب'!$C$4:$C$203,MATCH(31,'كشف الحساب'!$O$4:$O$203,0)),"")</f>
        <v/>
      </c>
      <c r="D242" t="str">
        <f>IFERROR(INDEX('كشف الحساب'!$D$4:$D$203,MATCH(31,'كشف الحساب'!$O$4:$O$203,0)),"")</f>
        <v/>
      </c>
      <c r="E242" t="s">
        <v>6</v>
      </c>
      <c r="F242" t="str">
        <f>IFERROR(INDEX('كشف الحساب'!$I$4:$I$203,MATCH(31,'كشف الحساب'!$O$4:$O$203,0)),"")</f>
        <v/>
      </c>
      <c r="G242" t="str">
        <f>IFERROR(INDEX('كشف الحساب'!$G$4:$G$203,MATCH(31,'كشف الحساب'!$O$4:$O$203,0)),"")</f>
        <v/>
      </c>
    </row>
    <row r="243" spans="1:7" ht="15" customHeight="1">
      <c r="A243" t="str">
        <f>IFERROR(INDEX('كشف الحساب'!$A$4:$A$203,MATCH(32,'كشف الحساب'!$O$4:$O$203,0)),"")</f>
        <v/>
      </c>
      <c r="B243" t="str">
        <f>IFERROR(INDEX('كشف الحساب'!$B$4:$B$203,MATCH(32,'كشف الحساب'!$O$4:$O$203,0)),"")</f>
        <v/>
      </c>
      <c r="C243" t="str">
        <f>IFERROR(INDEX('كشف الحساب'!$C$4:$C$203,MATCH(32,'كشف الحساب'!$O$4:$O$203,0)),"")</f>
        <v/>
      </c>
      <c r="D243" t="str">
        <f>IFERROR(INDEX('كشف الحساب'!$D$4:$D$203,MATCH(32,'كشف الحساب'!$O$4:$O$203,0)),"")</f>
        <v/>
      </c>
      <c r="E243" t="s">
        <v>6</v>
      </c>
      <c r="F243" t="str">
        <f>IFERROR(INDEX('كشف الحساب'!$I$4:$I$203,MATCH(32,'كشف الحساب'!$O$4:$O$203,0)),"")</f>
        <v/>
      </c>
      <c r="G243" t="str">
        <f>IFERROR(INDEX('كشف الحساب'!$G$4:$G$203,MATCH(32,'كشف الحساب'!$O$4:$O$203,0)),"")</f>
        <v/>
      </c>
    </row>
    <row r="244" spans="1:7" ht="15" customHeight="1">
      <c r="A244" t="str">
        <f>IFERROR(INDEX('كشف الحساب'!$A$4:$A$203,MATCH(33,'كشف الحساب'!$O$4:$O$203,0)),"")</f>
        <v/>
      </c>
      <c r="B244" t="str">
        <f>IFERROR(INDEX('كشف الحساب'!$B$4:$B$203,MATCH(33,'كشف الحساب'!$O$4:$O$203,0)),"")</f>
        <v/>
      </c>
      <c r="C244" t="str">
        <f>IFERROR(INDEX('كشف الحساب'!$C$4:$C$203,MATCH(33,'كشف الحساب'!$O$4:$O$203,0)),"")</f>
        <v/>
      </c>
      <c r="D244" t="str">
        <f>IFERROR(INDEX('كشف الحساب'!$D$4:$D$203,MATCH(33,'كشف الحساب'!$O$4:$O$203,0)),"")</f>
        <v/>
      </c>
      <c r="E244" t="s">
        <v>6</v>
      </c>
      <c r="F244" t="str">
        <f>IFERROR(INDEX('كشف الحساب'!$I$4:$I$203,MATCH(33,'كشف الحساب'!$O$4:$O$203,0)),"")</f>
        <v/>
      </c>
      <c r="G244" t="str">
        <f>IFERROR(INDEX('كشف الحساب'!$G$4:$G$203,MATCH(33,'كشف الحساب'!$O$4:$O$203,0)),"")</f>
        <v/>
      </c>
    </row>
    <row r="245" spans="1:7" ht="15" customHeight="1">
      <c r="A245" t="str">
        <f>IFERROR(INDEX('كشف الحساب'!$A$4:$A$203,MATCH(34,'كشف الحساب'!$O$4:$O$203,0)),"")</f>
        <v/>
      </c>
      <c r="B245" t="str">
        <f>IFERROR(INDEX('كشف الحساب'!$B$4:$B$203,MATCH(34,'كشف الحساب'!$O$4:$O$203,0)),"")</f>
        <v/>
      </c>
      <c r="C245" t="str">
        <f>IFERROR(INDEX('كشف الحساب'!$C$4:$C$203,MATCH(34,'كشف الحساب'!$O$4:$O$203,0)),"")</f>
        <v/>
      </c>
      <c r="D245" t="str">
        <f>IFERROR(INDEX('كشف الحساب'!$D$4:$D$203,MATCH(34,'كشف الحساب'!$O$4:$O$203,0)),"")</f>
        <v/>
      </c>
      <c r="E245" t="s">
        <v>6</v>
      </c>
      <c r="F245" t="str">
        <f>IFERROR(INDEX('كشف الحساب'!$I$4:$I$203,MATCH(34,'كشف الحساب'!$O$4:$O$203,0)),"")</f>
        <v/>
      </c>
      <c r="G245" t="str">
        <f>IFERROR(INDEX('كشف الحساب'!$G$4:$G$203,MATCH(34,'كشف الحساب'!$O$4:$O$203,0)),"")</f>
        <v/>
      </c>
    </row>
    <row r="246" spans="1:7" ht="15" customHeight="1">
      <c r="A246" t="str">
        <f>IFERROR(INDEX('كشف الحساب'!$A$4:$A$203,MATCH(35,'كشف الحساب'!$O$4:$O$203,0)),"")</f>
        <v/>
      </c>
      <c r="B246" t="str">
        <f>IFERROR(INDEX('كشف الحساب'!$B$4:$B$203,MATCH(35,'كشف الحساب'!$O$4:$O$203,0)),"")</f>
        <v/>
      </c>
      <c r="C246" t="str">
        <f>IFERROR(INDEX('كشف الحساب'!$C$4:$C$203,MATCH(35,'كشف الحساب'!$O$4:$O$203,0)),"")</f>
        <v/>
      </c>
      <c r="D246" t="str">
        <f>IFERROR(INDEX('كشف الحساب'!$D$4:$D$203,MATCH(35,'كشف الحساب'!$O$4:$O$203,0)),"")</f>
        <v/>
      </c>
      <c r="E246" t="s">
        <v>6</v>
      </c>
      <c r="F246" t="str">
        <f>IFERROR(INDEX('كشف الحساب'!$I$4:$I$203,MATCH(35,'كشف الحساب'!$O$4:$O$203,0)),"")</f>
        <v/>
      </c>
      <c r="G246" t="str">
        <f>IFERROR(INDEX('كشف الحساب'!$G$4:$G$203,MATCH(35,'كشف الحساب'!$O$4:$O$203,0)),"")</f>
        <v/>
      </c>
    </row>
    <row r="247" spans="1:7" ht="15" customHeight="1">
      <c r="A247" t="str">
        <f>IFERROR(INDEX('كشف الحساب'!$A$4:$A$203,MATCH(36,'كشف الحساب'!$O$4:$O$203,0)),"")</f>
        <v/>
      </c>
      <c r="B247" t="str">
        <f>IFERROR(INDEX('كشف الحساب'!$B$4:$B$203,MATCH(36,'كشف الحساب'!$O$4:$O$203,0)),"")</f>
        <v/>
      </c>
      <c r="C247" t="str">
        <f>IFERROR(INDEX('كشف الحساب'!$C$4:$C$203,MATCH(36,'كشف الحساب'!$O$4:$O$203,0)),"")</f>
        <v/>
      </c>
      <c r="D247" t="str">
        <f>IFERROR(INDEX('كشف الحساب'!$D$4:$D$203,MATCH(36,'كشف الحساب'!$O$4:$O$203,0)),"")</f>
        <v/>
      </c>
      <c r="E247" t="s">
        <v>6</v>
      </c>
      <c r="F247" t="str">
        <f>IFERROR(INDEX('كشف الحساب'!$I$4:$I$203,MATCH(36,'كشف الحساب'!$O$4:$O$203,0)),"")</f>
        <v/>
      </c>
      <c r="G247" t="str">
        <f>IFERROR(INDEX('كشف الحساب'!$G$4:$G$203,MATCH(36,'كشف الحساب'!$O$4:$O$203,0)),"")</f>
        <v/>
      </c>
    </row>
    <row r="248" spans="1:7" ht="15" customHeight="1">
      <c r="A248" t="str">
        <f>IFERROR(INDEX('كشف الحساب'!$A$4:$A$203,MATCH(37,'كشف الحساب'!$O$4:$O$203,0)),"")</f>
        <v/>
      </c>
      <c r="B248" t="str">
        <f>IFERROR(INDEX('كشف الحساب'!$B$4:$B$203,MATCH(37,'كشف الحساب'!$O$4:$O$203,0)),"")</f>
        <v/>
      </c>
      <c r="C248" t="str">
        <f>IFERROR(INDEX('كشف الحساب'!$C$4:$C$203,MATCH(37,'كشف الحساب'!$O$4:$O$203,0)),"")</f>
        <v/>
      </c>
      <c r="D248" t="str">
        <f>IFERROR(INDEX('كشف الحساب'!$D$4:$D$203,MATCH(37,'كشف الحساب'!$O$4:$O$203,0)),"")</f>
        <v/>
      </c>
      <c r="E248" t="s">
        <v>6</v>
      </c>
      <c r="F248" t="str">
        <f>IFERROR(INDEX('كشف الحساب'!$I$4:$I$203,MATCH(37,'كشف الحساب'!$O$4:$O$203,0)),"")</f>
        <v/>
      </c>
      <c r="G248" t="str">
        <f>IFERROR(INDEX('كشف الحساب'!$G$4:$G$203,MATCH(37,'كشف الحساب'!$O$4:$O$203,0)),"")</f>
        <v/>
      </c>
    </row>
    <row r="249" spans="1:7" ht="15" customHeight="1">
      <c r="A249" t="str">
        <f>IFERROR(INDEX('كشف الحساب'!$A$4:$A$203,MATCH(38,'كشف الحساب'!$O$4:$O$203,0)),"")</f>
        <v/>
      </c>
      <c r="B249" t="str">
        <f>IFERROR(INDEX('كشف الحساب'!$B$4:$B$203,MATCH(38,'كشف الحساب'!$O$4:$O$203,0)),"")</f>
        <v/>
      </c>
      <c r="C249" t="str">
        <f>IFERROR(INDEX('كشف الحساب'!$C$4:$C$203,MATCH(38,'كشف الحساب'!$O$4:$O$203,0)),"")</f>
        <v/>
      </c>
      <c r="D249" t="str">
        <f>IFERROR(INDEX('كشف الحساب'!$D$4:$D$203,MATCH(38,'كشف الحساب'!$O$4:$O$203,0)),"")</f>
        <v/>
      </c>
      <c r="E249" t="s">
        <v>6</v>
      </c>
      <c r="F249" t="str">
        <f>IFERROR(INDEX('كشف الحساب'!$I$4:$I$203,MATCH(38,'كشف الحساب'!$O$4:$O$203,0)),"")</f>
        <v/>
      </c>
      <c r="G249" t="str">
        <f>IFERROR(INDEX('كشف الحساب'!$G$4:$G$203,MATCH(38,'كشف الحساب'!$O$4:$O$203,0)),"")</f>
        <v/>
      </c>
    </row>
    <row r="250" spans="1:7" ht="15" customHeight="1">
      <c r="A250" t="str">
        <f>IFERROR(INDEX('كشف الحساب'!$A$4:$A$203,MATCH(39,'كشف الحساب'!$O$4:$O$203,0)),"")</f>
        <v/>
      </c>
      <c r="B250" t="str">
        <f>IFERROR(INDEX('كشف الحساب'!$B$4:$B$203,MATCH(39,'كشف الحساب'!$O$4:$O$203,0)),"")</f>
        <v/>
      </c>
      <c r="C250" t="str">
        <f>IFERROR(INDEX('كشف الحساب'!$C$4:$C$203,MATCH(39,'كشف الحساب'!$O$4:$O$203,0)),"")</f>
        <v/>
      </c>
      <c r="D250" t="str">
        <f>IFERROR(INDEX('كشف الحساب'!$D$4:$D$203,MATCH(39,'كشف الحساب'!$O$4:$O$203,0)),"")</f>
        <v/>
      </c>
      <c r="E250" t="s">
        <v>6</v>
      </c>
      <c r="F250" t="str">
        <f>IFERROR(INDEX('كشف الحساب'!$I$4:$I$203,MATCH(39,'كشف الحساب'!$O$4:$O$203,0)),"")</f>
        <v/>
      </c>
      <c r="G250" t="str">
        <f>IFERROR(INDEX('كشف الحساب'!$G$4:$G$203,MATCH(39,'كشف الحساب'!$O$4:$O$203,0)),"")</f>
        <v/>
      </c>
    </row>
    <row r="251" spans="1:7" ht="15" customHeight="1">
      <c r="A251" t="str">
        <f>IFERROR(INDEX('كشف الحساب'!$A$4:$A$203,MATCH(40,'كشف الحساب'!$O$4:$O$203,0)),"")</f>
        <v/>
      </c>
      <c r="B251" t="str">
        <f>IFERROR(INDEX('كشف الحساب'!$B$4:$B$203,MATCH(40,'كشف الحساب'!$O$4:$O$203,0)),"")</f>
        <v/>
      </c>
      <c r="C251" t="str">
        <f>IFERROR(INDEX('كشف الحساب'!$C$4:$C$203,MATCH(40,'كشف الحساب'!$O$4:$O$203,0)),"")</f>
        <v/>
      </c>
      <c r="D251" t="str">
        <f>IFERROR(INDEX('كشف الحساب'!$D$4:$D$203,MATCH(40,'كشف الحساب'!$O$4:$O$203,0)),"")</f>
        <v/>
      </c>
      <c r="E251" t="s">
        <v>6</v>
      </c>
      <c r="F251" t="str">
        <f>IFERROR(INDEX('كشف الحساب'!$I$4:$I$203,MATCH(40,'كشف الحساب'!$O$4:$O$203,0)),"")</f>
        <v/>
      </c>
      <c r="G251" t="str">
        <f>IFERROR(INDEX('كشف الحساب'!$G$4:$G$203,MATCH(40,'كشف الحساب'!$O$4:$O$203,0)),"")</f>
        <v/>
      </c>
    </row>
    <row r="252" spans="1:7" ht="15" customHeight="1">
      <c r="A252" t="str">
        <f>IFERROR(INDEX('كشف الحساب'!$A$4:$A$203,MATCH(41,'كشف الحساب'!$O$4:$O$203,0)),"")</f>
        <v/>
      </c>
      <c r="B252" t="str">
        <f>IFERROR(INDEX('كشف الحساب'!$B$4:$B$203,MATCH(41,'كشف الحساب'!$O$4:$O$203,0)),"")</f>
        <v/>
      </c>
      <c r="C252" t="str">
        <f>IFERROR(INDEX('كشف الحساب'!$C$4:$C$203,MATCH(41,'كشف الحساب'!$O$4:$O$203,0)),"")</f>
        <v/>
      </c>
      <c r="D252" t="str">
        <f>IFERROR(INDEX('كشف الحساب'!$D$4:$D$203,MATCH(41,'كشف الحساب'!$O$4:$O$203,0)),"")</f>
        <v/>
      </c>
      <c r="E252" t="s">
        <v>6</v>
      </c>
      <c r="F252" t="str">
        <f>IFERROR(INDEX('كشف الحساب'!$I$4:$I$203,MATCH(41,'كشف الحساب'!$O$4:$O$203,0)),"")</f>
        <v/>
      </c>
      <c r="G252" t="str">
        <f>IFERROR(INDEX('كشف الحساب'!$G$4:$G$203,MATCH(41,'كشف الحساب'!$O$4:$O$203,0)),"")</f>
        <v/>
      </c>
    </row>
    <row r="253" spans="1:7" ht="15" customHeight="1">
      <c r="A253" t="str">
        <f>IFERROR(INDEX('كشف الحساب'!$A$4:$A$203,MATCH(42,'كشف الحساب'!$O$4:$O$203,0)),"")</f>
        <v/>
      </c>
      <c r="B253" t="str">
        <f>IFERROR(INDEX('كشف الحساب'!$B$4:$B$203,MATCH(42,'كشف الحساب'!$O$4:$O$203,0)),"")</f>
        <v/>
      </c>
      <c r="C253" t="str">
        <f>IFERROR(INDEX('كشف الحساب'!$C$4:$C$203,MATCH(42,'كشف الحساب'!$O$4:$O$203,0)),"")</f>
        <v/>
      </c>
      <c r="D253" t="str">
        <f>IFERROR(INDEX('كشف الحساب'!$D$4:$D$203,MATCH(42,'كشف الحساب'!$O$4:$O$203,0)),"")</f>
        <v/>
      </c>
      <c r="E253" t="s">
        <v>6</v>
      </c>
      <c r="F253" t="str">
        <f>IFERROR(INDEX('كشف الحساب'!$I$4:$I$203,MATCH(42,'كشف الحساب'!$O$4:$O$203,0)),"")</f>
        <v/>
      </c>
      <c r="G253" t="str">
        <f>IFERROR(INDEX('كشف الحساب'!$G$4:$G$203,MATCH(42,'كشف الحساب'!$O$4:$O$203,0)),"")</f>
        <v/>
      </c>
    </row>
    <row r="254" spans="1:7" ht="15" customHeight="1">
      <c r="A254" t="str">
        <f>IFERROR(INDEX('كشف الحساب'!$A$4:$A$203,MATCH(43,'كشف الحساب'!$O$4:$O$203,0)),"")</f>
        <v/>
      </c>
      <c r="B254" t="str">
        <f>IFERROR(INDEX('كشف الحساب'!$B$4:$B$203,MATCH(43,'كشف الحساب'!$O$4:$O$203,0)),"")</f>
        <v/>
      </c>
      <c r="C254" t="str">
        <f>IFERROR(INDEX('كشف الحساب'!$C$4:$C$203,MATCH(43,'كشف الحساب'!$O$4:$O$203,0)),"")</f>
        <v/>
      </c>
      <c r="D254" t="str">
        <f>IFERROR(INDEX('كشف الحساب'!$D$4:$D$203,MATCH(43,'كشف الحساب'!$O$4:$O$203,0)),"")</f>
        <v/>
      </c>
      <c r="E254" t="s">
        <v>6</v>
      </c>
      <c r="F254" t="str">
        <f>IFERROR(INDEX('كشف الحساب'!$I$4:$I$203,MATCH(43,'كشف الحساب'!$O$4:$O$203,0)),"")</f>
        <v/>
      </c>
      <c r="G254" t="str">
        <f>IFERROR(INDEX('كشف الحساب'!$G$4:$G$203,MATCH(43,'كشف الحساب'!$O$4:$O$203,0)),"")</f>
        <v/>
      </c>
    </row>
    <row r="255" spans="1:7" ht="15" customHeight="1">
      <c r="A255" t="str">
        <f>IFERROR(INDEX('كشف الحساب'!$A$4:$A$203,MATCH(44,'كشف الحساب'!$O$4:$O$203,0)),"")</f>
        <v/>
      </c>
      <c r="B255" t="str">
        <f>IFERROR(INDEX('كشف الحساب'!$B$4:$B$203,MATCH(44,'كشف الحساب'!$O$4:$O$203,0)),"")</f>
        <v/>
      </c>
      <c r="C255" t="str">
        <f>IFERROR(INDEX('كشف الحساب'!$C$4:$C$203,MATCH(44,'كشف الحساب'!$O$4:$O$203,0)),"")</f>
        <v/>
      </c>
      <c r="D255" t="str">
        <f>IFERROR(INDEX('كشف الحساب'!$D$4:$D$203,MATCH(44,'كشف الحساب'!$O$4:$O$203,0)),"")</f>
        <v/>
      </c>
      <c r="E255" t="s">
        <v>6</v>
      </c>
      <c r="F255" t="str">
        <f>IFERROR(INDEX('كشف الحساب'!$I$4:$I$203,MATCH(44,'كشف الحساب'!$O$4:$O$203,0)),"")</f>
        <v/>
      </c>
      <c r="G255" t="str">
        <f>IFERROR(INDEX('كشف الحساب'!$G$4:$G$203,MATCH(44,'كشف الحساب'!$O$4:$O$203,0)),"")</f>
        <v/>
      </c>
    </row>
    <row r="256" spans="1:7" ht="15" customHeight="1">
      <c r="A256" t="str">
        <f>IFERROR(INDEX('كشف الحساب'!$A$4:$A$203,MATCH(45,'كشف الحساب'!$O$4:$O$203,0)),"")</f>
        <v/>
      </c>
      <c r="B256" t="str">
        <f>IFERROR(INDEX('كشف الحساب'!$B$4:$B$203,MATCH(45,'كشف الحساب'!$O$4:$O$203,0)),"")</f>
        <v/>
      </c>
      <c r="C256" t="str">
        <f>IFERROR(INDEX('كشف الحساب'!$C$4:$C$203,MATCH(45,'كشف الحساب'!$O$4:$O$203,0)),"")</f>
        <v/>
      </c>
      <c r="D256" t="str">
        <f>IFERROR(INDEX('كشف الحساب'!$D$4:$D$203,MATCH(45,'كشف الحساب'!$O$4:$O$203,0)),"")</f>
        <v/>
      </c>
      <c r="E256" t="s">
        <v>6</v>
      </c>
      <c r="F256" t="str">
        <f>IFERROR(INDEX('كشف الحساب'!$I$4:$I$203,MATCH(45,'كشف الحساب'!$O$4:$O$203,0)),"")</f>
        <v/>
      </c>
      <c r="G256" t="str">
        <f>IFERROR(INDEX('كشف الحساب'!$G$4:$G$203,MATCH(45,'كشف الحساب'!$O$4:$O$203,0)),"")</f>
        <v/>
      </c>
    </row>
    <row r="257" spans="1:7" ht="15" customHeight="1">
      <c r="A257" t="str">
        <f>IFERROR(INDEX('كشف الحساب'!$A$4:$A$203,MATCH(46,'كشف الحساب'!$O$4:$O$203,0)),"")</f>
        <v/>
      </c>
      <c r="B257" t="str">
        <f>IFERROR(INDEX('كشف الحساب'!$B$4:$B$203,MATCH(46,'كشف الحساب'!$O$4:$O$203,0)),"")</f>
        <v/>
      </c>
      <c r="C257" t="str">
        <f>IFERROR(INDEX('كشف الحساب'!$C$4:$C$203,MATCH(46,'كشف الحساب'!$O$4:$O$203,0)),"")</f>
        <v/>
      </c>
      <c r="D257" t="str">
        <f>IFERROR(INDEX('كشف الحساب'!$D$4:$D$203,MATCH(46,'كشف الحساب'!$O$4:$O$203,0)),"")</f>
        <v/>
      </c>
      <c r="E257" t="s">
        <v>6</v>
      </c>
      <c r="F257" t="str">
        <f>IFERROR(INDEX('كشف الحساب'!$I$4:$I$203,MATCH(46,'كشف الحساب'!$O$4:$O$203,0)),"")</f>
        <v/>
      </c>
      <c r="G257" t="str">
        <f>IFERROR(INDEX('كشف الحساب'!$G$4:$G$203,MATCH(46,'كشف الحساب'!$O$4:$O$203,0)),"")</f>
        <v/>
      </c>
    </row>
    <row r="258" spans="1:7" ht="15" customHeight="1">
      <c r="A258" t="str">
        <f>IFERROR(INDEX('كشف الحساب'!$A$4:$A$203,MATCH(47,'كشف الحساب'!$O$4:$O$203,0)),"")</f>
        <v/>
      </c>
      <c r="B258" t="str">
        <f>IFERROR(INDEX('كشف الحساب'!$B$4:$B$203,MATCH(47,'كشف الحساب'!$O$4:$O$203,0)),"")</f>
        <v/>
      </c>
      <c r="C258" t="str">
        <f>IFERROR(INDEX('كشف الحساب'!$C$4:$C$203,MATCH(47,'كشف الحساب'!$O$4:$O$203,0)),"")</f>
        <v/>
      </c>
      <c r="D258" t="str">
        <f>IFERROR(INDEX('كشف الحساب'!$D$4:$D$203,MATCH(47,'كشف الحساب'!$O$4:$O$203,0)),"")</f>
        <v/>
      </c>
      <c r="E258" t="s">
        <v>6</v>
      </c>
      <c r="F258" t="str">
        <f>IFERROR(INDEX('كشف الحساب'!$I$4:$I$203,MATCH(47,'كشف الحساب'!$O$4:$O$203,0)),"")</f>
        <v/>
      </c>
      <c r="G258" t="str">
        <f>IFERROR(INDEX('كشف الحساب'!$G$4:$G$203,MATCH(47,'كشف الحساب'!$O$4:$O$203,0)),"")</f>
        <v/>
      </c>
    </row>
    <row r="259" spans="1:7" ht="15" customHeight="1">
      <c r="A259" t="str">
        <f>IFERROR(INDEX('كشف الحساب'!$A$4:$A$203,MATCH(48,'كشف الحساب'!$O$4:$O$203,0)),"")</f>
        <v/>
      </c>
      <c r="B259" t="str">
        <f>IFERROR(INDEX('كشف الحساب'!$B$4:$B$203,MATCH(48,'كشف الحساب'!$O$4:$O$203,0)),"")</f>
        <v/>
      </c>
      <c r="C259" t="str">
        <f>IFERROR(INDEX('كشف الحساب'!$C$4:$C$203,MATCH(48,'كشف الحساب'!$O$4:$O$203,0)),"")</f>
        <v/>
      </c>
      <c r="D259" t="str">
        <f>IFERROR(INDEX('كشف الحساب'!$D$4:$D$203,MATCH(48,'كشف الحساب'!$O$4:$O$203,0)),"")</f>
        <v/>
      </c>
      <c r="E259" t="s">
        <v>6</v>
      </c>
      <c r="F259" t="str">
        <f>IFERROR(INDEX('كشف الحساب'!$I$4:$I$203,MATCH(48,'كشف الحساب'!$O$4:$O$203,0)),"")</f>
        <v/>
      </c>
      <c r="G259" t="str">
        <f>IFERROR(INDEX('كشف الحساب'!$G$4:$G$203,MATCH(48,'كشف الحساب'!$O$4:$O$203,0)),"")</f>
        <v/>
      </c>
    </row>
    <row r="260" spans="1:7" ht="15" customHeight="1">
      <c r="A260" t="str">
        <f>IFERROR(INDEX('كشف الحساب'!$A$4:$A$203,MATCH(49,'كشف الحساب'!$O$4:$O$203,0)),"")</f>
        <v/>
      </c>
      <c r="B260" t="str">
        <f>IFERROR(INDEX('كشف الحساب'!$B$4:$B$203,MATCH(49,'كشف الحساب'!$O$4:$O$203,0)),"")</f>
        <v/>
      </c>
      <c r="C260" t="str">
        <f>IFERROR(INDEX('كشف الحساب'!$C$4:$C$203,MATCH(49,'كشف الحساب'!$O$4:$O$203,0)),"")</f>
        <v/>
      </c>
      <c r="D260" t="str">
        <f>IFERROR(INDEX('كشف الحساب'!$D$4:$D$203,MATCH(49,'كشف الحساب'!$O$4:$O$203,0)),"")</f>
        <v/>
      </c>
      <c r="E260" t="s">
        <v>6</v>
      </c>
      <c r="F260" t="str">
        <f>IFERROR(INDEX('كشف الحساب'!$I$4:$I$203,MATCH(49,'كشف الحساب'!$O$4:$O$203,0)),"")</f>
        <v/>
      </c>
      <c r="G260" t="str">
        <f>IFERROR(INDEX('كشف الحساب'!$G$4:$G$203,MATCH(49,'كشف الحساب'!$O$4:$O$203,0)),"")</f>
        <v/>
      </c>
    </row>
    <row r="261" spans="1:7" ht="15" customHeight="1">
      <c r="A261" t="str">
        <f>IFERROR(INDEX('كشف الحساب'!$A$4:$A$203,MATCH(50,'كشف الحساب'!$O$4:$O$203,0)),"")</f>
        <v/>
      </c>
      <c r="B261" t="str">
        <f>IFERROR(INDEX('كشف الحساب'!$B$4:$B$203,MATCH(50,'كشف الحساب'!$O$4:$O$203,0)),"")</f>
        <v/>
      </c>
      <c r="C261" t="str">
        <f>IFERROR(INDEX('كشف الحساب'!$C$4:$C$203,MATCH(50,'كشف الحساب'!$O$4:$O$203,0)),"")</f>
        <v/>
      </c>
      <c r="D261" t="str">
        <f>IFERROR(INDEX('كشف الحساب'!$D$4:$D$203,MATCH(50,'كشف الحساب'!$O$4:$O$203,0)),"")</f>
        <v/>
      </c>
      <c r="E261" t="s">
        <v>6</v>
      </c>
      <c r="F261" t="str">
        <f>IFERROR(INDEX('كشف الحساب'!$I$4:$I$203,MATCH(50,'كشف الحساب'!$O$4:$O$203,0)),"")</f>
        <v/>
      </c>
      <c r="G261" t="str">
        <f>IFERROR(INDEX('كشف الحساب'!$G$4:$G$203,MATCH(50,'كشف الحساب'!$O$4:$O$203,0)),"")</f>
        <v/>
      </c>
    </row>
    <row r="262" spans="1:7" ht="15" customHeight="1">
      <c r="A262" s="40" t="s">
        <v>19</v>
      </c>
      <c r="D262" s="40">
        <f>SUM(D212:D261)</f>
        <v>810</v>
      </c>
    </row>
    <row r="263" spans="1:7" ht="15" customHeight="1">
      <c r="A263" s="41" t="s">
        <v>20</v>
      </c>
      <c r="D263" s="41">
        <f>SUMIF('كشف الحساب'!$G$4:$G$203,"أبو اسحاق",'كشف الحساب'!$D$4:$D$203)</f>
        <v>512.5</v>
      </c>
    </row>
    <row r="264" spans="1:7" ht="15" customHeight="1">
      <c r="A264" s="41" t="s">
        <v>21</v>
      </c>
      <c r="D264" s="41">
        <f>SUMIF('كشف الحساب'!$G$4:$G$203,"أبو آدم",'كشف الحساب'!$D$4:$D$203)</f>
        <v>440</v>
      </c>
    </row>
  </sheetData>
  <mergeCells count="11">
    <mergeCell ref="A4:G4"/>
    <mergeCell ref="A105:D105"/>
    <mergeCell ref="A106:G106"/>
    <mergeCell ref="A207:C207"/>
    <mergeCell ref="A208:C208"/>
    <mergeCell ref="E208:G208"/>
    <mergeCell ref="A1:G1"/>
    <mergeCell ref="A2:C2"/>
    <mergeCell ref="E2:G2"/>
    <mergeCell ref="A3:B3"/>
    <mergeCell ref="D3:G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206"/>
  <sheetViews>
    <sheetView rightToLeft="1" zoomScaleNormal="100" workbookViewId="0">
      <pane ySplit="3" topLeftCell="A73" activePane="bottomLeft" state="frozen"/>
      <selection pane="bottomLeft" activeCell="I84" sqref="I84"/>
    </sheetView>
  </sheetViews>
  <sheetFormatPr defaultColWidth="8.7109375" defaultRowHeight="15"/>
  <cols>
    <col min="1" max="1" width="13" customWidth="1"/>
    <col min="2" max="2" width="14" customWidth="1"/>
    <col min="3" max="3" width="27.85546875" customWidth="1"/>
    <col min="4" max="6" width="16" customWidth="1"/>
    <col min="7" max="8" width="14" customWidth="1"/>
    <col min="9" max="10" width="22" customWidth="1"/>
    <col min="11" max="11" width="20" customWidth="1"/>
    <col min="12" max="14" width="4" hidden="1" customWidth="1"/>
  </cols>
  <sheetData>
    <row r="1" spans="1:15" ht="31.5" customHeight="1">
      <c r="A1" s="134" t="s">
        <v>22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</row>
    <row r="2" spans="1:15" ht="24" customHeight="1">
      <c r="A2" s="135" t="s">
        <v>23</v>
      </c>
      <c r="B2" s="135"/>
      <c r="C2" s="135"/>
      <c r="D2" s="1">
        <v>0</v>
      </c>
      <c r="E2" s="136" t="s">
        <v>24</v>
      </c>
      <c r="F2" s="136"/>
      <c r="G2" s="136"/>
      <c r="H2" s="136"/>
      <c r="I2" s="136"/>
      <c r="J2" s="136"/>
      <c r="K2" s="136"/>
    </row>
    <row r="3" spans="1:15" ht="36" customHeight="1">
      <c r="A3" s="42" t="s">
        <v>25</v>
      </c>
      <c r="B3" s="42" t="s">
        <v>26</v>
      </c>
      <c r="C3" s="42" t="s">
        <v>27</v>
      </c>
      <c r="D3" s="42" t="s">
        <v>28</v>
      </c>
      <c r="E3" s="42" t="s">
        <v>29</v>
      </c>
      <c r="F3" s="42" t="s">
        <v>30</v>
      </c>
      <c r="G3" s="42" t="s">
        <v>31</v>
      </c>
      <c r="H3" s="42" t="s">
        <v>32</v>
      </c>
      <c r="I3" s="42" t="s">
        <v>33</v>
      </c>
      <c r="J3" s="42" t="s">
        <v>34</v>
      </c>
      <c r="K3" s="42" t="s">
        <v>35</v>
      </c>
      <c r="L3" s="43" t="s">
        <v>36</v>
      </c>
      <c r="M3" s="43" t="s">
        <v>37</v>
      </c>
      <c r="N3" s="44" t="s">
        <v>38</v>
      </c>
      <c r="O3" s="44" t="s">
        <v>39</v>
      </c>
    </row>
    <row r="4" spans="1:15" ht="18.75" customHeight="1">
      <c r="A4" s="45">
        <v>46117</v>
      </c>
      <c r="B4" s="46" t="s">
        <v>40</v>
      </c>
      <c r="C4" s="47" t="s">
        <v>41</v>
      </c>
      <c r="D4" s="48">
        <v>4.5</v>
      </c>
      <c r="E4" s="49"/>
      <c r="F4" s="50" t="s">
        <v>42</v>
      </c>
      <c r="G4" s="51" t="s">
        <v>43</v>
      </c>
      <c r="H4" s="52" t="s">
        <v>44</v>
      </c>
      <c r="I4" s="53" t="s">
        <v>45</v>
      </c>
      <c r="J4" s="54">
        <f>IFERROR(IF(AND(D4="",E4="",A4="",B4="",C4=""),"", D2+IF(E4="",0,E4)-IF(OR(G4="أبو اسحاق",G4="أبو آدم",G4="أبو اسحاق ",G4="أبو آدم "),0,IF(D4="",0,D4))),D2)</f>
        <v>-4.5</v>
      </c>
      <c r="K4" s="55"/>
      <c r="L4" t="str">
        <f>IF(E4&gt;0,COUNTIF($E$4:E4,"&gt;0"),"")</f>
        <v/>
      </c>
      <c r="M4">
        <f>IF(AND(D4&gt;0,G4="المحفظة"),COUNTIFS($D$4:D4,"&gt;"&amp;0,$G$4:G4,"المحفظة"),"")</f>
        <v>1</v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</row>
    <row r="5" spans="1:15" ht="18.75" customHeight="1">
      <c r="A5" s="56">
        <v>46121</v>
      </c>
      <c r="B5" s="57" t="s">
        <v>46</v>
      </c>
      <c r="C5" s="58" t="s">
        <v>47</v>
      </c>
      <c r="D5" s="59"/>
      <c r="E5" s="60">
        <v>5</v>
      </c>
      <c r="F5" s="61" t="s">
        <v>42</v>
      </c>
      <c r="G5" s="62"/>
      <c r="H5" s="63" t="s">
        <v>44</v>
      </c>
      <c r="I5" s="64"/>
      <c r="J5" s="65">
        <f>IF(AND(D5="",E5="",A5="",B5="",C5=""),"", IFERROR(IF(J4="",D2,J4),D2)+IF(E5="",0,E5)-IF(OR(G5="أبو اسحاق",G5="أبو آدم",G5="أبو اسحاق ",G5="أبو آدم "),0,IF(D5="",0,D5)))</f>
        <v>0.5</v>
      </c>
      <c r="K5" s="66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</row>
    <row r="6" spans="1:15" ht="18.75" customHeight="1">
      <c r="A6" s="45">
        <v>46124</v>
      </c>
      <c r="B6" s="46" t="s">
        <v>48</v>
      </c>
      <c r="C6" s="47" t="s">
        <v>49</v>
      </c>
      <c r="D6" s="48">
        <v>90</v>
      </c>
      <c r="E6" s="49"/>
      <c r="F6" s="50" t="s">
        <v>42</v>
      </c>
      <c r="G6" s="51" t="s">
        <v>43</v>
      </c>
      <c r="H6" s="52" t="s">
        <v>44</v>
      </c>
      <c r="I6" s="53" t="s">
        <v>50</v>
      </c>
      <c r="J6" s="54">
        <f>IF(AND(D6="",E6="",A6="",B6="",C6=""),"", IFERROR(IF(J5="",D2,J5),D2)+IF(E6="",0,E6)-IF(OR(G6="أبو اسحاق",G6="أبو آدم",G6="أبو اسحاق ",G6="أبو آدم "),0,IF(D6="",0,D6)))</f>
        <v>-89.5</v>
      </c>
      <c r="K6" s="55"/>
      <c r="L6" t="str">
        <f>IF(E6&gt;0,COUNTIF($E$4:E6,"&gt;0"),"")</f>
        <v/>
      </c>
      <c r="M6">
        <f>IF(AND(D6&gt;0,G6="المحفظة"),COUNTIFS($D$4:D6,"&gt;"&amp;0,$G$4:G6,"المحفظة"),"")</f>
        <v>2</v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</row>
    <row r="7" spans="1:15" ht="18.75" customHeight="1">
      <c r="A7" s="56">
        <v>46131</v>
      </c>
      <c r="B7" s="57"/>
      <c r="C7" s="58" t="s">
        <v>51</v>
      </c>
      <c r="D7" s="59">
        <v>45</v>
      </c>
      <c r="E7" s="60"/>
      <c r="F7" s="61" t="s">
        <v>52</v>
      </c>
      <c r="G7" s="62" t="s">
        <v>53</v>
      </c>
      <c r="H7" s="63" t="s">
        <v>54</v>
      </c>
      <c r="I7" s="64" t="s">
        <v>55</v>
      </c>
      <c r="J7" s="65">
        <f>IF(AND(D7="",E7="",A7="",B7="",C7=""),"", IFERROR(IF(J6="",D2,J6),D2)+IF(E7="",0,E7)-IF(OR(G7="أبو اسحاق",G7="أبو آدم",G7="أبو اسحاق ",G7="أبو آدم "),0,IF(D7="",0,D7)))</f>
        <v>-89.5</v>
      </c>
      <c r="K7" s="66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 s="67">
        <f>IF(AND(D7&gt;0,F7="أحد الشركاء"),COUNTIFS($D$4:D7,"&gt;"&amp;0,$F$4:F7,"أحد الشركاء"),"")</f>
        <v>1</v>
      </c>
    </row>
    <row r="8" spans="1:15" ht="18.75" customHeight="1">
      <c r="A8" s="45">
        <v>46134</v>
      </c>
      <c r="B8" s="46" t="s">
        <v>56</v>
      </c>
      <c r="C8" s="47" t="s">
        <v>57</v>
      </c>
      <c r="D8" s="48">
        <v>55</v>
      </c>
      <c r="E8" s="49"/>
      <c r="F8" s="50" t="s">
        <v>52</v>
      </c>
      <c r="G8" s="51" t="s">
        <v>53</v>
      </c>
      <c r="H8" s="52" t="s">
        <v>54</v>
      </c>
      <c r="I8" s="53" t="s">
        <v>58</v>
      </c>
      <c r="J8" s="54">
        <f>IF(AND(D8="",E8="",A8="",B8="",C8=""),"", IFERROR(IF(J7="",D2,J7),D2)+IF(E8="",0,E8)-IF(OR(G8="أبو اسحاق",G8="أبو آدم",G8="أبو اسحاق ",G8="أبو آدم "),0,IF(D8="",0,D8)))</f>
        <v>-89.5</v>
      </c>
      <c r="K8" s="5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 s="67">
        <f>IF(AND(D8&gt;0,F8="أحد الشركاء"),COUNTIFS($D$4:D8,"&gt;"&amp;0,$F$4:F8,"أحد الشركاء"),"")</f>
        <v>2</v>
      </c>
    </row>
    <row r="9" spans="1:15" ht="18.75" customHeight="1">
      <c r="A9" s="56">
        <v>46134</v>
      </c>
      <c r="B9" s="57"/>
      <c r="C9" s="58" t="s">
        <v>59</v>
      </c>
      <c r="D9" s="59">
        <v>20</v>
      </c>
      <c r="E9" s="60"/>
      <c r="F9" s="61" t="s">
        <v>52</v>
      </c>
      <c r="G9" s="62" t="s">
        <v>53</v>
      </c>
      <c r="H9" s="63" t="s">
        <v>54</v>
      </c>
      <c r="I9" s="64" t="s">
        <v>58</v>
      </c>
      <c r="J9" s="65">
        <f>IF(AND(D9="",E9="",A9="",B9="",C9=""),"", IFERROR(IF(J8="",D2,J8),D2)+IF(E9="",0,E9)-IF(OR(G9="أبو اسحاق",G9="أبو آدم",G9="أبو اسحاق ",G9="أبو آدم "),0,IF(D9="",0,D9)))</f>
        <v>-89.5</v>
      </c>
      <c r="K9" s="66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 s="67">
        <f>IF(AND(D9&gt;0,F9="أحد الشركاء"),COUNTIFS($D$4:D9,"&gt;"&amp;0,$F$4:F9,"أحد الشركاء"),"")</f>
        <v>3</v>
      </c>
    </row>
    <row r="10" spans="1:15" ht="18.75" customHeight="1">
      <c r="A10" s="45">
        <v>46134</v>
      </c>
      <c r="B10" s="46" t="s">
        <v>60</v>
      </c>
      <c r="C10" s="47" t="s">
        <v>61</v>
      </c>
      <c r="D10" s="48">
        <v>3</v>
      </c>
      <c r="E10" s="49"/>
      <c r="F10" s="50" t="s">
        <v>42</v>
      </c>
      <c r="G10" s="51" t="s">
        <v>43</v>
      </c>
      <c r="H10" s="52" t="s">
        <v>44</v>
      </c>
      <c r="I10" s="53" t="s">
        <v>50</v>
      </c>
      <c r="J10" s="54">
        <f>IF(AND(D10="",E10="",A10="",B10="",C10=""),"", IFERROR(IF(J9="",D2,J9),D2)+IF(E10="",0,E10)-IF(OR(G10="أبو اسحاق",G10="أبو آدم",G10="أبو اسحاق ",G10="أبو آدم "),0,IF(D10="",0,D10)))</f>
        <v>-92.5</v>
      </c>
      <c r="K10" s="55" t="s">
        <v>62</v>
      </c>
      <c r="L10" t="str">
        <f>IF(E10&gt;0,COUNTIF($E$4:E10,"&gt;0"),"")</f>
        <v/>
      </c>
      <c r="M10">
        <f>IF(AND(D10&gt;0,G10="المحفظة"),COUNTIFS($D$4:D10,"&gt;"&amp;0,$G$4:G10,"المحفظة"),"")</f>
        <v>3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</row>
    <row r="11" spans="1:15" ht="18.75" customHeight="1">
      <c r="A11" s="56">
        <v>46134</v>
      </c>
      <c r="B11" s="57" t="s">
        <v>48</v>
      </c>
      <c r="C11" s="58" t="s">
        <v>63</v>
      </c>
      <c r="D11" s="59">
        <v>190</v>
      </c>
      <c r="E11" s="60"/>
      <c r="F11" s="61" t="s">
        <v>52</v>
      </c>
      <c r="G11" s="62" t="s">
        <v>64</v>
      </c>
      <c r="H11" s="63" t="s">
        <v>54</v>
      </c>
      <c r="I11" s="64" t="s">
        <v>65</v>
      </c>
      <c r="J11" s="65">
        <f>IF(AND(D11="",E11="",A11="",B11="",C11=""),"", IFERROR(IF(J10="",D2,J10),D2)+IF(E11="",0,E11)-IF(OR(G11="أبو اسحاق",G11="أبو آدم",G11="أبو اسحاق ",G11="أبو آدم "),0,IF(D11="",0,D11)))</f>
        <v>-92.5</v>
      </c>
      <c r="K11" s="66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 s="67">
        <f>IF(AND(D11&gt;0,F11="أحد الشركاء"),COUNTIFS($D$4:D11,"&gt;"&amp;0,$F$4:F11,"أحد الشركاء"),"")</f>
        <v>4</v>
      </c>
    </row>
    <row r="12" spans="1:15" ht="18.75" customHeight="1">
      <c r="A12" s="45">
        <v>46142</v>
      </c>
      <c r="B12" s="46"/>
      <c r="C12" s="47" t="s">
        <v>66</v>
      </c>
      <c r="D12" s="48"/>
      <c r="E12" s="49">
        <v>181</v>
      </c>
      <c r="F12" s="50"/>
      <c r="G12" s="51"/>
      <c r="H12" s="52"/>
      <c r="I12" s="53"/>
      <c r="J12" s="54">
        <f>IF(AND(D12="",E12="",A12="",B12="",C12=""),"", IFERROR(IF(J11="",D2,J11),D2)+IF(E12="",0,E12)-IF(OR(G12="أبو اسحاق",G12="أبو آدم",G12="أبو اسحاق ",G12="أبو آدم "),0,IF(D12="",0,D12)))</f>
        <v>88.5</v>
      </c>
      <c r="K12" s="5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</row>
    <row r="13" spans="1:15" ht="18.75" customHeight="1">
      <c r="A13" s="45">
        <v>46142</v>
      </c>
      <c r="B13" s="57">
        <v>40505</v>
      </c>
      <c r="C13" s="58" t="s">
        <v>67</v>
      </c>
      <c r="D13" s="59">
        <v>40</v>
      </c>
      <c r="E13" s="60"/>
      <c r="F13" s="61" t="s">
        <v>42</v>
      </c>
      <c r="G13" s="62" t="s">
        <v>43</v>
      </c>
      <c r="H13" s="63" t="s">
        <v>44</v>
      </c>
      <c r="I13" s="64" t="s">
        <v>65</v>
      </c>
      <c r="J13" s="65">
        <f>IF(AND(D13="",E13="",A13="",B13="",C13=""),"", IFERROR(IF(J12="",D2,J12),D2)+IF(E13="",0,E13)-IF(OR(G13="أبو اسحاق",G13="أبو آدم",G13="أبو اسحاق ",G13="أبو آدم "),0,IF(D13="",0,D13)))</f>
        <v>48.5</v>
      </c>
      <c r="K13" s="66"/>
      <c r="L13" t="str">
        <f>IF(E13&gt;0,COUNTIF($E$4:E13,"&gt;0"),"")</f>
        <v/>
      </c>
      <c r="M13">
        <f>IF(AND(D13&gt;0,G13="المحفظة"),COUNTIFS($D$4:D13,"&gt;"&amp;0,$G$4:G13,"المحفظة"),"")</f>
        <v>4</v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</row>
    <row r="14" spans="1:15" ht="18.75" customHeight="1">
      <c r="A14" s="45">
        <v>46142</v>
      </c>
      <c r="B14" s="46">
        <v>5370</v>
      </c>
      <c r="C14" s="47" t="s">
        <v>68</v>
      </c>
      <c r="D14" s="48">
        <v>3</v>
      </c>
      <c r="E14" s="49"/>
      <c r="F14" s="50" t="s">
        <v>42</v>
      </c>
      <c r="G14" s="51" t="s">
        <v>43</v>
      </c>
      <c r="H14" s="52" t="s">
        <v>44</v>
      </c>
      <c r="I14" s="53" t="s">
        <v>45</v>
      </c>
      <c r="J14" s="54">
        <f>IF(AND(D14="",E14="",A14="",B14="",C14=""),"", IFERROR(IF(J13="",D2,J13),D2)+IF(E14="",0,E14)-IF(OR(G14="أبو اسحاق",G14="أبو آدم",G14="أبو اسحاق ",G14="أبو آدم "),0,IF(D14="",0,D14)))</f>
        <v>45.5</v>
      </c>
      <c r="K14" s="55"/>
      <c r="L14" t="str">
        <f>IF(E14&gt;0,COUNTIF($E$4:E14,"&gt;0"),"")</f>
        <v/>
      </c>
      <c r="M14">
        <f>IF(AND(D14&gt;0,G14="المحفظة"),COUNTIFS($D$4:D14,"&gt;"&amp;0,$G$4:G14,"المحفظة"),"")</f>
        <v>5</v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</row>
    <row r="15" spans="1:15" ht="18.75" customHeight="1">
      <c r="A15" s="68">
        <v>46142</v>
      </c>
      <c r="B15" s="46"/>
      <c r="C15" s="47" t="s">
        <v>69</v>
      </c>
      <c r="D15" s="48">
        <v>5</v>
      </c>
      <c r="E15" s="49"/>
      <c r="F15" s="50" t="s">
        <v>42</v>
      </c>
      <c r="G15" s="51" t="s">
        <v>43</v>
      </c>
      <c r="H15" s="52" t="s">
        <v>44</v>
      </c>
      <c r="I15" s="53" t="s">
        <v>70</v>
      </c>
      <c r="J15" s="54"/>
      <c r="K15" s="5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</row>
    <row r="16" spans="1:15" ht="18.75" customHeight="1">
      <c r="A16" s="56">
        <v>46151</v>
      </c>
      <c r="B16" s="57" t="s">
        <v>71</v>
      </c>
      <c r="C16" s="58" t="s">
        <v>72</v>
      </c>
      <c r="D16" s="59"/>
      <c r="E16" s="60">
        <v>15.75</v>
      </c>
      <c r="F16" s="61" t="s">
        <v>42</v>
      </c>
      <c r="G16" s="62"/>
      <c r="H16" s="63" t="s">
        <v>44</v>
      </c>
      <c r="I16" s="64"/>
      <c r="J16" s="65">
        <f>IF(AND(D16="",E16="",A16="",B16="",C16=""),"", IFERROR(IF(J15="",D2,J15),D2)+IF(E16="",0,E16)-IF(OR(G16="أبو اسحاق",G16="أبو آدم",G16="أبو اسحاق ",G16="أبو آدم "),0,IF(D16="",0,D16)))</f>
        <v>15.75</v>
      </c>
      <c r="K16" s="66"/>
      <c r="L16" t="str">
        <f>IF(E15&gt;0,COUNTIF($E$4:E15,"&gt;0"),"")</f>
        <v/>
      </c>
      <c r="M16">
        <f>IF(AND(D15&gt;0,G15="المحفظة"),COUNTIFS($D$4:D15,"&gt;"&amp;0,$G$4:G15,"المحفظة"),"")</f>
        <v>6</v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</row>
    <row r="17" spans="1:15" ht="18.75" customHeight="1">
      <c r="A17" s="56">
        <v>46151</v>
      </c>
      <c r="B17" s="57" t="s">
        <v>73</v>
      </c>
      <c r="C17" s="47" t="s">
        <v>74</v>
      </c>
      <c r="D17" s="48"/>
      <c r="E17" s="49">
        <v>12.5</v>
      </c>
      <c r="F17" s="50" t="s">
        <v>42</v>
      </c>
      <c r="G17" s="51" t="s">
        <v>43</v>
      </c>
      <c r="H17" s="52" t="s">
        <v>44</v>
      </c>
      <c r="I17" s="53"/>
      <c r="J17" s="54">
        <f>IF(AND(D17="",E17="",A17="",B17="",C17=""),"", IFERROR(IF(J16="",D2,J16),D2)+IF(E17="",0,E17)-IF(OR(G17="أبو اسحاق",G17="أبو آدم",G17="أبو اسحاق ",G17="أبو آدم "),0,IF(D17="",0,D17)))</f>
        <v>28.25</v>
      </c>
      <c r="K17" s="5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</row>
    <row r="18" spans="1:15" ht="18.75" customHeight="1">
      <c r="A18" s="56">
        <v>46151</v>
      </c>
      <c r="B18" s="57">
        <v>18213</v>
      </c>
      <c r="C18" s="58" t="s">
        <v>75</v>
      </c>
      <c r="D18" s="59">
        <v>9</v>
      </c>
      <c r="E18" s="60"/>
      <c r="F18" s="61" t="s">
        <v>52</v>
      </c>
      <c r="G18" s="62" t="s">
        <v>53</v>
      </c>
      <c r="H18" s="63" t="s">
        <v>54</v>
      </c>
      <c r="I18" s="64" t="s">
        <v>50</v>
      </c>
      <c r="J18" s="65">
        <f>IF(AND(D18="",E18="",A18="",B18="",C18=""),"", IFERROR(IF(J17="",D2,J17),D2)+IF(E18="",0,E18)-IF(OR(G18="أبو اسحاق",G18="أبو آدم",G18="أبو اسحاق ",G18="أبو آدم "),0,IF(D18="",0,D18)))</f>
        <v>28.25</v>
      </c>
      <c r="K18" s="66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</row>
    <row r="19" spans="1:15" ht="18.75" customHeight="1">
      <c r="A19" s="45">
        <v>46152</v>
      </c>
      <c r="B19" s="46" t="s">
        <v>76</v>
      </c>
      <c r="C19" s="47" t="s">
        <v>77</v>
      </c>
      <c r="D19" s="48"/>
      <c r="E19" s="49">
        <v>2.25</v>
      </c>
      <c r="F19" s="50" t="s">
        <v>42</v>
      </c>
      <c r="G19" s="51"/>
      <c r="H19" s="52"/>
      <c r="I19" s="53"/>
      <c r="J19" s="54">
        <f>IF(AND(D19="",E19="",A19="",B19="",C19=""),"", IFERROR(IF(J18="",D2,J18),D2)+IF(E19="",0,E19)-IF(OR(G19="أبو اسحاق",G19="أبو آدم",G19="أبو اسحاق ",G19="أبو آدم "),0,IF(D19="",0,D19)))</f>
        <v>30.5</v>
      </c>
      <c r="K19" s="5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 s="67">
        <f>IF(AND(D18&gt;0,F18="أحد الشركاء"),COUNTIFS($D$4:D18,"&gt;"&amp;0,$F$4:F18,"أحد الشركاء"),"")</f>
        <v>5</v>
      </c>
    </row>
    <row r="20" spans="1:15" ht="18.75" customHeight="1">
      <c r="A20" s="56">
        <v>46155</v>
      </c>
      <c r="B20" s="57" t="s">
        <v>78</v>
      </c>
      <c r="C20" s="58" t="s">
        <v>79</v>
      </c>
      <c r="D20" s="59"/>
      <c r="E20" s="60">
        <v>7.5</v>
      </c>
      <c r="F20" s="61" t="s">
        <v>42</v>
      </c>
      <c r="G20" s="62"/>
      <c r="H20" s="63"/>
      <c r="I20" s="64"/>
      <c r="J20" s="65">
        <f>IF(AND(D20="",E20="",A20="",B20="",C20=""),"", IFERROR(IF(J19="",D2,J19),D2)+IF(E20="",0,E20)-IF(OR(G20="أبو اسحاق",G20="أبو آدم",G20="أبو اسحاق ",G20="أبو آدم "),0,IF(D20="",0,D20)))</f>
        <v>38</v>
      </c>
      <c r="K20" s="66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</row>
    <row r="21" spans="1:15" ht="18.75" customHeight="1">
      <c r="A21" s="56">
        <v>46156</v>
      </c>
      <c r="B21" s="46" t="s">
        <v>80</v>
      </c>
      <c r="C21" s="47" t="s">
        <v>81</v>
      </c>
      <c r="D21" s="48"/>
      <c r="E21" s="49">
        <v>6</v>
      </c>
      <c r="F21" s="50" t="s">
        <v>42</v>
      </c>
      <c r="G21" s="51"/>
      <c r="H21" s="52"/>
      <c r="I21" s="53"/>
      <c r="J21" s="54">
        <f>IF(AND(D21="",E21="",A21="",B21="",C21=""),"", IFERROR(IF(J20="",D2,J20),D2)+IF(E21="",0,E21)-IF(OR(G21="أبو اسحاق",G21="أبو آدم",G21="أبو اسحاق ",G21="أبو آدم "),0,IF(D21="",0,D21)))</f>
        <v>44</v>
      </c>
      <c r="K21" s="5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</row>
    <row r="22" spans="1:15" ht="18.75" customHeight="1">
      <c r="A22" s="56">
        <v>46156</v>
      </c>
      <c r="B22" s="57" t="s">
        <v>82</v>
      </c>
      <c r="C22" s="58" t="s">
        <v>83</v>
      </c>
      <c r="D22" s="59"/>
      <c r="E22" s="60">
        <v>8</v>
      </c>
      <c r="F22" s="61" t="s">
        <v>42</v>
      </c>
      <c r="G22" s="62"/>
      <c r="H22" s="63"/>
      <c r="I22" s="64"/>
      <c r="J22" s="65">
        <f>IF(AND(D22="",E22="",A22="",B22="",C22=""),"", IFERROR(IF(J21="",D2,J21),D2)+IF(E22="",0,E22)-IF(OR(G22="أبو اسحاق",G22="أبو آدم",G22="أبو اسحاق ",G22="أبو آدم "),0,IF(D22="",0,D22)))</f>
        <v>52</v>
      </c>
      <c r="K22" s="66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</row>
    <row r="23" spans="1:15" ht="18.75" customHeight="1">
      <c r="A23" s="45">
        <v>46158</v>
      </c>
      <c r="B23" s="46" t="s">
        <v>84</v>
      </c>
      <c r="C23" s="47" t="s">
        <v>85</v>
      </c>
      <c r="D23" s="48"/>
      <c r="E23" s="49">
        <v>1.5</v>
      </c>
      <c r="F23" s="50" t="s">
        <v>42</v>
      </c>
      <c r="G23" s="51"/>
      <c r="H23" s="52"/>
      <c r="I23" s="53"/>
      <c r="J23" s="54">
        <f>IF(AND(D23="",E23="",A23="",B23="",C23=""),"", IFERROR(IF(J22="",D2,J22),D2)+IF(E23="",0,E23)-IF(OR(G23="أبو اسحاق",G23="أبو آدم",G23="أبو اسحاق ",G23="أبو آدم "),0,IF(D23="",0,D23)))</f>
        <v>53.5</v>
      </c>
      <c r="K23" s="5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</row>
    <row r="24" spans="1:15" ht="18.75" customHeight="1">
      <c r="A24" s="45">
        <v>46158</v>
      </c>
      <c r="B24" s="57" t="s">
        <v>86</v>
      </c>
      <c r="C24" s="58" t="s">
        <v>87</v>
      </c>
      <c r="D24" s="59"/>
      <c r="E24" s="60">
        <v>2.25</v>
      </c>
      <c r="F24" s="61" t="s">
        <v>42</v>
      </c>
      <c r="G24" s="62"/>
      <c r="H24" s="63"/>
      <c r="I24" s="64"/>
      <c r="J24" s="65">
        <f>IF(AND(D24="",E24="",A24="",B24="",C24=""),"", IFERROR(IF(J23="",D2,J23),D2)+IF(E24="",0,E24)-IF(OR(G24="أبو اسحاق",G24="أبو آدم",G24="أبو اسحاق ",G24="أبو آدم "),0,IF(D24="",0,D24)))</f>
        <v>55.75</v>
      </c>
      <c r="K24" s="66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</row>
    <row r="25" spans="1:15" ht="18.75" customHeight="1">
      <c r="A25" s="45">
        <v>46158</v>
      </c>
      <c r="B25" s="46" t="s">
        <v>88</v>
      </c>
      <c r="C25" s="47" t="s">
        <v>89</v>
      </c>
      <c r="D25" s="48"/>
      <c r="E25" s="49">
        <v>2.5</v>
      </c>
      <c r="F25" s="50" t="s">
        <v>42</v>
      </c>
      <c r="G25" s="51"/>
      <c r="H25" s="52"/>
      <c r="I25" s="53"/>
      <c r="J25" s="54">
        <f>IF(AND(D25="",E25="",A25="",B25="",C25=""),"", IFERROR(IF(J24="",D2,J24),D2)+IF(E25="",0,E25)-IF(OR(G25="أبو اسحاق",G25="أبو آدم",G25="أبو اسحاق ",G25="أبو آدم "),0,IF(D25="",0,D25)))</f>
        <v>58.25</v>
      </c>
      <c r="K25" s="5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</row>
    <row r="26" spans="1:15" ht="18.75" customHeight="1">
      <c r="A26" s="56">
        <v>46159</v>
      </c>
      <c r="B26" s="57" t="s">
        <v>90</v>
      </c>
      <c r="C26" s="58" t="s">
        <v>91</v>
      </c>
      <c r="D26" s="59"/>
      <c r="E26" s="60">
        <v>22.5</v>
      </c>
      <c r="F26" s="61" t="s">
        <v>42</v>
      </c>
      <c r="G26" s="62"/>
      <c r="H26" s="63"/>
      <c r="I26" s="64"/>
      <c r="J26" s="65">
        <f>IF(AND(D26="",E26="",A26="",B26="",C26=""),"", IFERROR(IF(J25="",D2,J25),D2)+IF(E26="",0,E26)-IF(OR(G26="أبو اسحاق",G26="أبو آدم",G26="أبو اسحاق ",G26="أبو آدم "),0,IF(D26="",0,D26)))</f>
        <v>80.75</v>
      </c>
      <c r="K26" s="66" t="s">
        <v>92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</row>
    <row r="27" spans="1:15" ht="18.75" customHeight="1">
      <c r="A27" s="56">
        <v>46159</v>
      </c>
      <c r="B27" s="46" t="s">
        <v>93</v>
      </c>
      <c r="C27" s="47" t="s">
        <v>94</v>
      </c>
      <c r="D27" s="48"/>
      <c r="E27" s="49">
        <v>8</v>
      </c>
      <c r="F27" s="50" t="s">
        <v>42</v>
      </c>
      <c r="G27" s="51"/>
      <c r="H27" s="52"/>
      <c r="I27" s="53"/>
      <c r="J27" s="54">
        <f>IF(AND(D27="",E27="",A27="",B27="",C27=""),"", IFERROR(IF(J26="",D2,J26),D2)+IF(E27="",0,E27)-IF(OR(G27="أبو اسحاق",G27="أبو آدم",G27="أبو اسحاق ",G27="أبو آدم "),0,IF(D27="",0,D27)))</f>
        <v>88.75</v>
      </c>
      <c r="K27" s="5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</row>
    <row r="28" spans="1:15" ht="18.75" customHeight="1">
      <c r="A28" s="56">
        <v>46160</v>
      </c>
      <c r="B28" s="46" t="s">
        <v>95</v>
      </c>
      <c r="C28" s="47" t="s">
        <v>96</v>
      </c>
      <c r="D28" s="48"/>
      <c r="E28" s="49">
        <v>7.5</v>
      </c>
      <c r="F28" s="50" t="s">
        <v>42</v>
      </c>
      <c r="G28" s="51"/>
      <c r="H28" s="52"/>
      <c r="I28" s="53"/>
      <c r="J28" s="54">
        <f>IF(AND(D28="",E28="",A28="",B28="",C28=""),"", IFERROR(IF(J27="",D2,J27),D2)+IF(E28="",0,E28)-IF(OR(G28="أبو اسحاق",G28="أبو آدم",G28="أبو اسحاق ",G28="أبو آدم "),0,IF(D28="",0,D28)))</f>
        <v>96.25</v>
      </c>
      <c r="K28" s="5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</row>
    <row r="29" spans="1:15" ht="18.75" customHeight="1">
      <c r="A29" s="56">
        <v>46160</v>
      </c>
      <c r="B29" s="46" t="s">
        <v>97</v>
      </c>
      <c r="C29" s="47" t="s">
        <v>98</v>
      </c>
      <c r="D29" s="48"/>
      <c r="E29" s="49">
        <v>5</v>
      </c>
      <c r="F29" s="50" t="s">
        <v>42</v>
      </c>
      <c r="G29" s="51"/>
      <c r="H29" s="52"/>
      <c r="I29" s="53"/>
      <c r="J29" s="54">
        <f>IF(AND(D29="",E29="",A29="",B29="",C29=""),"", IFERROR(IF(J28="",D2,J28),D2)+IF(E29="",0,E29)-IF(OR(G29="أبو اسحاق",G29="أبو آدم",G29="أبو اسحاق ",G29="أبو آدم "),0,IF(D29="",0,D29)))</f>
        <v>101.25</v>
      </c>
      <c r="K29" s="5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</row>
    <row r="30" spans="1:15" ht="18.75" customHeight="1">
      <c r="A30" s="56">
        <v>46160</v>
      </c>
      <c r="B30" s="46" t="s">
        <v>99</v>
      </c>
      <c r="C30" s="47" t="s">
        <v>100</v>
      </c>
      <c r="D30" s="48"/>
      <c r="E30" s="49">
        <v>3</v>
      </c>
      <c r="F30" s="50" t="s">
        <v>42</v>
      </c>
      <c r="G30" s="51"/>
      <c r="H30" s="52"/>
      <c r="I30" s="53"/>
      <c r="J30" s="54">
        <f>IF(AND(D30="",E30="",A30="",B30="",C30=""),"", IFERROR(IF(J29="",D2,J29),D2)+IF(E30="",0,E30)-IF(OR(G30="أبو اسحاق",G30="أبو آدم",G30="أبو اسحاق ",G30="أبو آدم "),0,IF(D30="",0,D30)))</f>
        <v>104.25</v>
      </c>
      <c r="K30" s="5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</row>
    <row r="31" spans="1:15" ht="18.75" customHeight="1">
      <c r="A31" s="56">
        <v>46160</v>
      </c>
      <c r="B31" s="46" t="s">
        <v>101</v>
      </c>
      <c r="C31" s="47" t="s">
        <v>102</v>
      </c>
      <c r="D31" s="48"/>
      <c r="E31" s="49">
        <v>3</v>
      </c>
      <c r="F31" s="50" t="s">
        <v>42</v>
      </c>
      <c r="G31" s="51"/>
      <c r="H31" s="52"/>
      <c r="I31" s="53"/>
      <c r="J31" s="54">
        <f>IF(AND(D31="",E31="",A31="",B31="",C31=""),"", IFERROR(IF(J30="",D2,J30),D2)+IF(E31="",0,E31)-IF(OR(G31="أبو اسحاق",G31="أبو آدم",G31="أبو اسحاق ",G31="أبو آدم "),0,IF(D31="",0,D31)))</f>
        <v>107.25</v>
      </c>
      <c r="K31" s="5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</row>
    <row r="32" spans="1:15" ht="18.75" customHeight="1">
      <c r="A32" s="56">
        <v>46160</v>
      </c>
      <c r="B32" s="46" t="s">
        <v>103</v>
      </c>
      <c r="C32" s="47" t="s">
        <v>104</v>
      </c>
      <c r="D32" s="48"/>
      <c r="E32" s="49">
        <v>5</v>
      </c>
      <c r="F32" s="50" t="s">
        <v>42</v>
      </c>
      <c r="G32" s="51"/>
      <c r="H32" s="52"/>
      <c r="I32" s="53"/>
      <c r="J32" s="54">
        <f>IF(AND(D32="",E32="",A32="",B32="",C32=""),"", IFERROR(IF(J31="",D2,J31),D2)+IF(E32="",0,E32)-IF(OR(G32="أبو اسحاق",G32="أبو آدم",G32="أبو اسحاق ",G32="أبو آدم "),0,IF(D32="",0,D32)))</f>
        <v>112.25</v>
      </c>
      <c r="K32" s="5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</row>
    <row r="33" spans="1:15" ht="18.75" customHeight="1">
      <c r="A33" s="56">
        <v>46160</v>
      </c>
      <c r="B33" s="46" t="s">
        <v>105</v>
      </c>
      <c r="C33" s="47" t="s">
        <v>106</v>
      </c>
      <c r="D33" s="48"/>
      <c r="E33" s="49">
        <v>5</v>
      </c>
      <c r="F33" s="50" t="s">
        <v>42</v>
      </c>
      <c r="G33" s="51"/>
      <c r="H33" s="52"/>
      <c r="I33" s="53"/>
      <c r="J33" s="54">
        <f>IF(AND(D33="",E33="",A33="",B33="",C33=""),"", IFERROR(IF(J32="",D2,J32),D2)+IF(E33="",0,E33)-IF(OR(G33="أبو اسحاق",G33="أبو آدم",G33="أبو اسحاق ",G33="أبو آدم "),0,IF(D33="",0,D33)))</f>
        <v>117.25</v>
      </c>
      <c r="K33" s="5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</row>
    <row r="34" spans="1:15" ht="18.75" customHeight="1">
      <c r="A34" s="56">
        <v>46160</v>
      </c>
      <c r="B34" s="46" t="s">
        <v>107</v>
      </c>
      <c r="C34" s="47" t="s">
        <v>108</v>
      </c>
      <c r="D34" s="48">
        <v>9</v>
      </c>
      <c r="E34" s="49"/>
      <c r="F34" s="50" t="s">
        <v>42</v>
      </c>
      <c r="G34" s="51" t="s">
        <v>43</v>
      </c>
      <c r="H34" s="52" t="s">
        <v>44</v>
      </c>
      <c r="I34" s="53" t="s">
        <v>45</v>
      </c>
      <c r="J34" s="54">
        <f>IF(AND(D34="",E34="",A34="",B34="",C34=""),"", IFERROR(IF(J33="",D2,J33),D2)+IF(E34="",0,E34)-IF(OR(G34="أبو اسحاق",G34="أبو آدم",G34="أبو اسحاق ",G34="أبو آدم "),0,IF(D34="",0,D34)))</f>
        <v>108.25</v>
      </c>
      <c r="K34" s="5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</row>
    <row r="35" spans="1:15" ht="18.75" customHeight="1">
      <c r="A35" s="45">
        <v>46161</v>
      </c>
      <c r="B35" s="46" t="s">
        <v>109</v>
      </c>
      <c r="C35" s="47" t="s">
        <v>91</v>
      </c>
      <c r="D35" s="48"/>
      <c r="E35" s="49">
        <v>22.5</v>
      </c>
      <c r="F35" s="50" t="s">
        <v>42</v>
      </c>
      <c r="G35" s="51"/>
      <c r="H35" s="52"/>
      <c r="I35" s="53"/>
      <c r="J35" s="54">
        <f>IF(AND(D35="",E35="",A35="",B35="",C35=""),"", IFERROR(IF(J34="",D2,J34),D2)+IF(E35="",0,E35)-IF(OR(G35="أبو اسحاق",G35="أبو آدم",G35="أبو اسحاق ",G35="أبو آدم "),0,IF(D35="",0,D35)))</f>
        <v>130.75</v>
      </c>
      <c r="K35" s="55"/>
      <c r="L35" t="str">
        <f>IF(E34&gt;0,COUNTIF($E$4:E34,"&gt;0"),"")</f>
        <v/>
      </c>
      <c r="M35">
        <f>IF(AND(D34&gt;0,G34="المحفظة"),COUNTIFS($D$4:D34,"&gt;"&amp;0,$G$4:G34,"المحفظة"),"")</f>
        <v>7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</row>
    <row r="36" spans="1:15" ht="18.75" customHeight="1">
      <c r="A36" s="56">
        <v>46162</v>
      </c>
      <c r="B36" s="57" t="s">
        <v>110</v>
      </c>
      <c r="C36" s="58" t="s">
        <v>111</v>
      </c>
      <c r="D36" s="59"/>
      <c r="E36" s="60">
        <v>22.5</v>
      </c>
      <c r="F36" s="61" t="s">
        <v>42</v>
      </c>
      <c r="G36" s="62"/>
      <c r="H36" s="63"/>
      <c r="I36" s="64"/>
      <c r="J36" s="65">
        <f>IF(AND(D36="",E36="",A36="",B36="",C36=""),"", IFERROR(IF(J35="",D2,J35),D2)+IF(E36="",0,E36)-IF(OR(G36="أبو اسحاق",G36="أبو آدم",G36="أبو اسحاق ",G36="أبو آدم "),0,IF(D36="",0,D36)))</f>
        <v>153.25</v>
      </c>
      <c r="K36" s="66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</row>
    <row r="37" spans="1:15" ht="18.75" customHeight="1">
      <c r="A37" s="56">
        <v>46162</v>
      </c>
      <c r="B37" s="46" t="s">
        <v>112</v>
      </c>
      <c r="C37" s="47" t="s">
        <v>113</v>
      </c>
      <c r="D37" s="48"/>
      <c r="E37" s="49">
        <v>25</v>
      </c>
      <c r="F37" s="50" t="s">
        <v>42</v>
      </c>
      <c r="G37" s="51"/>
      <c r="H37" s="52"/>
      <c r="I37" s="53"/>
      <c r="J37" s="54">
        <f>IF(AND(D37="",E37="",A37="",B37="",C37=""),"", IFERROR(IF(J36="",D2,J36),D2)+IF(E37="",0,E37)-IF(OR(G37="أبو اسحاق",G37="أبو آدم",G37="أبو اسحاق ",G37="أبو آدم "),0,IF(D37="",0,D37)))</f>
        <v>178.25</v>
      </c>
      <c r="K37" s="5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</row>
    <row r="38" spans="1:15" ht="18.75" customHeight="1">
      <c r="A38" s="56">
        <v>46163</v>
      </c>
      <c r="B38" s="57" t="s">
        <v>114</v>
      </c>
      <c r="C38" s="58" t="s">
        <v>115</v>
      </c>
      <c r="D38" s="59"/>
      <c r="E38" s="60">
        <v>37.5</v>
      </c>
      <c r="F38" s="61" t="s">
        <v>42</v>
      </c>
      <c r="G38" s="62"/>
      <c r="H38" s="63"/>
      <c r="I38" s="64"/>
      <c r="J38" s="65">
        <f>IF(AND(D38="",E38="",A38="",B38="",C38=""),"", IFERROR(IF(J37="",D2,J37),D2)+IF(E38="",0,E38)-IF(OR(G38="أبو اسحاق",G38="أبو آدم",G38="أبو اسحاق ",G38="أبو آدم "),0,IF(D38="",0,D38)))</f>
        <v>215.75</v>
      </c>
      <c r="K38" s="66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</row>
    <row r="39" spans="1:15" ht="18.75" customHeight="1">
      <c r="A39" s="45">
        <v>46163</v>
      </c>
      <c r="B39" s="46" t="s">
        <v>116</v>
      </c>
      <c r="C39" s="47" t="s">
        <v>117</v>
      </c>
      <c r="D39" s="48"/>
      <c r="E39" s="49">
        <v>2.5</v>
      </c>
      <c r="F39" s="50" t="s">
        <v>42</v>
      </c>
      <c r="G39" s="51"/>
      <c r="H39" s="52"/>
      <c r="I39" s="53"/>
      <c r="J39" s="54">
        <f>IF(AND(D39="",E39="",A39="",B39="",C39=""),"", IFERROR(IF(J38="",D2,J38),D2)+IF(E39="",0,E39)-IF(OR(G39="أبو اسحاق",G39="أبو آدم",G39="أبو اسحاق ",G39="أبو آدم "),0,IF(D39="",0,D39)))</f>
        <v>218.25</v>
      </c>
      <c r="K39" s="5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</row>
    <row r="40" spans="1:15" ht="18.75" customHeight="1">
      <c r="A40" s="56">
        <v>46164</v>
      </c>
      <c r="B40" s="57" t="s">
        <v>118</v>
      </c>
      <c r="C40" s="58" t="s">
        <v>119</v>
      </c>
      <c r="D40" s="59"/>
      <c r="E40" s="60">
        <v>15</v>
      </c>
      <c r="F40" s="61" t="s">
        <v>42</v>
      </c>
      <c r="G40" s="62"/>
      <c r="H40" s="63"/>
      <c r="I40" s="64"/>
      <c r="J40" s="65">
        <f>IF(AND(D40="",E40="",A40="",B40="",C40=""),"", IFERROR(IF(J39="",D2,J39),D2)+IF(E40="",0,E40)-IF(OR(G40="أبو اسحاق",G40="أبو آدم",G40="أبو اسحاق ",G40="أبو آدم "),0,IF(D40="",0,D40)))</f>
        <v>233.25</v>
      </c>
      <c r="K40" s="66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</row>
    <row r="41" spans="1:15" ht="18.75" customHeight="1">
      <c r="A41" s="56">
        <v>46164</v>
      </c>
      <c r="B41" s="46" t="s">
        <v>120</v>
      </c>
      <c r="C41" s="47" t="s">
        <v>121</v>
      </c>
      <c r="D41" s="48"/>
      <c r="E41" s="49">
        <v>6</v>
      </c>
      <c r="F41" s="50" t="s">
        <v>42</v>
      </c>
      <c r="G41" s="51"/>
      <c r="H41" s="52"/>
      <c r="I41" s="53"/>
      <c r="J41" s="54">
        <f>IF(AND(D41="",E41="",A41="",B41="",C41=""),"", IFERROR(IF(J40="",D2,J40),D2)+IF(E41="",0,E41)-IF(OR(G41="أبو اسحاق",G41="أبو آدم",G41="أبو اسحاق ",G41="أبو آدم "),0,IF(D41="",0,D41)))</f>
        <v>239.25</v>
      </c>
      <c r="K41" s="5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</row>
    <row r="42" spans="1:15" ht="18.75" customHeight="1">
      <c r="A42" s="56">
        <v>46167</v>
      </c>
      <c r="B42" s="57" t="s">
        <v>122</v>
      </c>
      <c r="C42" s="58" t="s">
        <v>123</v>
      </c>
      <c r="D42" s="59"/>
      <c r="E42" s="60">
        <v>7.5</v>
      </c>
      <c r="F42" s="61" t="s">
        <v>42</v>
      </c>
      <c r="G42" s="62"/>
      <c r="H42" s="63"/>
      <c r="I42" s="64"/>
      <c r="J42" s="65">
        <f>IF(AND(D42="",E42="",A42="",B42="",C42=""),"", IFERROR(IF(J41="",D2,J41),D2)+IF(E42="",0,E42)-IF(OR(G42="أبو اسحاق",G42="أبو آدم",G42="أبو اسحاق ",G42="أبو آدم "),0,IF(D42="",0,D42)))</f>
        <v>246.75</v>
      </c>
      <c r="K42" s="66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</row>
    <row r="43" spans="1:15" ht="18.75" customHeight="1">
      <c r="A43" s="56">
        <v>46167</v>
      </c>
      <c r="B43" s="46" t="s">
        <v>124</v>
      </c>
      <c r="C43" s="47" t="s">
        <v>125</v>
      </c>
      <c r="D43" s="48"/>
      <c r="E43" s="49">
        <v>2</v>
      </c>
      <c r="F43" s="50" t="s">
        <v>42</v>
      </c>
      <c r="G43" s="51"/>
      <c r="H43" s="52"/>
      <c r="I43" s="53"/>
      <c r="J43" s="54">
        <f>IF(AND(D43="",E43="",A43="",B43="",C43=""),"", IFERROR(IF(J42="",D2,J42),D2)+IF(E43="",0,E43)-IF(OR(G43="أبو اسحاق",G43="أبو آدم",G43="أبو اسحاق ",G43="أبو آدم "),0,IF(D43="",0,D43)))</f>
        <v>248.75</v>
      </c>
      <c r="K43" s="5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</row>
    <row r="44" spans="1:15" ht="18.75" customHeight="1">
      <c r="A44" s="56">
        <v>46167</v>
      </c>
      <c r="B44" s="57" t="s">
        <v>126</v>
      </c>
      <c r="C44" s="58" t="s">
        <v>127</v>
      </c>
      <c r="D44" s="59"/>
      <c r="E44" s="60">
        <v>4</v>
      </c>
      <c r="F44" s="61" t="s">
        <v>42</v>
      </c>
      <c r="G44" s="62"/>
      <c r="H44" s="63"/>
      <c r="I44" s="64"/>
      <c r="J44" s="65">
        <f>IF(AND(D44="",E44="",A44="",B44="",C44=""),"", IFERROR(IF(J43="",D2,J43),D2)+IF(E44="",0,E44)-IF(OR(G44="أبو اسحاق",G44="أبو آدم",G44="أبو اسحاق ",G44="أبو آدم "),0,IF(D44="",0,D44)))</f>
        <v>252.75</v>
      </c>
      <c r="K44" s="66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</row>
    <row r="45" spans="1:15" ht="18.75" customHeight="1">
      <c r="A45" s="56">
        <v>46167</v>
      </c>
      <c r="B45" s="46"/>
      <c r="C45" s="47" t="s">
        <v>128</v>
      </c>
      <c r="D45" s="48">
        <v>26</v>
      </c>
      <c r="E45" s="49"/>
      <c r="F45" s="50" t="s">
        <v>52</v>
      </c>
      <c r="G45" s="51" t="s">
        <v>53</v>
      </c>
      <c r="H45" s="52" t="s">
        <v>54</v>
      </c>
      <c r="I45" s="53"/>
      <c r="J45" s="54">
        <f>IF(AND(D45="",E45="",A45="",B45="",C45=""),"", IFERROR(IF(J44="",D2,J44),D2)+IF(E45="",0,E45)-IF(OR(G45="أبو اسحاق",G45="أبو آدم",G45="أبو اسحاق ",G45="أبو آدم "),0,IF(D45="",0,D45)))</f>
        <v>252.75</v>
      </c>
      <c r="K45" s="5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</row>
    <row r="46" spans="1:15" ht="18.75" customHeight="1">
      <c r="A46" s="56">
        <v>46167</v>
      </c>
      <c r="B46" s="57"/>
      <c r="C46" s="58" t="s">
        <v>129</v>
      </c>
      <c r="D46" s="59">
        <v>250</v>
      </c>
      <c r="E46" s="60"/>
      <c r="F46" s="61" t="s">
        <v>52</v>
      </c>
      <c r="G46" s="62" t="s">
        <v>64</v>
      </c>
      <c r="H46" s="63" t="s">
        <v>54</v>
      </c>
      <c r="I46" s="64" t="s">
        <v>130</v>
      </c>
      <c r="J46" s="65">
        <f>IF(AND(D46="",E46="",A46="",B46="",C46=""),"", IFERROR(IF(J45="",D2,J45),D2)+IF(E46="",0,E46)-IF(OR(G46="أبو اسحاق",G46="أبو آدم",G46="أبو اسحاق ",G46="أبو آدم "),0,IF(D46="",0,D46)))</f>
        <v>252.75</v>
      </c>
      <c r="K46" s="66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 s="67">
        <f>IF(AND(D45&gt;0,F45="أحد الشركاء"),COUNTIFS($D$4:D45,"&gt;"&amp;0,$F$4:F45,"أحد الشركاء"),"")</f>
        <v>6</v>
      </c>
    </row>
    <row r="47" spans="1:15" ht="18.75" customHeight="1">
      <c r="A47" s="45">
        <v>46167</v>
      </c>
      <c r="B47" s="46"/>
      <c r="C47" s="47" t="s">
        <v>129</v>
      </c>
      <c r="D47" s="48">
        <v>250</v>
      </c>
      <c r="E47" s="49"/>
      <c r="F47" s="50" t="s">
        <v>52</v>
      </c>
      <c r="G47" s="51" t="s">
        <v>53</v>
      </c>
      <c r="H47" s="52" t="s">
        <v>54</v>
      </c>
      <c r="I47" s="53" t="s">
        <v>130</v>
      </c>
      <c r="J47" s="54">
        <f>IF(AND(D47="",E47="",A47="",B47="",C47=""),"", IFERROR(IF(J46="",D2,J46),D2)+IF(E47="",0,E47)-IF(OR(G47="أبو اسحاق",G47="أبو آدم",G47="أبو اسحاق ",G47="أبو آدم "),0,IF(D47="",0,D47)))</f>
        <v>252.75</v>
      </c>
      <c r="K47" s="5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 s="67">
        <f>IF(AND(D46&gt;0,F46="أحد الشركاء"),COUNTIFS($D$4:D46,"&gt;"&amp;0,$F$4:F46,"أحد الشركاء"),"")</f>
        <v>7</v>
      </c>
    </row>
    <row r="48" spans="1:15" ht="18.75" customHeight="1">
      <c r="A48" s="56">
        <v>46146</v>
      </c>
      <c r="B48" s="57" t="s">
        <v>131</v>
      </c>
      <c r="C48" s="58" t="s">
        <v>132</v>
      </c>
      <c r="D48" s="59"/>
      <c r="E48" s="60">
        <v>9</v>
      </c>
      <c r="F48" s="61" t="s">
        <v>42</v>
      </c>
      <c r="G48" s="62"/>
      <c r="H48" s="63" t="s">
        <v>44</v>
      </c>
      <c r="I48" s="64"/>
      <c r="J48" s="65">
        <f>IF(AND(D48="",E48="",A48="",B48="",C48=""),"", IFERROR(IF(J47="",D2,J47),D2)+IF(E48="",0,E48)-IF(OR(G48="أبو اسحاق",G48="أبو آدم",G48="أبو اسحاق ",G48="أبو آدم "),0,IF(D48="",0,D48)))</f>
        <v>261.75</v>
      </c>
      <c r="K48" s="66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 s="67">
        <f>IF(AND(D47&gt;0,F47="أحد الشركاء"),COUNTIFS($D$4:D47,"&gt;"&amp;0,$F$4:F47,"أحد الشركاء"),"")</f>
        <v>8</v>
      </c>
    </row>
    <row r="49" spans="1:15" ht="18.75" customHeight="1">
      <c r="A49" s="45">
        <v>46146</v>
      </c>
      <c r="B49" s="46" t="s">
        <v>133</v>
      </c>
      <c r="C49" s="47" t="s">
        <v>132</v>
      </c>
      <c r="D49" s="48"/>
      <c r="E49" s="49">
        <v>9</v>
      </c>
      <c r="F49" s="50" t="s">
        <v>42</v>
      </c>
      <c r="G49" s="51"/>
      <c r="H49" s="52" t="s">
        <v>44</v>
      </c>
      <c r="I49" s="53"/>
      <c r="J49" s="54">
        <f>IF(AND(D49="",E49="",A49="",B49="",C49=""),"", IFERROR(IF(J48="",D2,J48),D2)+IF(E49="",0,E49)-IF(OR(G49="أبو اسحاق",G49="أبو آدم",G49="أبو اسحاق ",G49="أبو آدم "),0,IF(D49="",0,D49)))</f>
        <v>270.75</v>
      </c>
      <c r="K49" s="5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</row>
    <row r="50" spans="1:15" ht="18.75" customHeight="1">
      <c r="A50" s="56">
        <v>46146</v>
      </c>
      <c r="B50" s="57" t="s">
        <v>134</v>
      </c>
      <c r="C50" s="58" t="s">
        <v>132</v>
      </c>
      <c r="D50" s="59"/>
      <c r="E50" s="60">
        <v>2</v>
      </c>
      <c r="F50" s="61" t="s">
        <v>42</v>
      </c>
      <c r="G50" s="62"/>
      <c r="H50" s="63" t="s">
        <v>44</v>
      </c>
      <c r="I50" s="64"/>
      <c r="J50" s="65">
        <f>IF(AND(D50="",E50="",A50="",B50="",C50=""),"", IFERROR(IF(J49="",D2,J49),D2)+IF(E50="",0,E50)-IF(OR(G50="أبو اسحاق",G50="أبو آدم",G50="أبو اسحاق ",G50="أبو آدم "),0,IF(D50="",0,D50)))</f>
        <v>272.75</v>
      </c>
      <c r="K50" s="66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</row>
    <row r="51" spans="1:15" ht="18.75" customHeight="1">
      <c r="A51" s="45">
        <v>46147</v>
      </c>
      <c r="B51" s="46" t="s">
        <v>135</v>
      </c>
      <c r="C51" s="47" t="s">
        <v>132</v>
      </c>
      <c r="D51" s="48"/>
      <c r="E51" s="49">
        <v>3.75</v>
      </c>
      <c r="F51" s="50" t="s">
        <v>42</v>
      </c>
      <c r="G51" s="51"/>
      <c r="H51" s="52" t="s">
        <v>44</v>
      </c>
      <c r="I51" s="53"/>
      <c r="J51" s="54">
        <f>IF(AND(D51="",E51="",A51="",B51="",C51=""),"", IFERROR(IF(J50="",D2,J50),D2)+IF(E51="",0,E51)-IF(OR(G51="أبو اسحاق",G51="أبو آدم",G51="أبو اسحاق ",G51="أبو آدم "),0,IF(D51="",0,D51)))</f>
        <v>276.5</v>
      </c>
      <c r="K51" s="5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</row>
    <row r="52" spans="1:15" ht="18.75" customHeight="1">
      <c r="A52" s="56">
        <v>46149</v>
      </c>
      <c r="B52" s="57" t="s">
        <v>136</v>
      </c>
      <c r="C52" s="58" t="s">
        <v>132</v>
      </c>
      <c r="D52" s="59"/>
      <c r="E52" s="60">
        <v>5</v>
      </c>
      <c r="F52" s="61" t="s">
        <v>42</v>
      </c>
      <c r="G52" s="62"/>
      <c r="H52" s="63" t="s">
        <v>44</v>
      </c>
      <c r="I52" s="64"/>
      <c r="J52" s="65">
        <f>IF(AND(D52="",E52="",A52="",B52="",C52=""),"", IFERROR(IF(J51="",D2,J51),D2)+IF(E52="",0,E52)-IF(OR(G52="أبو اسحاق",G52="أبو آدم",G52="أبو اسحاق ",G52="أبو آدم "),0,IF(D52="",0,D52)))</f>
        <v>281.5</v>
      </c>
      <c r="K52" s="66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</row>
    <row r="53" spans="1:15" ht="18.75" customHeight="1">
      <c r="A53" s="45">
        <v>46155</v>
      </c>
      <c r="B53" s="46" t="s">
        <v>137</v>
      </c>
      <c r="C53" s="47" t="s">
        <v>132</v>
      </c>
      <c r="D53" s="48"/>
      <c r="E53" s="49">
        <v>15</v>
      </c>
      <c r="F53" s="50" t="s">
        <v>42</v>
      </c>
      <c r="G53" s="51"/>
      <c r="H53" s="52" t="s">
        <v>44</v>
      </c>
      <c r="I53" s="53"/>
      <c r="J53" s="54">
        <f>IF(AND(D53="",E53="",A53="",B53="",C53=""),"", IFERROR(IF(J52="",D2,J52),D2)+IF(E53="",0,E53)-IF(OR(G53="أبو اسحاق",G53="أبو آدم",G53="أبو اسحاق ",G53="أبو آدم "),0,IF(D53="",0,D53)))</f>
        <v>296.5</v>
      </c>
      <c r="K53" s="5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</row>
    <row r="54" spans="1:15" ht="18.75" customHeight="1">
      <c r="A54" s="56">
        <v>46155</v>
      </c>
      <c r="B54" s="57" t="s">
        <v>138</v>
      </c>
      <c r="C54" s="58" t="s">
        <v>132</v>
      </c>
      <c r="D54" s="59"/>
      <c r="E54" s="60">
        <v>4</v>
      </c>
      <c r="F54" s="61" t="s">
        <v>42</v>
      </c>
      <c r="G54" s="62"/>
      <c r="H54" s="63" t="s">
        <v>44</v>
      </c>
      <c r="I54" s="64"/>
      <c r="J54" s="65">
        <f>IF(AND(D54="",E54="",A54="",B54="",C54=""),"", IFERROR(IF(J53="",D2,J53),D2)+IF(E54="",0,E54)-IF(OR(G54="أبو اسحاق",G54="أبو آدم",G54="أبو اسحاق ",G54="أبو آدم "),0,IF(D54="",0,D54)))</f>
        <v>300.5</v>
      </c>
      <c r="K54" s="66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</row>
    <row r="55" spans="1:15" ht="18.75" customHeight="1">
      <c r="A55" s="45">
        <v>46155</v>
      </c>
      <c r="B55" s="46" t="s">
        <v>139</v>
      </c>
      <c r="C55" s="47" t="s">
        <v>132</v>
      </c>
      <c r="D55" s="48"/>
      <c r="E55" s="49">
        <v>3.6</v>
      </c>
      <c r="F55" s="50" t="s">
        <v>42</v>
      </c>
      <c r="G55" s="51"/>
      <c r="H55" s="52" t="s">
        <v>44</v>
      </c>
      <c r="I55" s="53"/>
      <c r="J55" s="54">
        <f>IF(AND(D55="",E55="",A55="",B55="",C55=""),"", IFERROR(IF(J54="",D2,J54),D2)+IF(E55="",0,E55)-IF(OR(G55="أبو اسحاق",G55="أبو آدم",G55="أبو اسحاق ",G55="أبو آدم "),0,IF(D55="",0,D55)))</f>
        <v>304.10000000000002</v>
      </c>
      <c r="K55" s="5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</row>
    <row r="56" spans="1:15" ht="18.75" customHeight="1">
      <c r="A56" s="56">
        <v>46158</v>
      </c>
      <c r="B56" s="57" t="s">
        <v>140</v>
      </c>
      <c r="C56" s="58" t="s">
        <v>132</v>
      </c>
      <c r="D56" s="59"/>
      <c r="E56" s="60">
        <v>3</v>
      </c>
      <c r="F56" s="61" t="s">
        <v>42</v>
      </c>
      <c r="G56" s="62"/>
      <c r="H56" s="63" t="s">
        <v>44</v>
      </c>
      <c r="I56" s="64"/>
      <c r="J56" s="65">
        <f>IF(AND(D56="",E56="",A56="",B56="",C56=""),"", IFERROR(IF(J55="",D2,J55),D2)+IF(E56="",0,E56)-IF(OR(G56="أبو اسحاق",G56="أبو آدم",G56="أبو اسحاق ",G56="أبو آدم "),0,IF(D56="",0,D56)))</f>
        <v>307.10000000000002</v>
      </c>
      <c r="K56" s="66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</row>
    <row r="57" spans="1:15" ht="18.75" customHeight="1">
      <c r="A57" s="45">
        <v>46155</v>
      </c>
      <c r="B57" s="46"/>
      <c r="C57" s="47" t="s">
        <v>68</v>
      </c>
      <c r="D57" s="48">
        <v>2.75</v>
      </c>
      <c r="E57" s="49"/>
      <c r="F57" s="50" t="s">
        <v>42</v>
      </c>
      <c r="G57" s="51" t="s">
        <v>43</v>
      </c>
      <c r="H57" s="52" t="s">
        <v>44</v>
      </c>
      <c r="I57" s="53"/>
      <c r="J57" s="54">
        <f>IF(AND(D57="",E57="",A57="",B57="",C57=""),"", IFERROR(IF(J56="",D2,J56),D2)+IF(E57="",0,E57)-IF(OR(G57="أبو اسحاق",G57="أبو آدم",G57="أبو اسحاق ",G57="أبو آدم "),0,IF(D57="",0,D57)))</f>
        <v>304.35000000000002</v>
      </c>
      <c r="K57" s="5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</row>
    <row r="58" spans="1:15" ht="18.75" customHeight="1">
      <c r="A58" s="56">
        <v>46175</v>
      </c>
      <c r="B58" s="46" t="s">
        <v>141</v>
      </c>
      <c r="C58" s="58" t="s">
        <v>142</v>
      </c>
      <c r="D58" s="59"/>
      <c r="E58" s="60">
        <v>18</v>
      </c>
      <c r="F58" s="61" t="s">
        <v>42</v>
      </c>
      <c r="G58" s="62"/>
      <c r="H58" s="63" t="s">
        <v>44</v>
      </c>
      <c r="I58" s="64"/>
      <c r="J58" s="65">
        <f>IF(AND(D58="",E58="",A58="",B58="",C58=""),"", IFERROR(IF(J57="",D2,J57),D2)+IF(E58="",0,E58)-IF(OR(G58="أبو اسحاق",G58="أبو آدم",G58="أبو اسحاق ",G58="أبو آدم "),0,IF(D58="",0,D58)))</f>
        <v>322.35000000000002</v>
      </c>
      <c r="K58" s="66"/>
      <c r="L58" t="str">
        <f>IF(E57&gt;0,COUNTIF($E$4:E57,"&gt;0"),"")</f>
        <v/>
      </c>
      <c r="M58">
        <f>IF(AND(D57&gt;0,G57="المحفظة"),COUNTIFS($D$4:D57,"&gt;"&amp;0,$G$4:G57,"المحفظة"),"")</f>
        <v>8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1</v>
      </c>
      <c r="O58" t="str">
        <f>IF(AND(D57&gt;0,F57="أحد الشركاء"),COUNTIFS($D$4:D57,"&gt;"&amp;0,$F$4:F57,"أحد الشركاء"),"")</f>
        <v/>
      </c>
    </row>
    <row r="59" spans="1:15" ht="18.75" customHeight="1">
      <c r="A59" s="56">
        <v>46175</v>
      </c>
      <c r="B59" s="57" t="s">
        <v>143</v>
      </c>
      <c r="C59" s="47" t="s">
        <v>144</v>
      </c>
      <c r="D59" s="48"/>
      <c r="E59" s="49">
        <v>2</v>
      </c>
      <c r="F59" s="50" t="s">
        <v>42</v>
      </c>
      <c r="G59" s="51"/>
      <c r="H59" s="52" t="s">
        <v>44</v>
      </c>
      <c r="I59" s="53"/>
      <c r="J59" s="54">
        <f>IF(AND(D59="",E59="",A59="",B59="",C59=""),"", IFERROR(IF(J58="",D2,J58),D2)+IF(E59="",0,E59)-IF(OR(G59="أبو اسحاق",G59="أبو آدم",G59="أبو اسحاق ",G59="أبو آدم "),0,IF(D59="",0,D59)))</f>
        <v>324.35000000000002</v>
      </c>
      <c r="K59" s="5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2</v>
      </c>
      <c r="O59" t="str">
        <f>IF(AND(D58&gt;0,F58="أحد الشركاء"),COUNTIFS($D$4:D58,"&gt;"&amp;0,$F$4:F58,"أحد الشركاء"),"")</f>
        <v/>
      </c>
    </row>
    <row r="60" spans="1:15" ht="18.75" customHeight="1">
      <c r="A60" s="56">
        <v>46175</v>
      </c>
      <c r="B60" s="46" t="s">
        <v>145</v>
      </c>
      <c r="C60" s="58" t="s">
        <v>146</v>
      </c>
      <c r="D60" s="59"/>
      <c r="E60" s="60">
        <v>1.5</v>
      </c>
      <c r="F60" s="61" t="s">
        <v>42</v>
      </c>
      <c r="G60" s="62"/>
      <c r="H60" s="63" t="s">
        <v>44</v>
      </c>
      <c r="I60" s="64"/>
      <c r="J60" s="65">
        <f>IF(AND(D60="",E60="",A60="",B60="",C60=""),"", IFERROR(IF(J59="",D2,J59),D2)+IF(E60="",0,E60)-IF(OR(G60="أبو اسحاق",G60="أبو آدم",G60="أبو اسحاق ",G60="أبو آدم "),0,IF(D60="",0,D60)))</f>
        <v>325.85000000000002</v>
      </c>
      <c r="K60" s="66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3</v>
      </c>
      <c r="O60" t="str">
        <f>IF(AND(D59&gt;0,F59="أحد الشركاء"),COUNTIFS($D$4:D59,"&gt;"&amp;0,$F$4:F59,"أحد الشركاء"),"")</f>
        <v/>
      </c>
    </row>
    <row r="61" spans="1:15" ht="18.75" customHeight="1">
      <c r="A61" s="56">
        <v>46175</v>
      </c>
      <c r="B61" s="57" t="s">
        <v>147</v>
      </c>
      <c r="C61" s="47" t="s">
        <v>148</v>
      </c>
      <c r="D61" s="48"/>
      <c r="E61" s="49">
        <v>3</v>
      </c>
      <c r="F61" s="50" t="s">
        <v>42</v>
      </c>
      <c r="G61" s="51"/>
      <c r="H61" s="52" t="s">
        <v>44</v>
      </c>
      <c r="I61" s="53"/>
      <c r="J61" s="54">
        <f>IF(AND(D61="",E61="",A61="",B61="",C61=""),"", IFERROR(IF(J60="",D2,J60),D2)+IF(E61="",0,E61)-IF(OR(G61="أبو اسحاق",G61="أبو آدم",G61="أبو اسحاق ",G61="أبو آدم "),0,IF(D61="",0,D61)))</f>
        <v>328.85</v>
      </c>
      <c r="K61" s="5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4</v>
      </c>
      <c r="O61" t="str">
        <f>IF(AND(D60&gt;0,F60="أحد الشركاء"),COUNTIFS($D$4:D60,"&gt;"&amp;0,$F$4:F60,"أحد الشركاء"),"")</f>
        <v/>
      </c>
    </row>
    <row r="62" spans="1:15" ht="18.75" customHeight="1">
      <c r="A62" s="56">
        <v>46177</v>
      </c>
      <c r="B62" s="57" t="s">
        <v>149</v>
      </c>
      <c r="C62" s="58" t="s">
        <v>150</v>
      </c>
      <c r="D62" s="59"/>
      <c r="E62" s="60">
        <v>1</v>
      </c>
      <c r="F62" s="61" t="s">
        <v>42</v>
      </c>
      <c r="G62" s="62"/>
      <c r="H62" s="63" t="s">
        <v>44</v>
      </c>
      <c r="I62" s="64"/>
      <c r="J62" s="65">
        <f>IF(AND(D62="",E62="",A62="",B62="",C62=""),"", IFERROR(IF(J61="",D2,J61),D2)+IF(E62="",0,E62)-IF(OR(G62="أبو اسحاق",G62="أبو آدم",G62="أبو اسحاق ",G62="أبو آدم "),0,IF(D62="",0,D62)))</f>
        <v>329.85</v>
      </c>
      <c r="K62" s="66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</v>
      </c>
      <c r="O62" t="str">
        <f>IF(AND(D61&gt;0,F61="أحد الشركاء"),COUNTIFS($D$4:D61,"&gt;"&amp;0,$F$4:F61,"أحد الشركاء"),"")</f>
        <v/>
      </c>
    </row>
    <row r="63" spans="1:15" ht="18.75" customHeight="1">
      <c r="A63" s="56">
        <v>46177</v>
      </c>
      <c r="B63" s="46"/>
      <c r="C63" s="47" t="s">
        <v>151</v>
      </c>
      <c r="D63" s="48">
        <v>10</v>
      </c>
      <c r="E63" s="49"/>
      <c r="F63" s="50" t="s">
        <v>42</v>
      </c>
      <c r="G63" s="51" t="s">
        <v>43</v>
      </c>
      <c r="H63" s="52" t="s">
        <v>44</v>
      </c>
      <c r="I63" s="53"/>
      <c r="J63" s="54">
        <f>IF(AND(D63="",E63="",A63="",B63="",C63=""),"", IFERROR(IF(J62="",D2,J62),D2)+IF(E63="",0,E63)-IF(OR(G63="أبو اسحاق",G63="أبو آدم",G63="أبو اسحاق ",G63="أبو آدم "),0,IF(D63="",0,D63)))</f>
        <v>319.85000000000002</v>
      </c>
      <c r="K63" s="5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</v>
      </c>
      <c r="O63" t="str">
        <f>IF(AND(D62&gt;0,F62="أحد الشركاء"),COUNTIFS($D$4:D62,"&gt;"&amp;0,$F$4:F62,"أحد الشركاء"),"")</f>
        <v/>
      </c>
    </row>
    <row r="64" spans="1:15" ht="18.75" customHeight="1">
      <c r="A64" s="56">
        <v>46177</v>
      </c>
      <c r="B64" s="57"/>
      <c r="C64" s="58" t="s">
        <v>61</v>
      </c>
      <c r="D64" s="59">
        <v>3.25</v>
      </c>
      <c r="E64" s="60"/>
      <c r="F64" s="61" t="s">
        <v>42</v>
      </c>
      <c r="G64" s="62" t="s">
        <v>43</v>
      </c>
      <c r="H64" s="63" t="s">
        <v>44</v>
      </c>
      <c r="I64" s="64"/>
      <c r="J64" s="65">
        <f>IF(AND(D64="",E64="",A64="",B64="",C64=""),"", IFERROR(IF(J63="",D2,J63),D2)+IF(E64="",0,E64)-IF(OR(G64="أبو اسحاق",G64="أبو آدم",G64="أبو اسحاق ",G64="أبو آدم "),0,IF(D64="",0,D64)))</f>
        <v>316.60000000000002</v>
      </c>
      <c r="K64" s="66"/>
      <c r="L64" t="str">
        <f>IF(E63&gt;0,COUNTIF($E$4:E63,"&gt;0"),"")</f>
        <v/>
      </c>
      <c r="M64">
        <f>IF(AND(D63&gt;0,G63="المحفظة"),COUNTIFS($D$4:D63,"&gt;"&amp;0,$G$4:G63,"المحفظة"),"")</f>
        <v>9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7</v>
      </c>
      <c r="O64" t="str">
        <f>IF(AND(D63&gt;0,F63="أحد الشركاء"),COUNTIFS($D$4:D63,"&gt;"&amp;0,$F$4:F63,"أحد الشركاء"),"")</f>
        <v/>
      </c>
    </row>
    <row r="65" spans="1:15" ht="18.75" customHeight="1">
      <c r="A65" s="56">
        <v>46177</v>
      </c>
      <c r="B65" s="46"/>
      <c r="C65" s="47" t="s">
        <v>152</v>
      </c>
      <c r="D65" s="48">
        <v>12</v>
      </c>
      <c r="E65" s="49"/>
      <c r="F65" s="50" t="s">
        <v>42</v>
      </c>
      <c r="G65" s="51" t="s">
        <v>43</v>
      </c>
      <c r="H65" s="52" t="s">
        <v>44</v>
      </c>
      <c r="I65" s="53"/>
      <c r="J65" s="54">
        <f>IF(AND(D65="",E65="",A65="",B65="",C65=""),"", IFERROR(IF(J64="",D2,J64),D2)+IF(E65="",0,E65)-IF(OR(G65="أبو اسحاق",G65="أبو آدم",G65="أبو اسحاق ",G65="أبو آدم "),0,IF(D65="",0,D65)))</f>
        <v>304.60000000000002</v>
      </c>
      <c r="K65" s="55"/>
      <c r="L65" t="str">
        <f>IF(E64&gt;0,COUNTIF($E$4:E64,"&gt;0"),"")</f>
        <v/>
      </c>
      <c r="M65">
        <f>IF(AND(D64&gt;0,G64="المحفظة"),COUNTIFS($D$4:D64,"&gt;"&amp;0,$G$4:G64,"المحفظة"),"")</f>
        <v>10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8</v>
      </c>
      <c r="O65" t="str">
        <f>IF(AND(D64&gt;0,F64="أحد الشركاء"),COUNTIFS($D$4:D64,"&gt;"&amp;0,$F$4:F64,"أحد الشركاء"),"")</f>
        <v/>
      </c>
    </row>
    <row r="66" spans="1:15" ht="18.75" customHeight="1">
      <c r="A66" s="56">
        <v>46179</v>
      </c>
      <c r="B66" s="57" t="s">
        <v>153</v>
      </c>
      <c r="C66" s="58" t="s">
        <v>154</v>
      </c>
      <c r="D66" s="59"/>
      <c r="E66" s="60">
        <v>3</v>
      </c>
      <c r="F66" s="61" t="s">
        <v>42</v>
      </c>
      <c r="G66" s="62"/>
      <c r="H66" s="63" t="s">
        <v>44</v>
      </c>
      <c r="I66" s="64"/>
      <c r="J66" s="65">
        <f>IF(AND(D66="",E66="",A66="",B66="",C66=""),"", IFERROR(IF(J65="",D2,J65),D2)+IF(E66="",0,E66)-IF(OR(G66="أبو اسحاق",G66="أبو آدم",G66="أبو اسحاق ",G66="أبو آدم "),0,IF(D66="",0,D66)))</f>
        <v>307.60000000000002</v>
      </c>
      <c r="K66" s="66"/>
      <c r="L66" t="str">
        <f>IF(E65&gt;0,COUNTIF($E$4:E65,"&gt;0"),"")</f>
        <v/>
      </c>
      <c r="M66">
        <f>IF(AND(D65&gt;0,G65="المحفظة"),COUNTIFS($D$4:D65,"&gt;"&amp;0,$G$4:G65,"المحفظة"),"")</f>
        <v>11</v>
      </c>
      <c r="N66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9</v>
      </c>
      <c r="O66" t="str">
        <f>IF(AND(D65&gt;0,F65="أحد الشركاء"),COUNTIFS($D$4:D65,"&gt;"&amp;0,$F$4:F65,"أحد الشركاء"),"")</f>
        <v/>
      </c>
    </row>
    <row r="67" spans="1:15" ht="18.75" customHeight="1">
      <c r="A67" s="56">
        <v>46179</v>
      </c>
      <c r="B67" s="57" t="s">
        <v>155</v>
      </c>
      <c r="C67" s="47" t="s">
        <v>156</v>
      </c>
      <c r="D67" s="48"/>
      <c r="E67" s="49">
        <v>1</v>
      </c>
      <c r="F67" s="50" t="s">
        <v>42</v>
      </c>
      <c r="G67" s="51"/>
      <c r="H67" s="52" t="s">
        <v>44</v>
      </c>
      <c r="I67" s="53"/>
      <c r="J67" s="54">
        <f>IF(AND(D67="",E67="",A67="",B67="",C67=""),"", IFERROR(IF(J66="",D2,J66),D2)+IF(E67="",0,E67)-IF(OR(G67="أبو اسحاق",G67="أبو آدم",G67="أبو اسحاق ",G67="أبو آدم "),0,IF(D67="",0,D67)))</f>
        <v>308.60000000000002</v>
      </c>
      <c r="K67" s="5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10</v>
      </c>
      <c r="O67" t="str">
        <f>IF(AND(D66&gt;0,F66="أحد الشركاء"),COUNTIFS($D$4:D66,"&gt;"&amp;0,$F$4:F66,"أحد الشركاء"),"")</f>
        <v/>
      </c>
    </row>
    <row r="68" spans="1:15" ht="18.75" customHeight="1">
      <c r="A68" s="56">
        <v>46179</v>
      </c>
      <c r="B68" s="57" t="s">
        <v>157</v>
      </c>
      <c r="C68" s="58" t="s">
        <v>158</v>
      </c>
      <c r="D68" s="59"/>
      <c r="E68" s="60">
        <v>3</v>
      </c>
      <c r="F68" s="61" t="s">
        <v>42</v>
      </c>
      <c r="G68" s="62"/>
      <c r="H68" s="63" t="s">
        <v>44</v>
      </c>
      <c r="I68" s="64"/>
      <c r="J68" s="65">
        <f>IF(AND(D68="",E68="",A68="",B68="",C68=""),"", IFERROR(IF(J67="",D2,J67),D2)+IF(E68="",0,E68)-IF(OR(G68="أبو اسحاق",G68="أبو آدم",G68="أبو اسحاق ",G68="أبو آدم "),0,IF(D68="",0,D68)))</f>
        <v>311.60000000000002</v>
      </c>
      <c r="K68" s="66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11</v>
      </c>
      <c r="O68" t="str">
        <f>IF(AND(D67&gt;0,F67="أحد الشركاء"),COUNTIFS($D$4:D67,"&gt;"&amp;0,$F$4:F67,"أحد الشركاء"),"")</f>
        <v/>
      </c>
    </row>
    <row r="69" spans="1:15" ht="18.75" customHeight="1">
      <c r="A69" s="45">
        <v>46181</v>
      </c>
      <c r="B69" s="46" t="s">
        <v>159</v>
      </c>
      <c r="C69" s="47" t="s">
        <v>160</v>
      </c>
      <c r="D69" s="48"/>
      <c r="E69" s="49">
        <v>15</v>
      </c>
      <c r="F69" s="50" t="s">
        <v>42</v>
      </c>
      <c r="G69" s="51"/>
      <c r="H69" s="52" t="s">
        <v>44</v>
      </c>
      <c r="I69" s="53"/>
      <c r="J69" s="54">
        <f>IF(AND(D69="",E69="",A69="",B69="",C69=""),"", IFERROR(IF(J68="",D2,J68),D2)+IF(E69="",0,E69)-IF(OR(G69="أبو اسحاق",G69="أبو آدم",G69="أبو اسحاق ",G69="أبو آدم "),0,IF(D69="",0,D69)))</f>
        <v>326.60000000000002</v>
      </c>
      <c r="K69" s="5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12</v>
      </c>
      <c r="O69" t="str">
        <f>IF(AND(D68&gt;0,F68="أحد الشركاء"),COUNTIFS($D$4:D68,"&gt;"&amp;0,$F$4:F68,"أحد الشركاء"),"")</f>
        <v/>
      </c>
    </row>
    <row r="70" spans="1:15" ht="18.75" customHeight="1">
      <c r="A70" s="56">
        <v>46181</v>
      </c>
      <c r="C70" s="58" t="s">
        <v>161</v>
      </c>
      <c r="D70" s="59">
        <v>2.8</v>
      </c>
      <c r="E70" s="60"/>
      <c r="F70" s="61" t="s">
        <v>42</v>
      </c>
      <c r="G70" s="62" t="s">
        <v>43</v>
      </c>
      <c r="H70" s="63" t="s">
        <v>44</v>
      </c>
      <c r="I70" s="64"/>
      <c r="J70" s="65">
        <f>IF(AND(D70="",E70="",A70="",B70="",C70=""),"", IFERROR(IF(J69="",D2,J69),D2)+IF(E70="",0,E70)-IF(OR(G70="أبو اسحاق",G70="أبو آدم",G70="أبو اسحاق ",G70="أبو آدم "),0,IF(D70="",0,D70)))</f>
        <v>323.8</v>
      </c>
      <c r="K70" s="66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13</v>
      </c>
      <c r="O70" t="str">
        <f>IF(AND(D69&gt;0,F69="أحد الشركاء"),COUNTIFS($D$4:D69,"&gt;"&amp;0,$F$4:F69,"أحد الشركاء"),"")</f>
        <v/>
      </c>
    </row>
    <row r="71" spans="1:15" ht="18.75" customHeight="1">
      <c r="A71" s="56">
        <v>46181</v>
      </c>
      <c r="C71" s="58" t="s">
        <v>162</v>
      </c>
      <c r="D71" s="48">
        <v>46.75</v>
      </c>
      <c r="E71" s="49"/>
      <c r="F71" s="50" t="s">
        <v>42</v>
      </c>
      <c r="G71" s="51" t="s">
        <v>43</v>
      </c>
      <c r="H71" s="52" t="s">
        <v>44</v>
      </c>
      <c r="I71" s="53"/>
      <c r="J71" s="54">
        <f>IF(AND(D71="",E71="",A71="",B71="",C71=""),"", IFERROR(IF(J70="",D2,J70),D2)+IF(E71="",0,E71)-IF(OR(G71="أبو اسحاق",G71="أبو آدم",G71="أبو اسحاق ",G71="أبو آدم "),0,IF(D71="",0,D71)))</f>
        <v>277.05</v>
      </c>
      <c r="K71" s="55"/>
      <c r="L71" t="str">
        <f>IF(E70&gt;0,COUNTIF($E$4:E70,"&gt;0"),"")</f>
        <v/>
      </c>
      <c r="M71">
        <f>IF(AND(D70&gt;0,G70="المحفظة"),COUNTIFS($D$4:D70,"&gt;"&amp;0,$G$4:G70,"المحفظة"),"")</f>
        <v>12</v>
      </c>
      <c r="N71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14</v>
      </c>
      <c r="O71" t="str">
        <f>IF(AND(D70&gt;0,F70="أحد الشركاء"),COUNTIFS($D$4:D70,"&gt;"&amp;0,$F$4:F70,"أحد الشركاء"),"")</f>
        <v/>
      </c>
    </row>
    <row r="72" spans="1:15" ht="18.75" customHeight="1">
      <c r="A72" s="56">
        <v>46182</v>
      </c>
      <c r="B72" s="46" t="s">
        <v>163</v>
      </c>
      <c r="C72" s="58" t="s">
        <v>91</v>
      </c>
      <c r="D72" s="59"/>
      <c r="E72" s="60">
        <v>22.5</v>
      </c>
      <c r="F72" s="61" t="s">
        <v>42</v>
      </c>
      <c r="G72" s="62"/>
      <c r="H72" s="63" t="s">
        <v>44</v>
      </c>
      <c r="I72" s="64"/>
      <c r="J72" s="65">
        <f>IF(AND(D72="",E72="",A72="",B72="",C72=""),"", IFERROR(IF(J71="",D2,J71),D2)+IF(E72="",0,E72)-IF(OR(G72="أبو اسحاق",G72="أبو آدم",G72="أبو اسحاق ",G72="أبو آدم "),0,IF(D72="",0,D72)))</f>
        <v>299.55</v>
      </c>
      <c r="K72" s="66"/>
      <c r="L72" t="str">
        <f>IF(E71&gt;0,COUNTIF($E$4:E71,"&gt;0"),"")</f>
        <v/>
      </c>
      <c r="M72">
        <f>IF(AND(D71&gt;0,G71="المحفظة"),COUNTIFS($D$4:D71,"&gt;"&amp;0,$G$4:G71,"المحفظة"),"")</f>
        <v>13</v>
      </c>
      <c r="N72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15</v>
      </c>
      <c r="O72" t="str">
        <f>IF(AND(D71&gt;0,F71="أحد الشركاء"),COUNTIFS($D$4:D71,"&gt;"&amp;0,$F$4:F71,"أحد الشركاء"),"")</f>
        <v/>
      </c>
    </row>
    <row r="73" spans="1:15" ht="18.75" customHeight="1">
      <c r="A73" s="45">
        <v>46184</v>
      </c>
      <c r="B73" s="46"/>
      <c r="C73" s="47" t="s">
        <v>164</v>
      </c>
      <c r="D73" s="48">
        <v>3.5</v>
      </c>
      <c r="E73" s="49"/>
      <c r="F73" s="50" t="s">
        <v>42</v>
      </c>
      <c r="G73" s="51" t="s">
        <v>43</v>
      </c>
      <c r="H73" s="52" t="s">
        <v>44</v>
      </c>
      <c r="I73" s="53"/>
      <c r="J73" s="54">
        <f>IF(AND(D73="",E73="",A73="",B73="",C73=""),"", IFERROR(IF(J72="",D2,J72),D2)+IF(E73="",0,E73)-IF(OR(G73="أبو اسحاق",G73="أبو آدم",G73="أبو اسحاق ",G73="أبو آدم "),0,IF(D73="",0,D73)))</f>
        <v>296.05</v>
      </c>
      <c r="K73" s="5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>16</v>
      </c>
      <c r="O73" t="str">
        <f>IF(AND(D72&gt;0,F72="أحد الشركاء"),COUNTIFS($D$4:D72,"&gt;"&amp;0,$F$4:F72,"أحد الشركاء"),"")</f>
        <v/>
      </c>
    </row>
    <row r="74" spans="1:15" ht="18.75" customHeight="1">
      <c r="A74" s="56">
        <v>46184</v>
      </c>
      <c r="B74" s="57" t="s">
        <v>165</v>
      </c>
      <c r="C74" s="58" t="s">
        <v>160</v>
      </c>
      <c r="D74" s="59"/>
      <c r="E74" s="60">
        <v>15</v>
      </c>
      <c r="F74" s="61" t="s">
        <v>42</v>
      </c>
      <c r="G74" s="62"/>
      <c r="H74" s="63" t="s">
        <v>44</v>
      </c>
      <c r="I74" s="64"/>
      <c r="J74" s="65">
        <f>IF(AND(D74="",E74="",A74="",B74="",C74=""),"", IFERROR(IF(J73="",D2,J73),D2)+IF(E74="",0,E74)-IF(OR(G74="أبو اسحاق",G74="أبو آدم",G74="أبو اسحاق ",G74="أبو آدم "),0,IF(D74="",0,D74)))</f>
        <v>311.05</v>
      </c>
      <c r="K74" s="66"/>
      <c r="L74" t="str">
        <f>IF(E73&gt;0,COUNTIF($E$4:E73,"&gt;0"),"")</f>
        <v/>
      </c>
      <c r="M74">
        <f>IF(AND(D73&gt;0,G73="المحفظة"),COUNTIFS($D$4:D73,"&gt;"&amp;0,$G$4:G73,"المحفظة"),"")</f>
        <v>14</v>
      </c>
      <c r="N74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>17</v>
      </c>
      <c r="O74" t="str">
        <f>IF(AND(D73&gt;0,F73="أحد الشركاء"),COUNTIFS($D$4:D73,"&gt;"&amp;0,$F$4:F73,"أحد الشركاء"),"")</f>
        <v/>
      </c>
    </row>
    <row r="75" spans="1:15" ht="18.75" customHeight="1">
      <c r="A75" s="45">
        <v>46185</v>
      </c>
      <c r="B75" s="46"/>
      <c r="C75" s="47" t="s">
        <v>166</v>
      </c>
      <c r="D75" s="48">
        <v>2</v>
      </c>
      <c r="E75" s="49"/>
      <c r="F75" s="50" t="s">
        <v>42</v>
      </c>
      <c r="G75" s="51" t="s">
        <v>43</v>
      </c>
      <c r="H75" s="52" t="s">
        <v>44</v>
      </c>
      <c r="I75" s="53"/>
      <c r="J75" s="54">
        <f>IF(AND(D75="",E75="",A75="",B75="",C75=""),"", IFERROR(IF(J74="",D2,J74),D2)+IF(E75="",0,E75)-IF(OR(G75="أبو اسحاق",G75="أبو آدم",G75="أبو اسحاق ",G75="أبو آدم "),0,IF(D75="",0,D75)))</f>
        <v>309.05</v>
      </c>
      <c r="K75" s="55"/>
      <c r="L75">
        <f>IF(E74&gt;0,COUNTIF($E$4:E74,"&gt;0"),"")</f>
        <v>49</v>
      </c>
      <c r="M75" t="str">
        <f>IF(AND(D74&gt;0,G74="المحفظة"),COUNTIFS($D$4:D74,"&gt;"&amp;0,$G$4:G74,"المحفظة"),"")</f>
        <v/>
      </c>
      <c r="N75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>18</v>
      </c>
      <c r="O75" t="str">
        <f>IF(AND(D74&gt;0,F74="أحد الشركاء"),COUNTIFS($D$4:D74,"&gt;"&amp;0,$F$4:F74,"أحد الشركاء"),"")</f>
        <v/>
      </c>
    </row>
    <row r="76" spans="1:15" ht="18.75" customHeight="1">
      <c r="A76" s="56">
        <v>46186</v>
      </c>
      <c r="B76" s="57" t="s">
        <v>167</v>
      </c>
      <c r="C76" s="58" t="s">
        <v>168</v>
      </c>
      <c r="D76" s="59"/>
      <c r="E76" s="60">
        <v>10</v>
      </c>
      <c r="F76" s="61" t="s">
        <v>42</v>
      </c>
      <c r="G76" s="62"/>
      <c r="H76" s="63" t="s">
        <v>44</v>
      </c>
      <c r="I76" s="64"/>
      <c r="J76" s="65">
        <f>IF(AND(D76="",E76="",A76="",B76="",C76=""),"", IFERROR(IF(J75="",D2,J75),D2)+IF(E76="",0,E76)-IF(OR(G76="أبو اسحاق",G76="أبو آدم",G76="أبو اسحاق ",G76="أبو آدم "),0,IF(D76="",0,D76)))</f>
        <v>319.05</v>
      </c>
      <c r="K76" s="66"/>
      <c r="L76" t="str">
        <f>IF(E75&gt;0,COUNTIF($E$4:E75,"&gt;0"),"")</f>
        <v/>
      </c>
      <c r="M76">
        <f>IF(AND(D75&gt;0,G75="المحفظة"),COUNTIFS($D$4:D75,"&gt;"&amp;0,$G$4:G75,"المحفظة"),"")</f>
        <v>15</v>
      </c>
      <c r="N76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>19</v>
      </c>
      <c r="O76" t="str">
        <f>IF(AND(D75&gt;0,F75="أحد الشركاء"),COUNTIFS($D$4:D75,"&gt;"&amp;0,$F$4:F75,"أحد الشركاء"),"")</f>
        <v/>
      </c>
    </row>
    <row r="77" spans="1:15" ht="18.75" customHeight="1">
      <c r="A77" s="56">
        <v>46186</v>
      </c>
      <c r="B77" s="57" t="s">
        <v>169</v>
      </c>
      <c r="C77" s="47" t="s">
        <v>170</v>
      </c>
      <c r="D77" s="48"/>
      <c r="E77" s="49">
        <v>5</v>
      </c>
      <c r="F77" s="50" t="s">
        <v>42</v>
      </c>
      <c r="G77" s="51"/>
      <c r="H77" s="52" t="s">
        <v>44</v>
      </c>
      <c r="I77" s="53"/>
      <c r="J77" s="54">
        <f>IF(AND(D77="",E77="",A77="",B77="",C77=""),"", IFERROR(IF(J76="",D2,J76),D2)+IF(E77="",0,E77)-IF(OR(G77="أبو اسحاق",G77="أبو آدم",G77="أبو اسحاق ",G77="أبو آدم "),0,IF(D77="",0,D77)))</f>
        <v>324.05</v>
      </c>
      <c r="K77" s="55"/>
      <c r="L77">
        <f>IF(E76&gt;0,COUNTIF($E$4:E76,"&gt;0"),"")</f>
        <v>50</v>
      </c>
      <c r="M77" t="str">
        <f>IF(AND(D76&gt;0,G76="المحفظة"),COUNTIFS($D$4:D76,"&gt;"&amp;0,$G$4:G76,"المحفظة"),"")</f>
        <v/>
      </c>
      <c r="N77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>20</v>
      </c>
      <c r="O77" t="str">
        <f>IF(AND(D76&gt;0,F76="أحد الشركاء"),COUNTIFS($D$4:D76,"&gt;"&amp;0,$F$4:F76,"أحد الشركاء"),"")</f>
        <v/>
      </c>
    </row>
    <row r="78" spans="1:15" ht="18.75" customHeight="1">
      <c r="A78" s="56">
        <v>46187</v>
      </c>
      <c r="B78" s="57"/>
      <c r="C78" s="58" t="s">
        <v>230</v>
      </c>
      <c r="D78" s="59">
        <v>107.5</v>
      </c>
      <c r="E78" s="60"/>
      <c r="F78" s="61" t="s">
        <v>42</v>
      </c>
      <c r="G78" s="62" t="s">
        <v>53</v>
      </c>
      <c r="H78" s="63" t="s">
        <v>44</v>
      </c>
      <c r="I78" s="64"/>
      <c r="J78" s="65">
        <f>IF(AND(D78="",E78="",A78="",B78="",C78=""),"", IFERROR(IF(J77="",D2,J77),D2)+IF(E78="",0,E78)-IF(OR(G78="أبو اسحاق",G78="أبو آدم",G78="أبو اسحاق ",G78="أبو آدم "),0,IF(D78="",0,D78)))</f>
        <v>324.05</v>
      </c>
      <c r="K78" s="66"/>
      <c r="L78">
        <f>IF(E77&gt;0,COUNTIF($E$4:E77,"&gt;0"),"")</f>
        <v>51</v>
      </c>
      <c r="M78" t="str">
        <f>IF(AND(D77&gt;0,G77="المحفظة"),COUNTIFS($D$4:D77,"&gt;"&amp;0,$G$4:G77,"المحفظة"),"")</f>
        <v/>
      </c>
      <c r="N78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>21</v>
      </c>
      <c r="O78" t="str">
        <f>IF(AND(D77&gt;0,F77="أحد الشركاء"),COUNTIFS($D$4:D77,"&gt;"&amp;0,$F$4:F77,"أحد الشركاء"),"")</f>
        <v/>
      </c>
    </row>
    <row r="79" spans="1:15" ht="18.75" customHeight="1">
      <c r="A79" s="45">
        <v>46189</v>
      </c>
      <c r="B79" s="57" t="s">
        <v>231</v>
      </c>
      <c r="C79" s="47" t="s">
        <v>232</v>
      </c>
      <c r="D79" s="48"/>
      <c r="E79" s="49">
        <v>15</v>
      </c>
      <c r="F79" s="50" t="s">
        <v>233</v>
      </c>
      <c r="G79" s="51"/>
      <c r="H79" s="52" t="s">
        <v>44</v>
      </c>
      <c r="I79" s="53"/>
      <c r="J79" s="54">
        <f>IF(AND(D79="",E79="",A79="",B79="",C79=""),"", IFERROR(IF(J78="",D2,J78),D2)+IF(E79="",0,E79)-IF(OR(G79="أبو اسحاق",G79="أبو آدم",G79="أبو اسحاق ",G79="أبو آدم "),0,IF(D79="",0,D79)))</f>
        <v>339.05</v>
      </c>
      <c r="K79" s="5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>22</v>
      </c>
      <c r="O79" t="str">
        <f>IF(AND(D78&gt;0,F78="أحد الشركاء"),COUNTIFS($D$4:D78,"&gt;"&amp;0,$F$4:F78,"أحد الشركاء"),"")</f>
        <v/>
      </c>
    </row>
    <row r="80" spans="1:15" ht="18.75" customHeight="1">
      <c r="A80" s="45">
        <v>46189</v>
      </c>
      <c r="B80" s="57" t="s">
        <v>234</v>
      </c>
      <c r="C80" s="58" t="s">
        <v>235</v>
      </c>
      <c r="D80" s="59"/>
      <c r="E80" s="60">
        <v>7</v>
      </c>
      <c r="F80" s="61" t="s">
        <v>233</v>
      </c>
      <c r="G80" s="62"/>
      <c r="H80" s="63" t="s">
        <v>44</v>
      </c>
      <c r="I80" s="64"/>
      <c r="J80" s="65">
        <f>IF(AND(D80="",E80="",A80="",B80="",C80=""),"", IFERROR(IF(J79="",D2,J79),D2)+IF(E80="",0,E80)-IF(OR(G80="أبو اسحاق",G80="أبو آدم",G80="أبو اسحاق ",G80="أبو آدم "),0,IF(D80="",0,D80)))</f>
        <v>346.05</v>
      </c>
      <c r="K80" s="66"/>
      <c r="L80">
        <f>IF(E79&gt;0,COUNTIF($E$4:E79,"&gt;0"),"")</f>
        <v>52</v>
      </c>
      <c r="M80" t="str">
        <f>IF(AND(D79&gt;0,G79="المحفظة"),COUNTIFS($D$4:D79,"&gt;"&amp;0,$G$4:G79,"المحفظة"),"")</f>
        <v/>
      </c>
      <c r="N80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>23</v>
      </c>
      <c r="O80" t="str">
        <f>IF(AND(D79&gt;0,F79="أحد الشركاء"),COUNTIFS($D$4:D79,"&gt;"&amp;0,$F$4:F79,"أحد الشركاء"),"")</f>
        <v/>
      </c>
    </row>
    <row r="81" spans="1:15" ht="18.75" customHeight="1">
      <c r="A81" s="45">
        <v>46189</v>
      </c>
      <c r="B81" s="57" t="s">
        <v>236</v>
      </c>
      <c r="C81" s="47" t="s">
        <v>237</v>
      </c>
      <c r="D81" s="48"/>
      <c r="E81" s="49">
        <v>10</v>
      </c>
      <c r="F81" s="50" t="s">
        <v>233</v>
      </c>
      <c r="G81" s="51"/>
      <c r="H81" s="52" t="s">
        <v>44</v>
      </c>
      <c r="I81" s="53"/>
      <c r="J81" s="54">
        <f>IF(AND(D81="",E81="",A81="",B81="",C81=""),"", IFERROR(IF(J80="",D2,J80),D2)+IF(E81="",0,E81)-IF(OR(G81="أبو اسحاق",G81="أبو آدم",G81="أبو اسحاق ",G81="أبو آدم "),0,IF(D81="",0,D81)))</f>
        <v>356.05</v>
      </c>
      <c r="K81" s="55"/>
      <c r="L81">
        <f>IF(E80&gt;0,COUNTIF($E$4:E80,"&gt;0"),"")</f>
        <v>53</v>
      </c>
      <c r="M81" t="str">
        <f>IF(AND(D80&gt;0,G80="المحفظة"),COUNTIFS($D$4:D80,"&gt;"&amp;0,$G$4:G80,"المحفظة"),"")</f>
        <v/>
      </c>
      <c r="N81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>24</v>
      </c>
      <c r="O81" t="str">
        <f>IF(AND(D80&gt;0,F80="أحد الشركاء"),COUNTIFS($D$4:D80,"&gt;"&amp;0,$F$4:F80,"أحد الشركاء"),"")</f>
        <v/>
      </c>
    </row>
    <row r="82" spans="1:15" ht="18.75" customHeight="1">
      <c r="A82" s="45">
        <v>46189</v>
      </c>
      <c r="B82" s="57" t="s">
        <v>238</v>
      </c>
      <c r="C82" s="58" t="s">
        <v>142</v>
      </c>
      <c r="D82" s="59"/>
      <c r="E82" s="60">
        <v>18</v>
      </c>
      <c r="F82" s="61" t="s">
        <v>233</v>
      </c>
      <c r="G82" s="62"/>
      <c r="H82" s="63" t="s">
        <v>44</v>
      </c>
      <c r="I82" s="64"/>
      <c r="J82" s="65">
        <f>IF(AND(D82="",E82="",A82="",B82="",C82=""),"", IFERROR(IF(J81="",D2,J81),D2)+IF(E82="",0,E82)-IF(OR(G82="أبو اسحاق",G82="أبو آدم",G82="أبو اسحاق ",G82="أبو آدم "),0,IF(D82="",0,D82)))</f>
        <v>374.05</v>
      </c>
      <c r="K82" s="66"/>
      <c r="L82">
        <f>IF(E81&gt;0,COUNTIF($E$4:E81,"&gt;0"),"")</f>
        <v>54</v>
      </c>
      <c r="M82" t="str">
        <f>IF(AND(D81&gt;0,G81="المحفظة"),COUNTIFS($D$4:D81,"&gt;"&amp;0,$G$4:G81,"المحفظة"),"")</f>
        <v/>
      </c>
      <c r="N82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>25</v>
      </c>
      <c r="O82" t="str">
        <f>IF(AND(D81&gt;0,F81="أحد الشركاء"),COUNTIFS($D$4:D81,"&gt;"&amp;0,$F$4:F81,"أحد الشركاء"),"")</f>
        <v/>
      </c>
    </row>
    <row r="83" spans="1:15" ht="18.75" customHeight="1">
      <c r="A83" s="45">
        <v>46188</v>
      </c>
      <c r="B83" s="46"/>
      <c r="C83" s="47" t="s">
        <v>239</v>
      </c>
      <c r="D83" s="48">
        <v>25</v>
      </c>
      <c r="E83" s="49"/>
      <c r="F83" s="50" t="s">
        <v>42</v>
      </c>
      <c r="G83" s="51" t="s">
        <v>43</v>
      </c>
      <c r="H83" s="52" t="s">
        <v>44</v>
      </c>
      <c r="I83" s="53"/>
      <c r="J83" s="54">
        <f>IF(AND(D83="",E83="",A83="",B83="",C83=""),"", IFERROR(IF(J82="",D2,J82),D2)+IF(E83="",0,E83)-IF(OR(G83="أبو اسحاق",G83="أبو آدم",G83="أبو اسحاق ",G83="أبو آدم "),0,IF(D83="",0,D83)))</f>
        <v>349.05</v>
      </c>
      <c r="K83" s="55"/>
      <c r="L83">
        <f>IF(E82&gt;0,COUNTIF($E$4:E82,"&gt;0"),"")</f>
        <v>55</v>
      </c>
      <c r="M83" t="str">
        <f>IF(AND(D82&gt;0,G82="المحفظة"),COUNTIFS($D$4:D82,"&gt;"&amp;0,$G$4:G82,"المحفظة"),"")</f>
        <v/>
      </c>
      <c r="N83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>26</v>
      </c>
      <c r="O83" t="str">
        <f>IF(AND(D82&gt;0,F82="أحد الشركاء"),COUNTIFS($D$4:D82,"&gt;"&amp;0,$F$4:F82,"أحد الشركاء"),"")</f>
        <v/>
      </c>
    </row>
    <row r="84" spans="1:15" ht="18.75" customHeight="1">
      <c r="A84" s="56"/>
      <c r="B84" s="57"/>
      <c r="C84" s="58"/>
      <c r="D84" s="59"/>
      <c r="E84" s="60"/>
      <c r="F84" s="61"/>
      <c r="G84" s="62"/>
      <c r="H84" s="63"/>
      <c r="I84" s="64"/>
      <c r="J84" s="65" t="str">
        <f>IF(AND(D84="",E84="",A84="",B84="",C84=""),"", IFERROR(IF(J83="",D2,J83),D2)+IF(E84="",0,E84)-IF(OR(G84="أبو اسحاق",G84="أبو آدم",G84="أبو اسحاق ",G84="أبو آدم "),0,IF(D84="",0,D84)))</f>
        <v/>
      </c>
      <c r="K84" s="66"/>
      <c r="L84" t="str">
        <f>IF(E83&gt;0,COUNTIF($E$4:E83,"&gt;0"),"")</f>
        <v/>
      </c>
      <c r="M84">
        <f>IF(AND(D83&gt;0,G83="المحفظة"),COUNTIFS($D$4:D83,"&gt;"&amp;0,$G$4:G83,"المحفظة"),"")</f>
        <v>16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</row>
    <row r="85" spans="1:15" ht="18.75" customHeight="1">
      <c r="A85" s="45"/>
      <c r="B85" s="46"/>
      <c r="C85" s="47"/>
      <c r="D85" s="48"/>
      <c r="E85" s="49"/>
      <c r="F85" s="50"/>
      <c r="G85" s="51"/>
      <c r="H85" s="52"/>
      <c r="I85" s="53"/>
      <c r="J85" s="54" t="str">
        <f>IF(AND(D85="",E85="",A85="",B85="",C85=""),"", IFERROR(IF(J84="",D2,J84),D2)+IF(E85="",0,E85)-IF(OR(G85="أبو اسحاق",G85="أبو آدم",G85="أبو اسحاق ",G85="أبو آدم "),0,IF(D85="",0,D85)))</f>
        <v/>
      </c>
      <c r="K85" s="55"/>
      <c r="L85" t="str">
        <f>IF(E84&gt;0,COUNTIF($E$4:E84,"&gt;0"),"")</f>
        <v/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</row>
    <row r="86" spans="1:15" ht="18.75" customHeight="1">
      <c r="A86" s="56"/>
      <c r="B86" s="57"/>
      <c r="C86" s="58"/>
      <c r="D86" s="59"/>
      <c r="E86" s="60"/>
      <c r="F86" s="61"/>
      <c r="G86" s="62"/>
      <c r="H86" s="63"/>
      <c r="I86" s="64"/>
      <c r="J86" s="65" t="str">
        <f>IF(AND(D86="",E86="",A86="",B86="",C86=""),"", IFERROR(IF(J85="",D2,J85),D2)+IF(E86="",0,E86)-IF(OR(G86="أبو اسحاق",G86="أبو آدم",G86="أبو اسحاق ",G86="أبو آدم "),0,IF(D86="",0,D86)))</f>
        <v/>
      </c>
      <c r="K86" s="66"/>
      <c r="L86" t="str">
        <f>IF(E85&gt;0,COUNTIF($E$4:E85,"&gt;0"),"")</f>
        <v/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</row>
    <row r="87" spans="1:15" ht="18.75" customHeight="1">
      <c r="A87" s="45"/>
      <c r="B87" s="46"/>
      <c r="C87" s="47"/>
      <c r="D87" s="48"/>
      <c r="E87" s="49"/>
      <c r="F87" s="50"/>
      <c r="G87" s="51"/>
      <c r="H87" s="52"/>
      <c r="I87" s="53"/>
      <c r="J87" s="54" t="str">
        <f>IF(AND(D87="",E87="",A87="",B87="",C87=""),"", IFERROR(IF(J86="",D2,J86),D2)+IF(E87="",0,E87)-IF(OR(G87="أبو اسحاق",G87="أبو آدم",G87="أبو اسحاق ",G87="أبو آدم "),0,IF(D87="",0,D87)))</f>
        <v/>
      </c>
      <c r="K87" s="55"/>
      <c r="L87" t="str">
        <f>IF(E86&gt;0,COUNTIF($E$4:E86,"&gt;0"),"")</f>
        <v/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</row>
    <row r="88" spans="1:15" ht="18.75" customHeight="1">
      <c r="A88" s="56"/>
      <c r="B88" s="57"/>
      <c r="C88" s="58"/>
      <c r="D88" s="59"/>
      <c r="E88" s="60"/>
      <c r="F88" s="61"/>
      <c r="G88" s="62"/>
      <c r="H88" s="63"/>
      <c r="I88" s="64"/>
      <c r="J88" s="65" t="str">
        <f>IF(AND(D88="",E88="",A88="",B88="",C88=""),"", IFERROR(IF(J87="",D2,J87),D2)+IF(E88="",0,E88)-IF(OR(G88="أبو اسحاق",G88="أبو آدم",G88="أبو اسحاق ",G88="أبو آدم "),0,IF(D88="",0,D88)))</f>
        <v/>
      </c>
      <c r="K88" s="66"/>
      <c r="L88" t="str">
        <f>IF(E87&gt;0,COUNTIF($E$4:E87,"&gt;0"),"")</f>
        <v/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</row>
    <row r="89" spans="1:15" ht="18.75" customHeight="1">
      <c r="A89" s="45"/>
      <c r="B89" s="46"/>
      <c r="C89" s="47"/>
      <c r="D89" s="48"/>
      <c r="E89" s="49"/>
      <c r="F89" s="50"/>
      <c r="G89" s="51"/>
      <c r="H89" s="52"/>
      <c r="I89" s="53"/>
      <c r="J89" s="54" t="str">
        <f>IF(AND(D89="",E89="",A89="",B89="",C89=""),"", IFERROR(IF(J88="",D2,J88),D2)+IF(E89="",0,E89)-IF(OR(G89="أبو اسحاق",G89="أبو آدم",G89="أبو اسحاق ",G89="أبو آدم "),0,IF(D89="",0,D89)))</f>
        <v/>
      </c>
      <c r="K89" s="55"/>
      <c r="L89" t="str">
        <f>IF(E88&gt;0,COUNTIF($E$4:E88,"&gt;0"),"")</f>
        <v/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</row>
    <row r="90" spans="1:15" ht="18.75" customHeight="1">
      <c r="A90" s="56"/>
      <c r="B90" s="57"/>
      <c r="C90" s="58"/>
      <c r="D90" s="59"/>
      <c r="E90" s="60"/>
      <c r="F90" s="61"/>
      <c r="G90" s="62"/>
      <c r="H90" s="63"/>
      <c r="I90" s="64"/>
      <c r="J90" s="65" t="str">
        <f>IF(AND(D90="",E90="",A90="",B90="",C90=""),"", IFERROR(IF(J89="",D2,J89),D2)+IF(E90="",0,E90)-IF(OR(G90="أبو اسحاق",G90="أبو آدم",G90="أبو اسحاق ",G90="أبو آدم "),0,IF(D90="",0,D90)))</f>
        <v/>
      </c>
      <c r="K90" s="66"/>
      <c r="L90" t="str">
        <f>IF(E89&gt;0,COUNTIF($E$4:E89,"&gt;0"),"")</f>
        <v/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</row>
    <row r="91" spans="1:15" ht="18.75" customHeight="1">
      <c r="A91" s="45"/>
      <c r="B91" s="46"/>
      <c r="C91" s="47"/>
      <c r="D91" s="48"/>
      <c r="E91" s="49"/>
      <c r="F91" s="50"/>
      <c r="G91" s="51"/>
      <c r="H91" s="52"/>
      <c r="I91" s="53"/>
      <c r="J91" s="54" t="str">
        <f>IF(AND(D91="",E91="",A91="",B91="",C91=""),"", IFERROR(IF(J90="",D2,J90),D2)+IF(E91="",0,E91)-IF(OR(G91="أبو اسحاق",G91="أبو آدم",G91="أبو اسحاق ",G91="أبو آدم "),0,IF(D91="",0,D91)))</f>
        <v/>
      </c>
      <c r="K91" s="55"/>
      <c r="L91" t="str">
        <f>IF(E90&gt;0,COUNTIF($E$4:E90,"&gt;0"),"")</f>
        <v/>
      </c>
      <c r="M91" t="str">
        <f>IF(AND(D90&gt;0,G90="المحفظة"),COUNTIFS($D$4:D90,"&gt;"&amp;0,$G$4:G90,"المحفظة"),"")</f>
        <v/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</row>
    <row r="92" spans="1:15" ht="18.75" customHeight="1">
      <c r="A92" s="56"/>
      <c r="B92" s="57"/>
      <c r="C92" s="58"/>
      <c r="D92" s="59"/>
      <c r="E92" s="60"/>
      <c r="F92" s="61"/>
      <c r="G92" s="62"/>
      <c r="H92" s="63"/>
      <c r="I92" s="64"/>
      <c r="J92" s="65" t="str">
        <f>IF(AND(D92="",E92="",A92="",B92="",C92=""),"", IFERROR(IF(J91="",D2,J91),D2)+IF(E92="",0,E92)-IF(OR(G92="أبو اسحاق",G92="أبو آدم",G92="أبو اسحاق ",G92="أبو آدم "),0,IF(D92="",0,D92)))</f>
        <v/>
      </c>
      <c r="K92" s="66"/>
      <c r="L92" t="str">
        <f>IF(E91&gt;0,COUNTIF($E$4:E91,"&gt;0"),"")</f>
        <v/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</row>
    <row r="93" spans="1:15" ht="18.75" customHeight="1">
      <c r="A93" s="45"/>
      <c r="B93" s="46"/>
      <c r="C93" s="47"/>
      <c r="D93" s="48"/>
      <c r="E93" s="49"/>
      <c r="F93" s="50"/>
      <c r="G93" s="51"/>
      <c r="H93" s="52"/>
      <c r="I93" s="53"/>
      <c r="J93" s="54" t="str">
        <f>IF(AND(D93="",E93="",A93="",B93="",C93=""),"", IFERROR(IF(J92="",D2,J92),D2)+IF(E93="",0,E93)-IF(OR(G93="أبو اسحاق",G93="أبو آدم",G93="أبو اسحاق ",G93="أبو آدم "),0,IF(D93="",0,D93)))</f>
        <v/>
      </c>
      <c r="K93" s="55"/>
      <c r="L93" t="str">
        <f>IF(E92&gt;0,COUNTIF($E$4:E92,"&gt;0"),"")</f>
        <v/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</row>
    <row r="94" spans="1:15" ht="18.75" customHeight="1">
      <c r="A94" s="56"/>
      <c r="B94" s="57"/>
      <c r="C94" s="58"/>
      <c r="D94" s="59"/>
      <c r="E94" s="60"/>
      <c r="F94" s="61"/>
      <c r="G94" s="62"/>
      <c r="H94" s="63"/>
      <c r="I94" s="64"/>
      <c r="J94" s="65" t="str">
        <f>IF(AND(D94="",E94="",A94="",B94="",C94=""),"", IFERROR(IF(J93="",D2,J93),D2)+IF(E94="",0,E94)-IF(OR(G94="أبو اسحاق",G94="أبو آدم",G94="أبو اسحاق ",G94="أبو آدم "),0,IF(D94="",0,D94)))</f>
        <v/>
      </c>
      <c r="K94" s="66"/>
      <c r="L94" t="str">
        <f>IF(E93&gt;0,COUNTIF($E$4:E93,"&gt;0"),"")</f>
        <v/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</row>
    <row r="95" spans="1:15" ht="18.75" customHeight="1">
      <c r="A95" s="45"/>
      <c r="B95" s="46"/>
      <c r="C95" s="47"/>
      <c r="D95" s="48"/>
      <c r="E95" s="49"/>
      <c r="F95" s="50"/>
      <c r="G95" s="51"/>
      <c r="H95" s="52"/>
      <c r="I95" s="53"/>
      <c r="J95" s="54" t="str">
        <f>IF(AND(D95="",E95="",A95="",B95="",C95=""),"", IFERROR(IF(J94="",D2,J94),D2)+IF(E95="",0,E95)-IF(OR(G95="أبو اسحاق",G95="أبو آدم",G95="أبو اسحاق ",G95="أبو آدم "),0,IF(D95="",0,D95)))</f>
        <v/>
      </c>
      <c r="K95" s="55"/>
      <c r="L95" t="str">
        <f>IF(E94&gt;0,COUNTIF($E$4:E94,"&gt;0"),"")</f>
        <v/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</row>
    <row r="96" spans="1:15" ht="18.75" customHeight="1">
      <c r="A96" s="56"/>
      <c r="B96" s="57"/>
      <c r="C96" s="58"/>
      <c r="D96" s="59"/>
      <c r="E96" s="60"/>
      <c r="F96" s="61"/>
      <c r="G96" s="62"/>
      <c r="H96" s="63"/>
      <c r="I96" s="64"/>
      <c r="J96" s="65" t="str">
        <f>IF(AND(D96="",E96="",A96="",B96="",C96=""),"", IFERROR(IF(J95="",D2,J95),D2)+IF(E96="",0,E96)-IF(OR(G96="أبو اسحاق",G96="أبو آدم",G96="أبو اسحاق ",G96="أبو آدم "),0,IF(D96="",0,D96)))</f>
        <v/>
      </c>
      <c r="K96" s="66"/>
      <c r="L96" t="str">
        <f>IF(E95&gt;0,COUNTIF($E$4:E95,"&gt;0"),"")</f>
        <v/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</row>
    <row r="97" spans="1:15" ht="18.75" customHeight="1">
      <c r="A97" s="45"/>
      <c r="B97" s="46"/>
      <c r="C97" s="47"/>
      <c r="D97" s="48"/>
      <c r="E97" s="49"/>
      <c r="F97" s="50"/>
      <c r="G97" s="51"/>
      <c r="H97" s="52"/>
      <c r="I97" s="53"/>
      <c r="J97" s="54" t="str">
        <f>IF(AND(D97="",E97="",A97="",B97="",C97=""),"", IFERROR(IF(J96="",D2,J96),D2)+IF(E97="",0,E97)-IF(OR(G97="أبو اسحاق",G97="أبو آدم",G97="أبو اسحاق ",G97="أبو آدم "),0,IF(D97="",0,D97)))</f>
        <v/>
      </c>
      <c r="K97" s="55"/>
      <c r="L97" t="str">
        <f>IF(E96&gt;0,COUNTIF($E$4:E96,"&gt;0"),"")</f>
        <v/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</row>
    <row r="98" spans="1:15" ht="18.75" customHeight="1">
      <c r="A98" s="56"/>
      <c r="B98" s="57"/>
      <c r="C98" s="58"/>
      <c r="D98" s="59"/>
      <c r="E98" s="60"/>
      <c r="F98" s="61"/>
      <c r="G98" s="62"/>
      <c r="H98" s="63"/>
      <c r="I98" s="64"/>
      <c r="J98" s="65" t="str">
        <f>IF(AND(D98="",E98="",A98="",B98="",C98=""),"", IFERROR(IF(J97="",D2,J97),D2)+IF(E98="",0,E98)-IF(OR(G98="أبو اسحاق",G98="أبو آدم",G98="أبو اسحاق ",G98="أبو آدم "),0,IF(D98="",0,D98)))</f>
        <v/>
      </c>
      <c r="K98" s="66"/>
      <c r="L98" t="str">
        <f>IF(E97&gt;0,COUNTIF($E$4:E97,"&gt;0"),"")</f>
        <v/>
      </c>
      <c r="M98" t="str">
        <f>IF(AND(D97&gt;0,G97="المحفظة"),COUNTIFS($D$4:D97,"&gt;"&amp;0,$G$4:G97,"المحفظة"),"")</f>
        <v/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</row>
    <row r="99" spans="1:15" ht="18.75" customHeight="1">
      <c r="A99" s="45"/>
      <c r="B99" s="46"/>
      <c r="C99" s="47"/>
      <c r="D99" s="48"/>
      <c r="E99" s="49"/>
      <c r="F99" s="50"/>
      <c r="G99" s="51"/>
      <c r="H99" s="52"/>
      <c r="I99" s="53"/>
      <c r="J99" s="54" t="str">
        <f>IF(AND(D99="",E99="",A99="",B99="",C99=""),"", IFERROR(IF(J98="",D2,J98),D2)+IF(E99="",0,E99)-IF(OR(G99="أبو اسحاق",G99="أبو آدم",G99="أبو اسحاق ",G99="أبو آدم "),0,IF(D99="",0,D99)))</f>
        <v/>
      </c>
      <c r="K99" s="5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 t="str">
        <f>IF(AND(D98&gt;0,F98="أحد الشركاء"),COUNTIFS($D$4:D98,"&gt;"&amp;0,$F$4:F98,"أحد الشركاء"),"")</f>
        <v/>
      </c>
    </row>
    <row r="100" spans="1:15" ht="18.75" customHeight="1">
      <c r="A100" s="56"/>
      <c r="B100" s="57"/>
      <c r="C100" s="58"/>
      <c r="D100" s="59"/>
      <c r="E100" s="60"/>
      <c r="F100" s="61"/>
      <c r="G100" s="62"/>
      <c r="H100" s="63"/>
      <c r="I100" s="64"/>
      <c r="J100" s="65" t="str">
        <f>IF(AND(D100="",E100="",A100="",B100="",C100=""),"", IFERROR(IF(J99="",D2,J99),D2)+IF(E100="",0,E100)-IF(OR(G100="أبو اسحاق",G100="أبو آدم",G100="أبو اسحاق ",G100="أبو آدم "),0,IF(D100="",0,D100)))</f>
        <v/>
      </c>
      <c r="K100" s="66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 t="str">
        <f>IF(AND(D99&gt;0,F99="أحد الشركاء"),COUNTIFS($D$4:D99,"&gt;"&amp;0,$F$4:F99,"أحد الشركاء"),"")</f>
        <v/>
      </c>
    </row>
    <row r="101" spans="1:15" ht="18.75" customHeight="1">
      <c r="A101" s="45"/>
      <c r="B101" s="46"/>
      <c r="C101" s="47"/>
      <c r="D101" s="48"/>
      <c r="E101" s="49"/>
      <c r="F101" s="50"/>
      <c r="G101" s="51"/>
      <c r="H101" s="52"/>
      <c r="I101" s="53"/>
      <c r="J101" s="54" t="str">
        <f>IF(AND(D101="",E101="",A101="",B101="",C101=""),"", IFERROR(IF(J100="",D2,J100),D2)+IF(E101="",0,E101)-IF(OR(G101="أبو اسحاق",G101="أبو آدم",G101="أبو اسحاق ",G101="أبو آدم "),0,IF(D101="",0,D101)))</f>
        <v/>
      </c>
      <c r="K101" s="55"/>
      <c r="L101" t="str">
        <f>IF(E100&gt;0,COUNTIF($E$4:E100,"&gt;0"),"")</f>
        <v/>
      </c>
      <c r="M101" t="str">
        <f>IF(AND(D100&gt;0,G100="المحفظة"),COUNTIFS($D$4:D100,"&gt;"&amp;0,$G$4:G100,"المحفظة"),"")</f>
        <v/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</row>
    <row r="102" spans="1:15" ht="18.75" customHeight="1">
      <c r="A102" s="56"/>
      <c r="B102" s="57"/>
      <c r="C102" s="58"/>
      <c r="D102" s="59"/>
      <c r="E102" s="60"/>
      <c r="F102" s="61"/>
      <c r="G102" s="62"/>
      <c r="H102" s="63"/>
      <c r="I102" s="64"/>
      <c r="J102" s="65" t="str">
        <f>IF(AND(D102="",E102="",A102="",B102="",C102=""),"", IFERROR(IF(J101="",D2,J101),D2)+IF(E102="",0,E102)-IF(OR(G102="أبو اسحاق",G102="أبو آدم",G102="أبو اسحاق ",G102="أبو آدم "),0,IF(D102="",0,D102)))</f>
        <v/>
      </c>
      <c r="K102" s="66"/>
      <c r="L102" t="str">
        <f>IF(E101&gt;0,COUNTIF($E$4:E101,"&gt;0"),"")</f>
        <v/>
      </c>
      <c r="M102" t="str">
        <f>IF(AND(D101&gt;0,G101="المحفظة"),COUNTIFS($D$4:D101,"&gt;"&amp;0,$G$4:G101,"المحفظة"),"")</f>
        <v/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</row>
    <row r="103" spans="1:15" ht="18.75" customHeight="1">
      <c r="A103" s="45"/>
      <c r="B103" s="46"/>
      <c r="C103" s="47"/>
      <c r="D103" s="48"/>
      <c r="E103" s="49"/>
      <c r="F103" s="50"/>
      <c r="G103" s="51"/>
      <c r="H103" s="52"/>
      <c r="I103" s="53"/>
      <c r="J103" s="54" t="str">
        <f>IF(AND(D103="",E103="",A103="",B103="",C103=""),"", IFERROR(IF(J102="",D2,J102),D2)+IF(E103="",0,E103)-IF(OR(G103="أبو اسحاق",G103="أبو آدم",G103="أبو اسحاق ",G103="أبو آدم "),0,IF(D103="",0,D103)))</f>
        <v/>
      </c>
      <c r="K103" s="55"/>
      <c r="L103" t="str">
        <f>IF(E102&gt;0,COUNTIF($E$4:E102,"&gt;0"),"")</f>
        <v/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</row>
    <row r="104" spans="1:15" ht="18.75" customHeight="1">
      <c r="A104" s="56"/>
      <c r="B104" s="57"/>
      <c r="C104" s="58"/>
      <c r="D104" s="59"/>
      <c r="E104" s="60"/>
      <c r="F104" s="61"/>
      <c r="G104" s="62"/>
      <c r="H104" s="63"/>
      <c r="I104" s="64"/>
      <c r="J104" s="65" t="str">
        <f>IF(AND(D104="",E104="",A104="",B104="",C104=""),"", IFERROR(IF(J103="",D2,J103),D2)+IF(E104="",0,E104)-IF(OR(G104="أبو اسحاق",G104="أبو آدم",G104="أبو اسحاق ",G104="أبو آدم "),0,IF(D104="",0,D104)))</f>
        <v/>
      </c>
      <c r="K104" s="66"/>
      <c r="L104" t="str">
        <f>IF(E103&gt;0,COUNTIF($E$4:E103,"&gt;0"),"")</f>
        <v/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</row>
    <row r="105" spans="1:15" ht="18.75" customHeight="1">
      <c r="A105" s="45"/>
      <c r="B105" s="46"/>
      <c r="C105" s="47"/>
      <c r="D105" s="48"/>
      <c r="E105" s="49"/>
      <c r="F105" s="50"/>
      <c r="G105" s="51"/>
      <c r="H105" s="52"/>
      <c r="I105" s="53"/>
      <c r="J105" s="54" t="str">
        <f>IF(AND(D105="",E105="",A105="",B105="",C105=""),"", IFERROR(IF(J104="",D2,J104),D2)+IF(E105="",0,E105)-IF(OR(G105="أبو اسحاق",G105="أبو آدم",G105="أبو اسحاق ",G105="أبو آدم "),0,IF(D105="",0,D105)))</f>
        <v/>
      </c>
      <c r="K105" s="55"/>
      <c r="L105" t="str">
        <f>IF(E104&gt;0,COUNTIF($E$4:E104,"&gt;0"),"")</f>
        <v/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</row>
    <row r="106" spans="1:15" ht="18.75" customHeight="1">
      <c r="A106" s="56"/>
      <c r="B106" s="57"/>
      <c r="C106" s="58"/>
      <c r="D106" s="59"/>
      <c r="E106" s="60"/>
      <c r="F106" s="61"/>
      <c r="G106" s="62"/>
      <c r="H106" s="63"/>
      <c r="I106" s="64"/>
      <c r="J106" s="65" t="str">
        <f>IF(AND(D106="",E106="",A106="",B106="",C106=""),"", IFERROR(IF(J105="",D2,J105),D2)+IF(E106="",0,E106)-IF(OR(G106="أبو اسحاق",G106="أبو آدم",G106="أبو اسحاق ",G106="أبو آدم "),0,IF(D106="",0,D106)))</f>
        <v/>
      </c>
      <c r="K106" s="66"/>
      <c r="L106" t="str">
        <f>IF(E105&gt;0,COUNTIF($E$4:E105,"&gt;0"),"")</f>
        <v/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</row>
    <row r="107" spans="1:15" ht="18.75" customHeight="1">
      <c r="A107" s="45"/>
      <c r="B107" s="46"/>
      <c r="C107" s="47"/>
      <c r="D107" s="48"/>
      <c r="E107" s="49"/>
      <c r="F107" s="50"/>
      <c r="G107" s="51"/>
      <c r="H107" s="52"/>
      <c r="I107" s="53"/>
      <c r="J107" s="54" t="str">
        <f>IF(AND(D107="",E107="",A107="",B107="",C107=""),"", IFERROR(IF(J106="",D2,J106),D2)+IF(E107="",0,E107)-IF(OR(G107="أبو اسحاق",G107="أبو آدم",G107="أبو اسحاق ",G107="أبو آدم "),0,IF(D107="",0,D107)))</f>
        <v/>
      </c>
      <c r="K107" s="55"/>
      <c r="L107" t="str">
        <f>IF(E106&gt;0,COUNTIF($E$4:E106,"&gt;0"),"")</f>
        <v/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</row>
    <row r="108" spans="1:15" ht="18.75" customHeight="1">
      <c r="A108" s="56"/>
      <c r="B108" s="57"/>
      <c r="C108" s="58"/>
      <c r="D108" s="59"/>
      <c r="E108" s="60"/>
      <c r="F108" s="61"/>
      <c r="G108" s="62"/>
      <c r="H108" s="63"/>
      <c r="I108" s="64"/>
      <c r="J108" s="65" t="str">
        <f>IF(AND(D108="",E108="",A108="",B108="",C108=""),"", IFERROR(IF(J107="",D2,J107),D2)+IF(E108="",0,E108)-IF(OR(G108="أبو اسحاق",G108="أبو آدم",G108="أبو اسحاق ",G108="أبو آدم "),0,IF(D108="",0,D108)))</f>
        <v/>
      </c>
      <c r="K108" s="66"/>
      <c r="L108" t="str">
        <f>IF(E107&gt;0,COUNTIF($E$4:E107,"&gt;0"),"")</f>
        <v/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</row>
    <row r="109" spans="1:15" ht="18.75" customHeight="1">
      <c r="A109" s="45"/>
      <c r="B109" s="46"/>
      <c r="C109" s="47"/>
      <c r="D109" s="48"/>
      <c r="E109" s="49"/>
      <c r="F109" s="50"/>
      <c r="G109" s="51"/>
      <c r="H109" s="52"/>
      <c r="I109" s="53"/>
      <c r="J109" s="54" t="str">
        <f>IF(AND(D109="",E109="",A109="",B109="",C109=""),"", IFERROR(IF(J108="",D2,J108),D2)+IF(E109="",0,E109)-IF(OR(G109="أبو اسحاق",G109="أبو آدم",G109="أبو اسحاق ",G109="أبو آدم "),0,IF(D109="",0,D109)))</f>
        <v/>
      </c>
      <c r="K109" s="55"/>
      <c r="L109" t="str">
        <f>IF(E108&gt;0,COUNTIF($E$4:E108,"&gt;0"),"")</f>
        <v/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</row>
    <row r="110" spans="1:15" ht="18.75" customHeight="1">
      <c r="A110" s="56"/>
      <c r="B110" s="57"/>
      <c r="C110" s="58"/>
      <c r="D110" s="59"/>
      <c r="E110" s="60"/>
      <c r="F110" s="61"/>
      <c r="G110" s="62"/>
      <c r="H110" s="63"/>
      <c r="I110" s="64"/>
      <c r="J110" s="65" t="str">
        <f>IF(AND(D110="",E110="",A110="",B110="",C110=""),"", IFERROR(IF(J109="",D2,J109),D2)+IF(E110="",0,E110)-IF(OR(G110="أبو اسحاق",G110="أبو آدم",G110="أبو اسحاق ",G110="أبو آدم "),0,IF(D110="",0,D110)))</f>
        <v/>
      </c>
      <c r="K110" s="66"/>
      <c r="L110" t="str">
        <f>IF(E109&gt;0,COUNTIF($E$4:E109,"&gt;0"),"")</f>
        <v/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</row>
    <row r="111" spans="1:15" ht="18.75" customHeight="1">
      <c r="A111" s="45"/>
      <c r="B111" s="46"/>
      <c r="C111" s="47"/>
      <c r="D111" s="48"/>
      <c r="E111" s="49"/>
      <c r="F111" s="50"/>
      <c r="G111" s="51"/>
      <c r="H111" s="52"/>
      <c r="I111" s="53"/>
      <c r="J111" s="54" t="str">
        <f>IF(AND(D111="",E111="",A111="",B111="",C111=""),"", IFERROR(IF(J110="",D2,J110),D2)+IF(E111="",0,E111)-IF(OR(G111="أبو اسحاق",G111="أبو آدم",G111="أبو اسحاق ",G111="أبو آدم "),0,IF(D111="",0,D111)))</f>
        <v/>
      </c>
      <c r="K111" s="55"/>
      <c r="L111" t="str">
        <f>IF(E110&gt;0,COUNTIF($E$4:E110,"&gt;0"),"")</f>
        <v/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</row>
    <row r="112" spans="1:15" ht="18.75" customHeight="1">
      <c r="A112" s="56"/>
      <c r="B112" s="57"/>
      <c r="C112" s="58"/>
      <c r="D112" s="59"/>
      <c r="E112" s="60"/>
      <c r="F112" s="61"/>
      <c r="G112" s="62"/>
      <c r="H112" s="63"/>
      <c r="I112" s="64"/>
      <c r="J112" s="65" t="str">
        <f>IF(AND(D112="",E112="",A112="",B112="",C112=""),"", IFERROR(IF(J111="",D2,J111),D2)+IF(E112="",0,E112)-IF(OR(G112="أبو اسحاق",G112="أبو آدم",G112="أبو اسحاق ",G112="أبو آدم "),0,IF(D112="",0,D112)))</f>
        <v/>
      </c>
      <c r="K112" s="66"/>
      <c r="L112" t="str">
        <f>IF(E111&gt;0,COUNTIF($E$4:E111,"&gt;0"),"")</f>
        <v/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</row>
    <row r="113" spans="1:15" ht="18.75" customHeight="1">
      <c r="A113" s="45"/>
      <c r="B113" s="46"/>
      <c r="C113" s="47"/>
      <c r="D113" s="48"/>
      <c r="E113" s="49"/>
      <c r="F113" s="50"/>
      <c r="G113" s="51"/>
      <c r="H113" s="52"/>
      <c r="I113" s="53"/>
      <c r="J113" s="54" t="str">
        <f>IF(AND(D113="",E113="",A113="",B113="",C113=""),"", IFERROR(IF(J112="",D2,J112),D2)+IF(E113="",0,E113)-IF(OR(G113="أبو اسحاق",G113="أبو آدم",G113="أبو اسحاق ",G113="أبو آدم "),0,IF(D113="",0,D113)))</f>
        <v/>
      </c>
      <c r="K113" s="55"/>
      <c r="L113" t="str">
        <f>IF(E112&gt;0,COUNTIF($E$4:E112,"&gt;0"),"")</f>
        <v/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</row>
    <row r="114" spans="1:15" ht="18.75" customHeight="1">
      <c r="A114" s="56"/>
      <c r="B114" s="57"/>
      <c r="C114" s="58"/>
      <c r="D114" s="59"/>
      <c r="E114" s="60"/>
      <c r="F114" s="61"/>
      <c r="G114" s="62"/>
      <c r="H114" s="63"/>
      <c r="I114" s="64"/>
      <c r="J114" s="65" t="str">
        <f>IF(AND(D114="",E114="",A114="",B114="",C114=""),"", IFERROR(IF(J113="",D2,J113),D2)+IF(E114="",0,E114)-IF(OR(G114="أبو اسحاق",G114="أبو آدم",G114="أبو اسحاق ",G114="أبو آدم "),0,IF(D114="",0,D114)))</f>
        <v/>
      </c>
      <c r="K114" s="66"/>
      <c r="L114" t="str">
        <f>IF(E113&gt;0,COUNTIF($E$4:E113,"&gt;0"),"")</f>
        <v/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</row>
    <row r="115" spans="1:15" ht="18.75" customHeight="1">
      <c r="A115" s="45"/>
      <c r="B115" s="46"/>
      <c r="C115" s="47"/>
      <c r="D115" s="48"/>
      <c r="E115" s="49"/>
      <c r="F115" s="50"/>
      <c r="G115" s="51"/>
      <c r="H115" s="52"/>
      <c r="I115" s="53"/>
      <c r="J115" s="54" t="str">
        <f>IF(AND(D115="",E115="",A115="",B115="",C115=""),"", IFERROR(IF(J114="",D2,J114),D2)+IF(E115="",0,E115)-IF(OR(G115="أبو اسحاق",G115="أبو آدم",G115="أبو اسحاق ",G115="أبو آدم "),0,IF(D115="",0,D115)))</f>
        <v/>
      </c>
      <c r="K115" s="55"/>
      <c r="L115" t="str">
        <f>IF(E114&gt;0,COUNTIF($E$4:E114,"&gt;0"),"")</f>
        <v/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</row>
    <row r="116" spans="1:15" ht="18.75" customHeight="1">
      <c r="A116" s="56"/>
      <c r="B116" s="57"/>
      <c r="C116" s="58"/>
      <c r="D116" s="59"/>
      <c r="E116" s="60"/>
      <c r="F116" s="61"/>
      <c r="G116" s="62"/>
      <c r="H116" s="63"/>
      <c r="I116" s="64"/>
      <c r="J116" s="65" t="str">
        <f>IF(AND(D116="",E116="",A116="",B116="",C116=""),"", IFERROR(IF(J115="",D2,J115),D2)+IF(E116="",0,E116)-IF(OR(G116="أبو اسحاق",G116="أبو آدم",G116="أبو اسحاق ",G116="أبو آدم "),0,IF(D116="",0,D116)))</f>
        <v/>
      </c>
      <c r="K116" s="66"/>
      <c r="L116" t="str">
        <f>IF(E115&gt;0,COUNTIF($E$4:E115,"&gt;0"),"")</f>
        <v/>
      </c>
      <c r="M116" t="str">
        <f>IF(AND(D115&gt;0,G115="المحفظة"),COUNTIFS($D$4:D115,"&gt;"&amp;0,$G$4:G115,"المحفظة"),"")</f>
        <v/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</row>
    <row r="117" spans="1:15" ht="18.75" customHeight="1">
      <c r="A117" s="45"/>
      <c r="B117" s="46"/>
      <c r="C117" s="47"/>
      <c r="D117" s="48"/>
      <c r="E117" s="49"/>
      <c r="F117" s="50"/>
      <c r="G117" s="51"/>
      <c r="H117" s="52"/>
      <c r="I117" s="53"/>
      <c r="J117" s="54" t="str">
        <f>IF(AND(D117="",E117="",A117="",B117="",C117=""),"", IFERROR(IF(J116="",D2,J116),D2)+IF(E117="",0,E117)-IF(OR(G117="أبو اسحاق",G117="أبو آدم",G117="أبو اسحاق ",G117="أبو آدم "),0,IF(D117="",0,D117)))</f>
        <v/>
      </c>
      <c r="K117" s="55"/>
      <c r="L117" t="str">
        <f>IF(E116&gt;0,COUNTIF($E$4:E116,"&gt;0"),"")</f>
        <v/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</row>
    <row r="118" spans="1:15" ht="18.75" customHeight="1">
      <c r="A118" s="56"/>
      <c r="B118" s="57"/>
      <c r="C118" s="58"/>
      <c r="D118" s="59"/>
      <c r="E118" s="60"/>
      <c r="F118" s="61"/>
      <c r="G118" s="62"/>
      <c r="H118" s="63"/>
      <c r="I118" s="64"/>
      <c r="J118" s="65" t="str">
        <f>IF(AND(D118="",E118="",A118="",B118="",C118=""),"", IFERROR(IF(J117="",D2,J117),D2)+IF(E118="",0,E118)-IF(OR(G118="أبو اسحاق",G118="أبو آدم",G118="أبو اسحاق ",G118="أبو آدم "),0,IF(D118="",0,D118)))</f>
        <v/>
      </c>
      <c r="K118" s="66"/>
      <c r="L118" t="str">
        <f>IF(E117&gt;0,COUNTIF($E$4:E117,"&gt;0"),"")</f>
        <v/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</row>
    <row r="119" spans="1:15" ht="18.75" customHeight="1">
      <c r="A119" s="45"/>
      <c r="B119" s="46"/>
      <c r="C119" s="47"/>
      <c r="D119" s="48"/>
      <c r="E119" s="49"/>
      <c r="F119" s="50"/>
      <c r="G119" s="51"/>
      <c r="H119" s="52"/>
      <c r="I119" s="53"/>
      <c r="J119" s="54" t="str">
        <f>IF(AND(D119="",E119="",A119="",B119="",C119=""),"", IFERROR(IF(J118="",D2,J118),D2)+IF(E119="",0,E119)-IF(OR(G119="أبو اسحاق",G119="أبو آدم",G119="أبو اسحاق ",G119="أبو آدم "),0,IF(D119="",0,D119)))</f>
        <v/>
      </c>
      <c r="K119" s="55"/>
      <c r="L119" t="str">
        <f>IF(E118&gt;0,COUNTIF($E$4:E118,"&gt;0"),"")</f>
        <v/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</row>
    <row r="120" spans="1:15" ht="18.75" customHeight="1">
      <c r="A120" s="56"/>
      <c r="B120" s="57"/>
      <c r="C120" s="58"/>
      <c r="D120" s="59"/>
      <c r="E120" s="60"/>
      <c r="F120" s="61"/>
      <c r="G120" s="62"/>
      <c r="H120" s="63"/>
      <c r="I120" s="64"/>
      <c r="J120" s="65" t="str">
        <f>IF(AND(D120="",E120="",A120="",B120="",C120=""),"", IFERROR(IF(J119="",D2,J119),D2)+IF(E120="",0,E120)-IF(OR(G120="أبو اسحاق",G120="أبو آدم",G120="أبو اسحاق ",G120="أبو آدم "),0,IF(D120="",0,D120)))</f>
        <v/>
      </c>
      <c r="K120" s="66"/>
      <c r="L120" t="str">
        <f>IF(E119&gt;0,COUNTIF($E$4:E119,"&gt;0"),"")</f>
        <v/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</row>
    <row r="121" spans="1:15" ht="18.75" customHeight="1">
      <c r="A121" s="45"/>
      <c r="B121" s="46"/>
      <c r="C121" s="47"/>
      <c r="D121" s="48"/>
      <c r="E121" s="49"/>
      <c r="F121" s="50"/>
      <c r="G121" s="51"/>
      <c r="H121" s="52"/>
      <c r="I121" s="53"/>
      <c r="J121" s="54" t="str">
        <f>IF(AND(D121="",E121="",A121="",B121="",C121=""),"", IFERROR(IF(J120="",D2,J120),D2)+IF(E121="",0,E121)-IF(OR(G121="أبو اسحاق",G121="أبو آدم",G121="أبو اسحاق ",G121="أبو آدم "),0,IF(D121="",0,D121)))</f>
        <v/>
      </c>
      <c r="K121" s="55"/>
      <c r="L121" t="str">
        <f>IF(E120&gt;0,COUNTIF($E$4:E120,"&gt;0"),"")</f>
        <v/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</row>
    <row r="122" spans="1:15" ht="18.75" customHeight="1">
      <c r="A122" s="56"/>
      <c r="B122" s="57"/>
      <c r="C122" s="58"/>
      <c r="D122" s="59"/>
      <c r="E122" s="60"/>
      <c r="F122" s="61"/>
      <c r="G122" s="62"/>
      <c r="H122" s="63"/>
      <c r="I122" s="64"/>
      <c r="J122" s="65" t="str">
        <f>IF(AND(D122="",E122="",A122="",B122="",C122=""),"", IFERROR(IF(J121="",D2,J121),D2)+IF(E122="",0,E122)-IF(OR(G122="أبو اسحاق",G122="أبو آدم",G122="أبو اسحاق ",G122="أبو آدم "),0,IF(D122="",0,D122)))</f>
        <v/>
      </c>
      <c r="K122" s="66"/>
      <c r="L122" t="str">
        <f>IF(E121&gt;0,COUNTIF($E$4:E121,"&gt;0"),"")</f>
        <v/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</row>
    <row r="123" spans="1:15" ht="18.75" customHeight="1">
      <c r="A123" s="45"/>
      <c r="B123" s="46"/>
      <c r="C123" s="47"/>
      <c r="D123" s="48"/>
      <c r="E123" s="49"/>
      <c r="F123" s="50"/>
      <c r="G123" s="51"/>
      <c r="H123" s="52"/>
      <c r="I123" s="53"/>
      <c r="J123" s="54" t="str">
        <f>IF(AND(D123="",E123="",A123="",B123="",C123=""),"", IFERROR(IF(J122="",D2,J122),D2)+IF(E123="",0,E123)-IF(OR(G123="أبو اسحاق",G123="أبو آدم",G123="أبو اسحاق ",G123="أبو آدم "),0,IF(D123="",0,D123)))</f>
        <v/>
      </c>
      <c r="K123" s="55"/>
      <c r="L123" t="str">
        <f>IF(E122&gt;0,COUNTIF($E$4:E122,"&gt;0"),"")</f>
        <v/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</row>
    <row r="124" spans="1:15" ht="18.75" customHeight="1">
      <c r="A124" s="56"/>
      <c r="B124" s="57"/>
      <c r="C124" s="58"/>
      <c r="D124" s="59"/>
      <c r="E124" s="60"/>
      <c r="F124" s="61"/>
      <c r="G124" s="62"/>
      <c r="H124" s="63"/>
      <c r="I124" s="64"/>
      <c r="J124" s="65" t="str">
        <f>IF(AND(D124="",E124="",A124="",B124="",C124=""),"", IFERROR(IF(J123="",D2,J123),D2)+IF(E124="",0,E124)-IF(OR(G124="أبو اسحاق",G124="أبو آدم",G124="أبو اسحاق ",G124="أبو آدم "),0,IF(D124="",0,D124)))</f>
        <v/>
      </c>
      <c r="K124" s="66"/>
      <c r="L124" t="str">
        <f>IF(E123&gt;0,COUNTIF($E$4:E123,"&gt;0"),"")</f>
        <v/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</row>
    <row r="125" spans="1:15" ht="18.75" customHeight="1">
      <c r="A125" s="45"/>
      <c r="B125" s="46"/>
      <c r="C125" s="47"/>
      <c r="D125" s="48"/>
      <c r="E125" s="49"/>
      <c r="F125" s="50"/>
      <c r="G125" s="51"/>
      <c r="H125" s="52"/>
      <c r="I125" s="53"/>
      <c r="J125" s="54" t="str">
        <f>IF(AND(D125="",E125="",A125="",B125="",C125=""),"", IFERROR(IF(J124="",D2,J124),D2)+IF(E125="",0,E125)-IF(OR(G125="أبو اسحاق",G125="أبو آدم",G125="أبو اسحاق ",G125="أبو آدم "),0,IF(D125="",0,D125)))</f>
        <v/>
      </c>
      <c r="K125" s="55"/>
      <c r="L125" t="str">
        <f>IF(E124&gt;0,COUNTIF($E$4:E124,"&gt;0"),"")</f>
        <v/>
      </c>
      <c r="M125" t="str">
        <f>IF(AND(D124&gt;0,G124="المحفظة"),COUNTIFS($D$4:D124,"&gt;"&amp;0,$G$4:G124,"المحفظة"),"")</f>
        <v/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</row>
    <row r="126" spans="1:15" ht="18.75" customHeight="1">
      <c r="A126" s="56"/>
      <c r="B126" s="57"/>
      <c r="C126" s="58"/>
      <c r="D126" s="59"/>
      <c r="E126" s="60"/>
      <c r="F126" s="61"/>
      <c r="G126" s="62"/>
      <c r="H126" s="63"/>
      <c r="I126" s="64"/>
      <c r="J126" s="65" t="str">
        <f>IF(AND(D126="",E126="",A126="",B126="",C126=""),"", IFERROR(IF(J125="",D2,J125),D2)+IF(E126="",0,E126)-IF(OR(G126="أبو اسحاق",G126="أبو آدم",G126="أبو اسحاق ",G126="أبو آدم "),0,IF(D126="",0,D126)))</f>
        <v/>
      </c>
      <c r="K126" s="66"/>
      <c r="L126" t="str">
        <f>IF(E125&gt;0,COUNTIF($E$4:E125,"&gt;0"),"")</f>
        <v/>
      </c>
      <c r="M126" t="str">
        <f>IF(AND(D125&gt;0,G125="المحفظة"),COUNTIFS($D$4:D125,"&gt;"&amp;0,$G$4:G125,"المحفظة"),"")</f>
        <v/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</row>
    <row r="127" spans="1:15" ht="18.75" customHeight="1">
      <c r="A127" s="45"/>
      <c r="B127" s="46"/>
      <c r="C127" s="47"/>
      <c r="D127" s="48"/>
      <c r="E127" s="49"/>
      <c r="F127" s="50"/>
      <c r="G127" s="51"/>
      <c r="H127" s="52"/>
      <c r="I127" s="53"/>
      <c r="J127" s="54" t="str">
        <f>IF(AND(D127="",E127="",A127="",B127="",C127=""),"", IFERROR(IF(J126="",D2,J126),D2)+IF(E127="",0,E127)-IF(OR(G127="أبو اسحاق",G127="أبو آدم",G127="أبو اسحاق ",G127="أبو آدم "),0,IF(D127="",0,D127)))</f>
        <v/>
      </c>
      <c r="K127" s="55"/>
      <c r="L127" t="str">
        <f>IF(E126&gt;0,COUNTIF($E$4:E126,"&gt;0"),"")</f>
        <v/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</row>
    <row r="128" spans="1:15" ht="18.75" customHeight="1">
      <c r="A128" s="56"/>
      <c r="B128" s="57"/>
      <c r="C128" s="58"/>
      <c r="D128" s="59"/>
      <c r="E128" s="60"/>
      <c r="F128" s="61"/>
      <c r="G128" s="62"/>
      <c r="H128" s="63"/>
      <c r="I128" s="64"/>
      <c r="J128" s="65" t="str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66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</row>
    <row r="129" spans="1:15" ht="18.75" customHeight="1">
      <c r="A129" s="45"/>
      <c r="B129" s="46"/>
      <c r="C129" s="47"/>
      <c r="D129" s="48"/>
      <c r="E129" s="49"/>
      <c r="F129" s="50"/>
      <c r="G129" s="51"/>
      <c r="H129" s="52"/>
      <c r="I129" s="53"/>
      <c r="J129" s="54" t="str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5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</row>
    <row r="130" spans="1:15" ht="18.75" customHeight="1">
      <c r="A130" s="56"/>
      <c r="B130" s="57"/>
      <c r="C130" s="58"/>
      <c r="D130" s="59"/>
      <c r="E130" s="60"/>
      <c r="F130" s="61"/>
      <c r="G130" s="62"/>
      <c r="H130" s="63"/>
      <c r="I130" s="64"/>
      <c r="J130" s="65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66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</row>
    <row r="131" spans="1:15" ht="18.75" customHeight="1">
      <c r="A131" s="45"/>
      <c r="B131" s="46"/>
      <c r="C131" s="47"/>
      <c r="D131" s="48"/>
      <c r="E131" s="49"/>
      <c r="F131" s="50"/>
      <c r="G131" s="51"/>
      <c r="H131" s="52"/>
      <c r="I131" s="53"/>
      <c r="J131" s="5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5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</row>
    <row r="132" spans="1:15" ht="18.75" customHeight="1">
      <c r="A132" s="56"/>
      <c r="B132" s="57"/>
      <c r="C132" s="58"/>
      <c r="D132" s="59"/>
      <c r="E132" s="60"/>
      <c r="F132" s="61"/>
      <c r="G132" s="62"/>
      <c r="H132" s="63"/>
      <c r="I132" s="64"/>
      <c r="J132" s="65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66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</row>
    <row r="133" spans="1:15" ht="18.75" customHeight="1">
      <c r="A133" s="45"/>
      <c r="B133" s="46"/>
      <c r="C133" s="47"/>
      <c r="D133" s="48"/>
      <c r="E133" s="49"/>
      <c r="F133" s="50"/>
      <c r="G133" s="51"/>
      <c r="H133" s="52"/>
      <c r="I133" s="53"/>
      <c r="J133" s="5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5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</row>
    <row r="134" spans="1:15" ht="18.75" customHeight="1">
      <c r="A134" s="56"/>
      <c r="B134" s="57"/>
      <c r="C134" s="58"/>
      <c r="D134" s="59"/>
      <c r="E134" s="60"/>
      <c r="F134" s="61"/>
      <c r="G134" s="62"/>
      <c r="H134" s="63"/>
      <c r="I134" s="64"/>
      <c r="J134" s="65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66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</row>
    <row r="135" spans="1:15" ht="18.75" customHeight="1">
      <c r="A135" s="45"/>
      <c r="B135" s="46"/>
      <c r="C135" s="47"/>
      <c r="D135" s="48"/>
      <c r="E135" s="49"/>
      <c r="F135" s="50"/>
      <c r="G135" s="51"/>
      <c r="H135" s="52"/>
      <c r="I135" s="53"/>
      <c r="J135" s="5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5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</row>
    <row r="136" spans="1:15" ht="18.75" customHeight="1">
      <c r="A136" s="56"/>
      <c r="B136" s="57"/>
      <c r="C136" s="58"/>
      <c r="D136" s="59"/>
      <c r="E136" s="60"/>
      <c r="F136" s="61"/>
      <c r="G136" s="62"/>
      <c r="H136" s="63"/>
      <c r="I136" s="64"/>
      <c r="J136" s="65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66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</row>
    <row r="137" spans="1:15" ht="18.75" customHeight="1">
      <c r="A137" s="45"/>
      <c r="B137" s="46"/>
      <c r="C137" s="47"/>
      <c r="D137" s="48"/>
      <c r="E137" s="49"/>
      <c r="F137" s="50"/>
      <c r="G137" s="51"/>
      <c r="H137" s="52"/>
      <c r="I137" s="53"/>
      <c r="J137" s="5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5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</row>
    <row r="138" spans="1:15" ht="18.75" customHeight="1">
      <c r="A138" s="56"/>
      <c r="B138" s="57"/>
      <c r="C138" s="58"/>
      <c r="D138" s="59"/>
      <c r="E138" s="60"/>
      <c r="F138" s="61"/>
      <c r="G138" s="62"/>
      <c r="H138" s="63"/>
      <c r="I138" s="64"/>
      <c r="J138" s="65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66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</row>
    <row r="139" spans="1:15" ht="18.75" customHeight="1">
      <c r="A139" s="45"/>
      <c r="B139" s="46"/>
      <c r="C139" s="47"/>
      <c r="D139" s="48"/>
      <c r="E139" s="49"/>
      <c r="F139" s="50"/>
      <c r="G139" s="51"/>
      <c r="H139" s="52"/>
      <c r="I139" s="53"/>
      <c r="J139" s="5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5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</row>
    <row r="140" spans="1:15" ht="18.75" customHeight="1">
      <c r="A140" s="56"/>
      <c r="B140" s="57"/>
      <c r="C140" s="58"/>
      <c r="D140" s="59"/>
      <c r="E140" s="60"/>
      <c r="F140" s="61"/>
      <c r="G140" s="62"/>
      <c r="H140" s="63"/>
      <c r="I140" s="64"/>
      <c r="J140" s="65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66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</row>
    <row r="141" spans="1:15" ht="18.75" customHeight="1">
      <c r="A141" s="45"/>
      <c r="B141" s="46"/>
      <c r="C141" s="47"/>
      <c r="D141" s="48"/>
      <c r="E141" s="49"/>
      <c r="F141" s="50"/>
      <c r="G141" s="51"/>
      <c r="H141" s="52"/>
      <c r="I141" s="53"/>
      <c r="J141" s="5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5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</row>
    <row r="142" spans="1:15" ht="18.75" customHeight="1">
      <c r="A142" s="56"/>
      <c r="B142" s="57"/>
      <c r="C142" s="58"/>
      <c r="D142" s="59"/>
      <c r="E142" s="60"/>
      <c r="F142" s="61"/>
      <c r="G142" s="62"/>
      <c r="H142" s="63"/>
      <c r="I142" s="64"/>
      <c r="J142" s="65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66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</row>
    <row r="143" spans="1:15" ht="18.75" customHeight="1">
      <c r="A143" s="45"/>
      <c r="B143" s="46"/>
      <c r="C143" s="47"/>
      <c r="D143" s="48"/>
      <c r="E143" s="49"/>
      <c r="F143" s="50"/>
      <c r="G143" s="51"/>
      <c r="H143" s="52"/>
      <c r="I143" s="53"/>
      <c r="J143" s="5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5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</row>
    <row r="144" spans="1:15" ht="18.75" customHeight="1">
      <c r="A144" s="56"/>
      <c r="B144" s="57"/>
      <c r="C144" s="58"/>
      <c r="D144" s="59"/>
      <c r="E144" s="60"/>
      <c r="F144" s="61"/>
      <c r="G144" s="62"/>
      <c r="H144" s="63"/>
      <c r="I144" s="64"/>
      <c r="J144" s="65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66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</row>
    <row r="145" spans="1:15" ht="18.75" customHeight="1">
      <c r="A145" s="45"/>
      <c r="B145" s="46"/>
      <c r="C145" s="47"/>
      <c r="D145" s="48"/>
      <c r="E145" s="49"/>
      <c r="F145" s="50"/>
      <c r="G145" s="51"/>
      <c r="H145" s="52"/>
      <c r="I145" s="53"/>
      <c r="J145" s="5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5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</row>
    <row r="146" spans="1:15" ht="18.75" customHeight="1">
      <c r="A146" s="56"/>
      <c r="B146" s="57"/>
      <c r="C146" s="58"/>
      <c r="D146" s="59"/>
      <c r="E146" s="60"/>
      <c r="F146" s="61"/>
      <c r="G146" s="62"/>
      <c r="H146" s="63"/>
      <c r="I146" s="64"/>
      <c r="J146" s="65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66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</row>
    <row r="147" spans="1:15" ht="18.75" customHeight="1">
      <c r="A147" s="45"/>
      <c r="B147" s="46"/>
      <c r="C147" s="47"/>
      <c r="D147" s="48"/>
      <c r="E147" s="49"/>
      <c r="F147" s="50"/>
      <c r="G147" s="51"/>
      <c r="H147" s="52"/>
      <c r="I147" s="53"/>
      <c r="J147" s="5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5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</row>
    <row r="148" spans="1:15" ht="18.75" customHeight="1">
      <c r="A148" s="56"/>
      <c r="B148" s="57"/>
      <c r="C148" s="58"/>
      <c r="D148" s="59"/>
      <c r="E148" s="60"/>
      <c r="F148" s="61"/>
      <c r="G148" s="62"/>
      <c r="H148" s="63"/>
      <c r="I148" s="64"/>
      <c r="J148" s="65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66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</row>
    <row r="149" spans="1:15" ht="18.75" customHeight="1">
      <c r="A149" s="45"/>
      <c r="B149" s="46"/>
      <c r="C149" s="47"/>
      <c r="D149" s="48"/>
      <c r="E149" s="49"/>
      <c r="F149" s="50"/>
      <c r="G149" s="51"/>
      <c r="H149" s="52"/>
      <c r="I149" s="53"/>
      <c r="J149" s="5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5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</row>
    <row r="150" spans="1:15" ht="18.75" customHeight="1">
      <c r="A150" s="56"/>
      <c r="B150" s="57"/>
      <c r="C150" s="58"/>
      <c r="D150" s="59"/>
      <c r="E150" s="60"/>
      <c r="F150" s="61"/>
      <c r="G150" s="62"/>
      <c r="H150" s="63"/>
      <c r="I150" s="64"/>
      <c r="J150" s="65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66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</row>
    <row r="151" spans="1:15" ht="18.75" customHeight="1">
      <c r="A151" s="45"/>
      <c r="B151" s="46"/>
      <c r="C151" s="47"/>
      <c r="D151" s="48"/>
      <c r="E151" s="49"/>
      <c r="F151" s="50"/>
      <c r="G151" s="51"/>
      <c r="H151" s="52"/>
      <c r="I151" s="53"/>
      <c r="J151" s="5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5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</row>
    <row r="152" spans="1:15" ht="18.75" customHeight="1">
      <c r="A152" s="56"/>
      <c r="B152" s="57"/>
      <c r="C152" s="58"/>
      <c r="D152" s="59"/>
      <c r="E152" s="60"/>
      <c r="F152" s="61"/>
      <c r="G152" s="62"/>
      <c r="H152" s="63"/>
      <c r="I152" s="64"/>
      <c r="J152" s="65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66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</row>
    <row r="153" spans="1:15" ht="18.75" customHeight="1">
      <c r="A153" s="45"/>
      <c r="B153" s="46"/>
      <c r="C153" s="47"/>
      <c r="D153" s="48"/>
      <c r="E153" s="49"/>
      <c r="F153" s="50"/>
      <c r="G153" s="51"/>
      <c r="H153" s="52"/>
      <c r="I153" s="53"/>
      <c r="J153" s="5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5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</row>
    <row r="154" spans="1:15" ht="18.75" customHeight="1">
      <c r="A154" s="56"/>
      <c r="B154" s="57"/>
      <c r="C154" s="58"/>
      <c r="D154" s="59"/>
      <c r="E154" s="60"/>
      <c r="F154" s="61"/>
      <c r="G154" s="62"/>
      <c r="H154" s="63"/>
      <c r="I154" s="64"/>
      <c r="J154" s="65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66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</row>
    <row r="155" spans="1:15" ht="18.75" customHeight="1">
      <c r="A155" s="45"/>
      <c r="B155" s="46"/>
      <c r="C155" s="47"/>
      <c r="D155" s="48"/>
      <c r="E155" s="49"/>
      <c r="F155" s="50"/>
      <c r="G155" s="51"/>
      <c r="H155" s="52"/>
      <c r="I155" s="53"/>
      <c r="J155" s="5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5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</row>
    <row r="156" spans="1:15" ht="18.75" customHeight="1">
      <c r="A156" s="56"/>
      <c r="B156" s="57"/>
      <c r="C156" s="58"/>
      <c r="D156" s="59"/>
      <c r="E156" s="60"/>
      <c r="F156" s="61"/>
      <c r="G156" s="62"/>
      <c r="H156" s="63"/>
      <c r="I156" s="64"/>
      <c r="J156" s="65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66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</row>
    <row r="157" spans="1:15" ht="18.75" customHeight="1">
      <c r="A157" s="45"/>
      <c r="B157" s="46"/>
      <c r="C157" s="47"/>
      <c r="D157" s="48"/>
      <c r="E157" s="49"/>
      <c r="F157" s="50"/>
      <c r="G157" s="51"/>
      <c r="H157" s="52"/>
      <c r="I157" s="53"/>
      <c r="J157" s="5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5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</row>
    <row r="158" spans="1:15" ht="18.75" customHeight="1">
      <c r="A158" s="56"/>
      <c r="B158" s="57"/>
      <c r="C158" s="58"/>
      <c r="D158" s="59"/>
      <c r="E158" s="60"/>
      <c r="F158" s="61"/>
      <c r="G158" s="62"/>
      <c r="H158" s="63"/>
      <c r="I158" s="64"/>
      <c r="J158" s="65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66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</row>
    <row r="159" spans="1:15" ht="18.75" customHeight="1">
      <c r="A159" s="45"/>
      <c r="B159" s="46"/>
      <c r="C159" s="47"/>
      <c r="D159" s="48"/>
      <c r="E159" s="49"/>
      <c r="F159" s="50"/>
      <c r="G159" s="51"/>
      <c r="H159" s="52"/>
      <c r="I159" s="53"/>
      <c r="J159" s="5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5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</row>
    <row r="160" spans="1:15" ht="18.75" customHeight="1">
      <c r="A160" s="56"/>
      <c r="B160" s="57"/>
      <c r="C160" s="58"/>
      <c r="D160" s="59"/>
      <c r="E160" s="60"/>
      <c r="F160" s="61"/>
      <c r="G160" s="62"/>
      <c r="H160" s="63"/>
      <c r="I160" s="64"/>
      <c r="J160" s="65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66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</row>
    <row r="161" spans="1:15" ht="18.75" customHeight="1">
      <c r="A161" s="45"/>
      <c r="B161" s="46"/>
      <c r="C161" s="47"/>
      <c r="D161" s="48"/>
      <c r="E161" s="49"/>
      <c r="F161" s="50"/>
      <c r="G161" s="51"/>
      <c r="H161" s="52"/>
      <c r="I161" s="53"/>
      <c r="J161" s="5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5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</row>
    <row r="162" spans="1:15" ht="18.75" customHeight="1">
      <c r="A162" s="56"/>
      <c r="B162" s="57"/>
      <c r="C162" s="58"/>
      <c r="D162" s="59"/>
      <c r="E162" s="60"/>
      <c r="F162" s="61"/>
      <c r="G162" s="62"/>
      <c r="H162" s="63"/>
      <c r="I162" s="64"/>
      <c r="J162" s="65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66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</row>
    <row r="163" spans="1:15" ht="18.75" customHeight="1">
      <c r="A163" s="45"/>
      <c r="B163" s="46"/>
      <c r="C163" s="47"/>
      <c r="D163" s="48"/>
      <c r="E163" s="49"/>
      <c r="F163" s="50"/>
      <c r="G163" s="51"/>
      <c r="H163" s="52"/>
      <c r="I163" s="53"/>
      <c r="J163" s="5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5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</row>
    <row r="164" spans="1:15" ht="18.75" customHeight="1">
      <c r="A164" s="56"/>
      <c r="B164" s="57"/>
      <c r="C164" s="58"/>
      <c r="D164" s="59"/>
      <c r="E164" s="60"/>
      <c r="F164" s="61"/>
      <c r="G164" s="62"/>
      <c r="H164" s="63"/>
      <c r="I164" s="64"/>
      <c r="J164" s="65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66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</row>
    <row r="165" spans="1:15" ht="18.75" customHeight="1">
      <c r="A165" s="45"/>
      <c r="B165" s="46"/>
      <c r="C165" s="47"/>
      <c r="D165" s="48"/>
      <c r="E165" s="49"/>
      <c r="F165" s="50"/>
      <c r="G165" s="51"/>
      <c r="H165" s="52"/>
      <c r="I165" s="53"/>
      <c r="J165" s="5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5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</row>
    <row r="166" spans="1:15" ht="18.75" customHeight="1">
      <c r="A166" s="56"/>
      <c r="B166" s="57"/>
      <c r="C166" s="58"/>
      <c r="D166" s="59"/>
      <c r="E166" s="60"/>
      <c r="F166" s="61"/>
      <c r="G166" s="62"/>
      <c r="H166" s="63"/>
      <c r="I166" s="64"/>
      <c r="J166" s="65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66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</row>
    <row r="167" spans="1:15" ht="18.75" customHeight="1">
      <c r="A167" s="45"/>
      <c r="B167" s="46"/>
      <c r="C167" s="47"/>
      <c r="D167" s="48"/>
      <c r="E167" s="49"/>
      <c r="F167" s="50"/>
      <c r="G167" s="51"/>
      <c r="H167" s="52"/>
      <c r="I167" s="53"/>
      <c r="J167" s="5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5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</row>
    <row r="168" spans="1:15" ht="18.75" customHeight="1">
      <c r="A168" s="56"/>
      <c r="B168" s="57"/>
      <c r="C168" s="58"/>
      <c r="D168" s="59"/>
      <c r="E168" s="60"/>
      <c r="F168" s="61"/>
      <c r="G168" s="62"/>
      <c r="H168" s="63"/>
      <c r="I168" s="64"/>
      <c r="J168" s="65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66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</row>
    <row r="169" spans="1:15" ht="18.75" customHeight="1">
      <c r="A169" s="45"/>
      <c r="B169" s="46"/>
      <c r="C169" s="47"/>
      <c r="D169" s="48"/>
      <c r="E169" s="49"/>
      <c r="F169" s="50"/>
      <c r="G169" s="51"/>
      <c r="H169" s="52"/>
      <c r="I169" s="53"/>
      <c r="J169" s="5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5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</row>
    <row r="170" spans="1:15" ht="18.75" customHeight="1">
      <c r="A170" s="56"/>
      <c r="B170" s="57"/>
      <c r="C170" s="58"/>
      <c r="D170" s="59"/>
      <c r="E170" s="60"/>
      <c r="F170" s="61"/>
      <c r="G170" s="62"/>
      <c r="H170" s="63"/>
      <c r="I170" s="64"/>
      <c r="J170" s="65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66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</row>
    <row r="171" spans="1:15" ht="18.75" customHeight="1">
      <c r="A171" s="45"/>
      <c r="B171" s="46"/>
      <c r="C171" s="47"/>
      <c r="D171" s="48"/>
      <c r="E171" s="49"/>
      <c r="F171" s="50"/>
      <c r="G171" s="51"/>
      <c r="H171" s="52"/>
      <c r="I171" s="53"/>
      <c r="J171" s="5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5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</row>
    <row r="172" spans="1:15" ht="18.75" customHeight="1">
      <c r="A172" s="56"/>
      <c r="B172" s="57"/>
      <c r="C172" s="58"/>
      <c r="D172" s="59"/>
      <c r="E172" s="60"/>
      <c r="F172" s="61"/>
      <c r="G172" s="62"/>
      <c r="H172" s="63"/>
      <c r="I172" s="64"/>
      <c r="J172" s="65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66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</row>
    <row r="173" spans="1:15" ht="18.75" customHeight="1">
      <c r="A173" s="45"/>
      <c r="B173" s="46"/>
      <c r="C173" s="47"/>
      <c r="D173" s="48"/>
      <c r="E173" s="49"/>
      <c r="F173" s="50"/>
      <c r="G173" s="51"/>
      <c r="H173" s="52"/>
      <c r="I173" s="53"/>
      <c r="J173" s="5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5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</row>
    <row r="174" spans="1:15" ht="18.75" customHeight="1">
      <c r="A174" s="56"/>
      <c r="B174" s="57"/>
      <c r="C174" s="58"/>
      <c r="D174" s="59"/>
      <c r="E174" s="60"/>
      <c r="F174" s="61"/>
      <c r="G174" s="62"/>
      <c r="H174" s="63"/>
      <c r="I174" s="64"/>
      <c r="J174" s="65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66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</row>
    <row r="175" spans="1:15" ht="18.75" customHeight="1">
      <c r="A175" s="45"/>
      <c r="B175" s="46"/>
      <c r="C175" s="47"/>
      <c r="D175" s="48"/>
      <c r="E175" s="49"/>
      <c r="F175" s="50"/>
      <c r="G175" s="51"/>
      <c r="H175" s="52"/>
      <c r="I175" s="53"/>
      <c r="J175" s="5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5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</row>
    <row r="176" spans="1:15" ht="18.75" customHeight="1">
      <c r="A176" s="56"/>
      <c r="B176" s="57"/>
      <c r="C176" s="58"/>
      <c r="D176" s="59"/>
      <c r="E176" s="60"/>
      <c r="F176" s="61"/>
      <c r="G176" s="62"/>
      <c r="H176" s="63"/>
      <c r="I176" s="64"/>
      <c r="J176" s="65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66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</row>
    <row r="177" spans="1:15" ht="18.75" customHeight="1">
      <c r="A177" s="45"/>
      <c r="B177" s="46"/>
      <c r="C177" s="47"/>
      <c r="D177" s="48"/>
      <c r="E177" s="49"/>
      <c r="F177" s="50"/>
      <c r="G177" s="51"/>
      <c r="H177" s="52"/>
      <c r="I177" s="53"/>
      <c r="J177" s="5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5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</row>
    <row r="178" spans="1:15" ht="18.75" customHeight="1">
      <c r="A178" s="56"/>
      <c r="B178" s="57"/>
      <c r="C178" s="58"/>
      <c r="D178" s="59"/>
      <c r="E178" s="60"/>
      <c r="F178" s="61"/>
      <c r="G178" s="62"/>
      <c r="H178" s="63"/>
      <c r="I178" s="64"/>
      <c r="J178" s="65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66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</row>
    <row r="179" spans="1:15" ht="18.75" customHeight="1">
      <c r="A179" s="45"/>
      <c r="B179" s="46"/>
      <c r="C179" s="47"/>
      <c r="D179" s="48"/>
      <c r="E179" s="49"/>
      <c r="F179" s="50"/>
      <c r="G179" s="51"/>
      <c r="H179" s="52"/>
      <c r="I179" s="53"/>
      <c r="J179" s="5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5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</row>
    <row r="180" spans="1:15" ht="18.75" customHeight="1">
      <c r="A180" s="56"/>
      <c r="B180" s="57"/>
      <c r="C180" s="58"/>
      <c r="D180" s="59"/>
      <c r="E180" s="60"/>
      <c r="F180" s="61"/>
      <c r="G180" s="62"/>
      <c r="H180" s="63"/>
      <c r="I180" s="64"/>
      <c r="J180" s="65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66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</row>
    <row r="181" spans="1:15" ht="18.75" customHeight="1">
      <c r="A181" s="45"/>
      <c r="B181" s="46"/>
      <c r="C181" s="47"/>
      <c r="D181" s="48"/>
      <c r="E181" s="49"/>
      <c r="F181" s="50"/>
      <c r="G181" s="51"/>
      <c r="H181" s="52"/>
      <c r="I181" s="53"/>
      <c r="J181" s="5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5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</row>
    <row r="182" spans="1:15" ht="18.75" customHeight="1">
      <c r="A182" s="56"/>
      <c r="B182" s="57"/>
      <c r="C182" s="58"/>
      <c r="D182" s="59"/>
      <c r="E182" s="60"/>
      <c r="F182" s="61"/>
      <c r="G182" s="62"/>
      <c r="H182" s="63"/>
      <c r="I182" s="64"/>
      <c r="J182" s="65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66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</row>
    <row r="183" spans="1:15" ht="18.75" customHeight="1">
      <c r="A183" s="45"/>
      <c r="B183" s="46"/>
      <c r="C183" s="47"/>
      <c r="D183" s="48"/>
      <c r="E183" s="49"/>
      <c r="F183" s="50"/>
      <c r="G183" s="51"/>
      <c r="H183" s="52"/>
      <c r="I183" s="53"/>
      <c r="J183" s="5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5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</row>
    <row r="184" spans="1:15" ht="18.75" customHeight="1">
      <c r="A184" s="56"/>
      <c r="B184" s="57"/>
      <c r="C184" s="58"/>
      <c r="D184" s="59"/>
      <c r="E184" s="60"/>
      <c r="F184" s="61"/>
      <c r="G184" s="62"/>
      <c r="H184" s="63"/>
      <c r="I184" s="64"/>
      <c r="J184" s="65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66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</row>
    <row r="185" spans="1:15" ht="18.75" customHeight="1">
      <c r="A185" s="45"/>
      <c r="B185" s="46"/>
      <c r="C185" s="47"/>
      <c r="D185" s="48"/>
      <c r="E185" s="49"/>
      <c r="F185" s="50"/>
      <c r="G185" s="51"/>
      <c r="H185" s="52"/>
      <c r="I185" s="53"/>
      <c r="J185" s="5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5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</row>
    <row r="186" spans="1:15" ht="18.75" customHeight="1">
      <c r="A186" s="56"/>
      <c r="B186" s="57"/>
      <c r="C186" s="58"/>
      <c r="D186" s="59"/>
      <c r="E186" s="60"/>
      <c r="F186" s="61"/>
      <c r="G186" s="62"/>
      <c r="H186" s="63"/>
      <c r="I186" s="64"/>
      <c r="J186" s="65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66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</row>
    <row r="187" spans="1:15" ht="18.75" customHeight="1">
      <c r="A187" s="45"/>
      <c r="B187" s="46"/>
      <c r="C187" s="47"/>
      <c r="D187" s="48"/>
      <c r="E187" s="49"/>
      <c r="F187" s="50"/>
      <c r="G187" s="51"/>
      <c r="H187" s="52"/>
      <c r="I187" s="53"/>
      <c r="J187" s="5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5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</row>
    <row r="188" spans="1:15" ht="18.75" customHeight="1">
      <c r="A188" s="56"/>
      <c r="B188" s="57"/>
      <c r="C188" s="58"/>
      <c r="D188" s="59"/>
      <c r="E188" s="60"/>
      <c r="F188" s="61"/>
      <c r="G188" s="62"/>
      <c r="H188" s="63"/>
      <c r="I188" s="64"/>
      <c r="J188" s="65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66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</row>
    <row r="189" spans="1:15" ht="18.75" customHeight="1">
      <c r="A189" s="45"/>
      <c r="B189" s="46"/>
      <c r="C189" s="47"/>
      <c r="D189" s="48"/>
      <c r="E189" s="49"/>
      <c r="F189" s="50"/>
      <c r="G189" s="51"/>
      <c r="H189" s="52"/>
      <c r="I189" s="53"/>
      <c r="J189" s="5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5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</row>
    <row r="190" spans="1:15" ht="18.75" customHeight="1">
      <c r="A190" s="56"/>
      <c r="B190" s="57"/>
      <c r="C190" s="58"/>
      <c r="D190" s="59"/>
      <c r="E190" s="60"/>
      <c r="F190" s="61"/>
      <c r="G190" s="62"/>
      <c r="H190" s="63"/>
      <c r="I190" s="64"/>
      <c r="J190" s="65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66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</row>
    <row r="191" spans="1:15" ht="18.75" customHeight="1">
      <c r="A191" s="45"/>
      <c r="B191" s="46"/>
      <c r="C191" s="47"/>
      <c r="D191" s="48"/>
      <c r="E191" s="49"/>
      <c r="F191" s="50"/>
      <c r="G191" s="51"/>
      <c r="H191" s="52"/>
      <c r="I191" s="53"/>
      <c r="J191" s="5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5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</row>
    <row r="192" spans="1:15" ht="18.75" customHeight="1">
      <c r="A192" s="56"/>
      <c r="B192" s="57"/>
      <c r="C192" s="58"/>
      <c r="D192" s="59"/>
      <c r="E192" s="60"/>
      <c r="F192" s="61"/>
      <c r="G192" s="62"/>
      <c r="H192" s="63"/>
      <c r="I192" s="64"/>
      <c r="J192" s="65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66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</row>
    <row r="193" spans="1:15" ht="18.75" customHeight="1">
      <c r="A193" s="45"/>
      <c r="B193" s="46"/>
      <c r="C193" s="47"/>
      <c r="D193" s="48"/>
      <c r="E193" s="49"/>
      <c r="F193" s="50"/>
      <c r="G193" s="51"/>
      <c r="H193" s="52"/>
      <c r="I193" s="53"/>
      <c r="J193" s="5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5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</row>
    <row r="194" spans="1:15" ht="18.75" customHeight="1">
      <c r="A194" s="56"/>
      <c r="B194" s="57"/>
      <c r="C194" s="58"/>
      <c r="D194" s="59"/>
      <c r="E194" s="60"/>
      <c r="F194" s="61"/>
      <c r="G194" s="62"/>
      <c r="H194" s="63"/>
      <c r="I194" s="64"/>
      <c r="J194" s="65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66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</row>
    <row r="195" spans="1:15" ht="18.75" customHeight="1">
      <c r="A195" s="45"/>
      <c r="B195" s="46"/>
      <c r="C195" s="47"/>
      <c r="D195" s="48"/>
      <c r="E195" s="49"/>
      <c r="F195" s="50"/>
      <c r="G195" s="51"/>
      <c r="H195" s="52"/>
      <c r="I195" s="53"/>
      <c r="J195" s="5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5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</row>
    <row r="196" spans="1:15" ht="18.75" customHeight="1">
      <c r="A196" s="56"/>
      <c r="B196" s="57"/>
      <c r="C196" s="58"/>
      <c r="D196" s="59"/>
      <c r="E196" s="60"/>
      <c r="F196" s="61"/>
      <c r="G196" s="62"/>
      <c r="H196" s="63"/>
      <c r="I196" s="64"/>
      <c r="J196" s="65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66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</row>
    <row r="197" spans="1:15" ht="18.75" customHeight="1">
      <c r="A197" s="45"/>
      <c r="B197" s="46"/>
      <c r="C197" s="47"/>
      <c r="D197" s="48"/>
      <c r="E197" s="49"/>
      <c r="F197" s="50"/>
      <c r="G197" s="51"/>
      <c r="H197" s="52"/>
      <c r="I197" s="53"/>
      <c r="J197" s="5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5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</row>
    <row r="198" spans="1:15" ht="18.75" customHeight="1">
      <c r="A198" s="56"/>
      <c r="B198" s="57"/>
      <c r="C198" s="58"/>
      <c r="D198" s="59"/>
      <c r="E198" s="60"/>
      <c r="F198" s="61"/>
      <c r="G198" s="62"/>
      <c r="H198" s="63"/>
      <c r="I198" s="64"/>
      <c r="J198" s="65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66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</row>
    <row r="199" spans="1:15" ht="18.75" customHeight="1">
      <c r="A199" s="45"/>
      <c r="B199" s="46"/>
      <c r="C199" s="47"/>
      <c r="D199" s="48"/>
      <c r="E199" s="49"/>
      <c r="F199" s="50"/>
      <c r="G199" s="51"/>
      <c r="H199" s="52"/>
      <c r="I199" s="53"/>
      <c r="J199" s="5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5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</row>
    <row r="200" spans="1:15" ht="18.75" customHeight="1">
      <c r="A200" s="56"/>
      <c r="B200" s="57"/>
      <c r="C200" s="58"/>
      <c r="D200" s="59"/>
      <c r="E200" s="60"/>
      <c r="F200" s="61"/>
      <c r="G200" s="62"/>
      <c r="H200" s="63"/>
      <c r="I200" s="64"/>
      <c r="J200" s="65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66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</row>
    <row r="201" spans="1:15" ht="18.75" customHeight="1">
      <c r="A201" s="45"/>
      <c r="B201" s="46"/>
      <c r="C201" s="47"/>
      <c r="D201" s="48"/>
      <c r="E201" s="49"/>
      <c r="F201" s="50"/>
      <c r="G201" s="51"/>
      <c r="H201" s="52"/>
      <c r="I201" s="53"/>
      <c r="J201" s="5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5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</row>
    <row r="202" spans="1:15" ht="18.75" customHeight="1">
      <c r="A202" s="56"/>
      <c r="B202" s="57"/>
      <c r="C202" s="58"/>
      <c r="D202" s="59"/>
      <c r="E202" s="60"/>
      <c r="F202" s="61"/>
      <c r="G202" s="62"/>
      <c r="H202" s="63"/>
      <c r="I202" s="64"/>
      <c r="J202" s="65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66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</row>
    <row r="203" spans="1:15" ht="18.75" customHeight="1">
      <c r="A203" s="45"/>
      <c r="B203" s="46"/>
      <c r="C203" s="47"/>
      <c r="D203" s="48"/>
      <c r="E203" s="49"/>
      <c r="F203" s="50"/>
      <c r="G203" s="51"/>
      <c r="H203" s="52"/>
      <c r="I203" s="53"/>
      <c r="J203" s="5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5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</row>
    <row r="204" spans="1:15" ht="25.5" customHeight="1">
      <c r="A204" s="145"/>
      <c r="B204" s="145"/>
      <c r="C204" s="145"/>
      <c r="D204" s="59"/>
      <c r="E204" s="60"/>
      <c r="F204" s="146"/>
      <c r="G204" s="146"/>
      <c r="H204" s="146"/>
      <c r="I204" s="64"/>
      <c r="J204" s="65" t="str">
        <f>IF(AND(D203="",E203="",A203="",B203="",C203=""),"", IFERROR(IF(J202="",D2,J202),D2)+IF(E203="",0,E203)-IF(D203="",0,D203))</f>
        <v/>
      </c>
      <c r="K204" s="66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</row>
    <row r="205" spans="1:15" ht="15.75" customHeight="1">
      <c r="A205" s="33" t="s">
        <v>171</v>
      </c>
      <c r="B205" s="69"/>
      <c r="C205" s="69"/>
      <c r="D205" s="70">
        <f>SUM(D4:D203)</f>
        <v>1215.05</v>
      </c>
      <c r="E205" s="70">
        <f>SUM(E4:E203)</f>
        <v>652.1</v>
      </c>
      <c r="F205" s="71">
        <f>COUNTIF(H4:H203,"معلق")</f>
        <v>8</v>
      </c>
      <c r="G205" s="69"/>
      <c r="H205" s="69"/>
      <c r="J205" s="70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5" ht="15" customHeight="1">
      <c r="D206" s="72" t="s">
        <v>172</v>
      </c>
      <c r="E206" s="73" t="s">
        <v>173</v>
      </c>
      <c r="F206" s="74" t="s">
        <v>174</v>
      </c>
      <c r="J206" s="75" t="s">
        <v>175</v>
      </c>
    </row>
  </sheetData>
  <mergeCells count="5">
    <mergeCell ref="A1:K1"/>
    <mergeCell ref="A2:C2"/>
    <mergeCell ref="E2:K2"/>
    <mergeCell ref="A204:C204"/>
    <mergeCell ref="F204:H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/>
  <cols>
    <col min="1" max="1" width="28" customWidth="1"/>
    <col min="2" max="2" width="36" customWidth="1"/>
    <col min="3" max="3" width="22" customWidth="1"/>
  </cols>
  <sheetData>
    <row r="1" spans="1:3" ht="27.75" customHeight="1">
      <c r="A1" s="147" t="s">
        <v>176</v>
      </c>
      <c r="B1" s="147"/>
      <c r="C1" s="147"/>
    </row>
    <row r="2" spans="1:3" ht="21.75" customHeight="1">
      <c r="A2" s="76" t="s">
        <v>17</v>
      </c>
      <c r="B2" s="76" t="s">
        <v>177</v>
      </c>
      <c r="C2" s="76" t="s">
        <v>178</v>
      </c>
    </row>
    <row r="3" spans="1:3" ht="18" customHeight="1">
      <c r="A3" s="77" t="s">
        <v>130</v>
      </c>
      <c r="B3" s="77"/>
      <c r="C3" s="46"/>
    </row>
    <row r="4" spans="1:3" ht="18" customHeight="1">
      <c r="A4" s="78" t="s">
        <v>58</v>
      </c>
      <c r="B4" s="78"/>
      <c r="C4" s="57"/>
    </row>
    <row r="5" spans="1:3" ht="18" customHeight="1">
      <c r="A5" s="77" t="s">
        <v>55</v>
      </c>
      <c r="B5" s="77"/>
      <c r="C5" s="46"/>
    </row>
    <row r="6" spans="1:3" ht="18" customHeight="1">
      <c r="A6" s="78" t="s">
        <v>50</v>
      </c>
      <c r="B6" s="78"/>
      <c r="C6" s="57"/>
    </row>
    <row r="7" spans="1:3" ht="18" customHeight="1">
      <c r="A7" s="77" t="s">
        <v>179</v>
      </c>
      <c r="B7" s="77"/>
      <c r="C7" s="46"/>
    </row>
    <row r="8" spans="1:3" ht="18" customHeight="1">
      <c r="A8" s="78" t="s">
        <v>180</v>
      </c>
      <c r="B8" s="78"/>
      <c r="C8" s="57"/>
    </row>
    <row r="9" spans="1:3" ht="18" customHeight="1">
      <c r="A9" s="77" t="s">
        <v>65</v>
      </c>
      <c r="B9" s="77"/>
      <c r="C9" s="46"/>
    </row>
    <row r="10" spans="1:3" ht="18" customHeight="1">
      <c r="A10" s="78" t="s">
        <v>45</v>
      </c>
      <c r="B10" s="78"/>
      <c r="C10" s="57"/>
    </row>
    <row r="11" spans="1:3" ht="18" customHeight="1">
      <c r="A11" s="77" t="s">
        <v>181</v>
      </c>
      <c r="B11" s="77"/>
      <c r="C11" s="46"/>
    </row>
    <row r="12" spans="1:3" ht="18" customHeight="1">
      <c r="A12" s="78" t="s">
        <v>182</v>
      </c>
      <c r="B12" s="78"/>
      <c r="C12" s="57"/>
    </row>
    <row r="13" spans="1:3" ht="18" customHeight="1">
      <c r="A13" s="77" t="s">
        <v>183</v>
      </c>
      <c r="B13" s="77"/>
      <c r="C13" s="46"/>
    </row>
    <row r="14" spans="1:3" ht="18" customHeight="1">
      <c r="A14" s="78" t="s">
        <v>184</v>
      </c>
      <c r="B14" s="78"/>
      <c r="C14" s="57"/>
    </row>
    <row r="15" spans="1:3" ht="18" customHeight="1">
      <c r="A15" s="77" t="s">
        <v>185</v>
      </c>
      <c r="B15" s="77"/>
      <c r="C15" s="46"/>
    </row>
    <row r="16" spans="1:3" ht="18" customHeight="1">
      <c r="A16" s="78" t="s">
        <v>186</v>
      </c>
      <c r="B16" s="78"/>
      <c r="C16" s="57"/>
    </row>
    <row r="17" spans="1:3" ht="18" customHeight="1">
      <c r="A17" s="77" t="s">
        <v>187</v>
      </c>
      <c r="B17" s="77"/>
      <c r="C17" s="46"/>
    </row>
    <row r="18" spans="1:3" ht="18" customHeight="1">
      <c r="A18" s="78" t="s">
        <v>188</v>
      </c>
      <c r="B18" s="78"/>
      <c r="C18" s="57"/>
    </row>
    <row r="19" spans="1:3" ht="18" customHeight="1">
      <c r="A19" s="77" t="s">
        <v>189</v>
      </c>
      <c r="B19" s="77"/>
      <c r="C19" s="46"/>
    </row>
    <row r="20" spans="1:3" ht="18" customHeight="1">
      <c r="A20" s="78" t="s">
        <v>190</v>
      </c>
      <c r="B20" s="78"/>
      <c r="C20" s="57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/>
  </sheetViews>
  <sheetFormatPr defaultColWidth="8.7109375" defaultRowHeight="15"/>
  <cols>
    <col min="1" max="1" width="5" customWidth="1"/>
    <col min="2" max="2" width="64" customWidth="1"/>
  </cols>
  <sheetData>
    <row r="1" spans="1:2" ht="30" customHeight="1">
      <c r="A1" s="148" t="s">
        <v>191</v>
      </c>
      <c r="B1" s="148"/>
    </row>
    <row r="2" spans="1:2" ht="21.75" customHeight="1">
      <c r="A2" s="149" t="s">
        <v>192</v>
      </c>
      <c r="B2" s="149"/>
    </row>
    <row r="3" spans="1:2" ht="19.5" customHeight="1">
      <c r="A3" s="79" t="s">
        <v>193</v>
      </c>
      <c r="B3" s="58" t="s">
        <v>194</v>
      </c>
    </row>
    <row r="4" spans="1:2" ht="19.5" customHeight="1">
      <c r="A4" s="80" t="s">
        <v>195</v>
      </c>
      <c r="B4" s="47" t="s">
        <v>196</v>
      </c>
    </row>
    <row r="5" spans="1:2" ht="21.75" customHeight="1">
      <c r="A5" s="149" t="s">
        <v>197</v>
      </c>
      <c r="B5" s="149"/>
    </row>
    <row r="6" spans="1:2" ht="19.5" customHeight="1">
      <c r="A6" s="80" t="s">
        <v>193</v>
      </c>
      <c r="B6" s="47" t="s">
        <v>198</v>
      </c>
    </row>
    <row r="7" spans="1:2" ht="19.5" customHeight="1">
      <c r="A7" s="79" t="s">
        <v>195</v>
      </c>
      <c r="B7" s="58" t="s">
        <v>199</v>
      </c>
    </row>
    <row r="8" spans="1:2" ht="19.5" customHeight="1">
      <c r="A8" s="80" t="s">
        <v>200</v>
      </c>
      <c r="B8" s="47" t="s">
        <v>201</v>
      </c>
    </row>
    <row r="9" spans="1:2" ht="19.5" customHeight="1">
      <c r="A9" s="79" t="s">
        <v>202</v>
      </c>
      <c r="B9" s="58" t="s">
        <v>203</v>
      </c>
    </row>
    <row r="10" spans="1:2" ht="19.5" customHeight="1">
      <c r="A10" s="80" t="s">
        <v>204</v>
      </c>
      <c r="B10" s="47" t="s">
        <v>205</v>
      </c>
    </row>
    <row r="11" spans="1:2" ht="21.75" customHeight="1">
      <c r="A11" s="149" t="s">
        <v>206</v>
      </c>
      <c r="B11" s="149"/>
    </row>
    <row r="12" spans="1:2" ht="19.5" customHeight="1">
      <c r="A12" s="80" t="s">
        <v>193</v>
      </c>
      <c r="B12" s="47" t="s">
        <v>207</v>
      </c>
    </row>
    <row r="13" spans="1:2" ht="19.5" customHeight="1">
      <c r="A13" s="79" t="s">
        <v>195</v>
      </c>
      <c r="B13" s="58" t="s">
        <v>208</v>
      </c>
    </row>
    <row r="14" spans="1:2" ht="19.5" customHeight="1">
      <c r="A14" s="80" t="s">
        <v>200</v>
      </c>
      <c r="B14" s="47" t="s">
        <v>209</v>
      </c>
    </row>
    <row r="15" spans="1:2" ht="19.5" customHeight="1">
      <c r="A15" s="79" t="s">
        <v>202</v>
      </c>
      <c r="B15" s="58" t="s">
        <v>210</v>
      </c>
    </row>
  </sheetData>
  <mergeCells count="4">
    <mergeCell ref="A1:B1"/>
    <mergeCell ref="A2:B2"/>
    <mergeCell ref="A5:B5"/>
    <mergeCell ref="A11:B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/>
  <cols>
    <col min="1" max="1" width="12" customWidth="1"/>
    <col min="2" max="2" width="14" customWidth="1"/>
    <col min="3" max="3" width="36" customWidth="1"/>
    <col min="4" max="5" width="15" customWidth="1"/>
    <col min="6" max="6" width="14" customWidth="1"/>
    <col min="7" max="8" width="13" customWidth="1"/>
    <col min="9" max="10" width="19" customWidth="1"/>
    <col min="11" max="11" width="16" customWidth="1"/>
  </cols>
  <sheetData>
    <row r="1" spans="1:11" ht="30" customHeight="1">
      <c r="A1" s="134" t="s">
        <v>22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</row>
    <row r="2" spans="1:11" ht="24" customHeight="1">
      <c r="A2" s="152"/>
      <c r="B2" s="152"/>
      <c r="C2" s="81" t="s">
        <v>240</v>
      </c>
      <c r="D2" s="152">
        <v>2026</v>
      </c>
      <c r="E2" s="152"/>
      <c r="F2" s="81" t="s">
        <v>211</v>
      </c>
      <c r="G2" s="153" t="s">
        <v>212</v>
      </c>
      <c r="H2" s="153"/>
      <c r="I2" s="153"/>
      <c r="J2" s="153"/>
      <c r="K2" s="153"/>
    </row>
    <row r="3" spans="1:11" ht="19.5" customHeight="1">
      <c r="A3" s="154" t="s">
        <v>213</v>
      </c>
      <c r="B3" s="154"/>
      <c r="C3" s="154"/>
      <c r="D3" s="82">
        <f>'كشف الحساب'!$D$2</f>
        <v>0</v>
      </c>
    </row>
    <row r="4" spans="1:11" ht="19.5" customHeight="1">
      <c r="A4" s="83" t="s">
        <v>13</v>
      </c>
      <c r="B4" s="83" t="s">
        <v>14</v>
      </c>
      <c r="C4" s="83" t="s">
        <v>15</v>
      </c>
      <c r="D4" s="83" t="s">
        <v>214</v>
      </c>
      <c r="E4" s="83" t="s">
        <v>215</v>
      </c>
      <c r="F4" s="83" t="s">
        <v>216</v>
      </c>
      <c r="G4" s="83" t="s">
        <v>217</v>
      </c>
      <c r="H4" s="83" t="s">
        <v>218</v>
      </c>
      <c r="I4" s="83" t="s">
        <v>17</v>
      </c>
      <c r="J4" s="83" t="s">
        <v>219</v>
      </c>
      <c r="K4" s="83" t="s">
        <v>178</v>
      </c>
    </row>
    <row r="5" spans="1:11" ht="16.5" customHeight="1">
      <c r="A5" s="56">
        <f>IFERROR(IF(IFERROR(MATCH(1,'كشف الحساب'!$N$4:$N$203,0),0)=0,"",INDEX('كشف الحساب'!$A$4:$A$203,IFERROR(MATCH(1,'كشف الحساب'!$N$4:$N$203,0),0))),"")</f>
        <v>46175</v>
      </c>
      <c r="B5" s="84" t="str">
        <f>IFERROR(IF(IFERROR(MATCH(1,'كشف الحساب'!$N$4:$N$203,0),0)=0,"",INDEX('كشف الحساب'!$B$4:$B$203,IFERROR(MATCH(1,'كشف الحساب'!$N$4:$N$203,0),0))),"")</f>
        <v>Inv-53</v>
      </c>
      <c r="C5" s="58" t="str">
        <f>IFERROR(IF(IFERROR(MATCH(1,'كشف الحساب'!$N$4:$N$203,0),0)=0,"",INDEX('كشف الحساب'!$C$4:$C$203,IFERROR(MATCH(1,'كشف الحساب'!$N$4:$N$203,0),0))),"")</f>
        <v>فل عدد 24 الحبه .750</v>
      </c>
      <c r="D5" s="59">
        <f>IFERROR(IF(IFERROR(MATCH(1,'كشف الحساب'!$N$4:$N$203,0),0)=0,"",INDEX('كشف الحساب'!$D$4:$D$203,IFERROR(MATCH(1,'كشف الحساب'!$N$4:$N$203,0),0))),"")</f>
        <v>0</v>
      </c>
      <c r="E5" s="85">
        <f>IFERROR(IF(IFERROR(MATCH(1,'كشف الحساب'!$N$4:$N$203,0),0)=0,"",INDEX('كشف الحساب'!$E$4:$E$203,IFERROR(MATCH(1,'كشف الحساب'!$N$4:$N$203,0),0))),"")</f>
        <v>18</v>
      </c>
      <c r="F5" s="84" t="str">
        <f>IFERROR(IF(IFERROR(MATCH(1,'كشف الحساب'!$N$4:$N$203,0),0)=0,"",INDEX('كشف الحساب'!$F$4:$F$203,IFERROR(MATCH(1,'كشف الحساب'!$N$4:$N$203,0),0))),"")</f>
        <v>نقداً</v>
      </c>
      <c r="G5" s="84">
        <f>IFERROR(IF(IFERROR(MATCH(1,'كشف الحساب'!$N$4:$N$203,0),0)=0,"",INDEX('كشف الحساب'!$G$4:$G$203,IFERROR(MATCH(1,'كشف الحساب'!$N$4:$N$203,0),0))),"")</f>
        <v>0</v>
      </c>
      <c r="H5" s="84" t="str">
        <f>IFERROR(IF(IFERROR(MATCH(1,'كشف الحساب'!$N$4:$N$203,0),0)=0,"",INDEX('كشف الحساب'!$H$4:$H$203,IFERROR(MATCH(1,'كشف الحساب'!$N$4:$N$203,0),0))),"")</f>
        <v>تم الدفع</v>
      </c>
      <c r="I5" s="84">
        <f>IFERROR(IF(IFERROR(MATCH(1,'كشف الحساب'!$N$4:$N$203,0),0)=0,"",INDEX('كشف الحساب'!$I$4:$I$203,IFERROR(MATCH(1,'كشف الحساب'!$N$4:$N$203,0),0))),"")</f>
        <v>0</v>
      </c>
      <c r="J5" s="65">
        <f>IFERROR(IF(IFERROR(MATCH(1,'كشف الحساب'!$N$4:$N$203,0),0)=0,"",INDEX('كشف الحساب'!$J$4:$J$203,IFERROR(MATCH(1,'كشف الحساب'!$N$4:$N$203,0),0))),"")</f>
        <v>322.35000000000002</v>
      </c>
      <c r="K5" s="84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>
      <c r="A6" s="45">
        <f>IFERROR(IF(IFERROR(MATCH(2,'كشف الحساب'!$N$4:$N$203,0),0)=0,"",INDEX('كشف الحساب'!$A$4:$A$203,IFERROR(MATCH(2,'كشف الحساب'!$N$4:$N$203,0),0))),"")</f>
        <v>46175</v>
      </c>
      <c r="B6" s="86" t="str">
        <f>IFERROR(IF(IFERROR(MATCH(2,'كشف الحساب'!$N$4:$N$203,0),0)=0,"",INDEX('كشف الحساب'!$B$4:$B$203,IFERROR(MATCH(2,'كشف الحساب'!$N$4:$N$203,0),0))),"")</f>
        <v>Inv-54</v>
      </c>
      <c r="C6" s="47" t="str">
        <f>IFERROR(IF(IFERROR(MATCH(2,'كشف الحساب'!$N$4:$N$203,0),0)=0,"",INDEX('كشف الحساب'!$C$4:$C$203,IFERROR(MATCH(2,'كشف الحساب'!$N$4:$N$203,0),0))),"")</f>
        <v>دارسينا خضراء عدد 1 الحبه 2</v>
      </c>
      <c r="D6" s="48">
        <f>IFERROR(IF(IFERROR(MATCH(2,'كشف الحساب'!$N$4:$N$203,0),0)=0,"",INDEX('كشف الحساب'!$D$4:$D$203,IFERROR(MATCH(2,'كشف الحساب'!$N$4:$N$203,0),0))),"")</f>
        <v>0</v>
      </c>
      <c r="E6" s="87">
        <f>IFERROR(IF(IFERROR(MATCH(2,'كشف الحساب'!$N$4:$N$203,0),0)=0,"",INDEX('كشف الحساب'!$E$4:$E$203,IFERROR(MATCH(2,'كشف الحساب'!$N$4:$N$203,0),0))),"")</f>
        <v>2</v>
      </c>
      <c r="F6" s="86" t="str">
        <f>IFERROR(IF(IFERROR(MATCH(2,'كشف الحساب'!$N$4:$N$203,0),0)=0,"",INDEX('كشف الحساب'!$F$4:$F$203,IFERROR(MATCH(2,'كشف الحساب'!$N$4:$N$203,0),0))),"")</f>
        <v>نقداً</v>
      </c>
      <c r="G6" s="86">
        <f>IFERROR(IF(IFERROR(MATCH(2,'كشف الحساب'!$N$4:$N$203,0),0)=0,"",INDEX('كشف الحساب'!$G$4:$G$203,IFERROR(MATCH(2,'كشف الحساب'!$N$4:$N$203,0),0))),"")</f>
        <v>0</v>
      </c>
      <c r="H6" s="86" t="str">
        <f>IFERROR(IF(IFERROR(MATCH(2,'كشف الحساب'!$N$4:$N$203,0),0)=0,"",INDEX('كشف الحساب'!$H$4:$H$203,IFERROR(MATCH(2,'كشف الحساب'!$N$4:$N$203,0),0))),"")</f>
        <v>تم الدفع</v>
      </c>
      <c r="I6" s="86">
        <f>IFERROR(IF(IFERROR(MATCH(2,'كشف الحساب'!$N$4:$N$203,0),0)=0,"",INDEX('كشف الحساب'!$I$4:$I$203,IFERROR(MATCH(2,'كشف الحساب'!$N$4:$N$203,0),0))),"")</f>
        <v>0</v>
      </c>
      <c r="J6" s="54">
        <f>IFERROR(IF(IFERROR(MATCH(2,'كشف الحساب'!$N$4:$N$203,0),0)=0,"",INDEX('كشف الحساب'!$J$4:$J$203,IFERROR(MATCH(2,'كشف الحساب'!$N$4:$N$203,0),0))),"")</f>
        <v>324.35000000000002</v>
      </c>
      <c r="K6" s="86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>
      <c r="A7" s="56">
        <f>IFERROR(IF(IFERROR(MATCH(3,'كشف الحساب'!$N$4:$N$203,0),0)=0,"",INDEX('كشف الحساب'!$A$4:$A$203,IFERROR(MATCH(3,'كشف الحساب'!$N$4:$N$203,0),0))),"")</f>
        <v>46175</v>
      </c>
      <c r="B7" s="84" t="str">
        <f>IFERROR(IF(IFERROR(MATCH(3,'كشف الحساب'!$N$4:$N$203,0),0)=0,"",INDEX('كشف الحساب'!$B$4:$B$203,IFERROR(MATCH(3,'كشف الحساب'!$N$4:$N$203,0),0))),"")</f>
        <v>Inv-55</v>
      </c>
      <c r="C7" s="58" t="str">
        <f>IFERROR(IF(IFERROR(MATCH(3,'كشف الحساب'!$N$4:$N$203,0),0)=0,"",INDEX('كشف الحساب'!$C$4:$C$203,IFERROR(MATCH(3,'كشف الحساب'!$N$4:$N$203,0),0))),"")</f>
        <v>افوبيا عدد 2 الحبه .750</v>
      </c>
      <c r="D7" s="59">
        <f>IFERROR(IF(IFERROR(MATCH(3,'كشف الحساب'!$N$4:$N$203,0),0)=0,"",INDEX('كشف الحساب'!$D$4:$D$203,IFERROR(MATCH(3,'كشف الحساب'!$N$4:$N$203,0),0))),"")</f>
        <v>0</v>
      </c>
      <c r="E7" s="85">
        <f>IFERROR(IF(IFERROR(MATCH(3,'كشف الحساب'!$N$4:$N$203,0),0)=0,"",INDEX('كشف الحساب'!$E$4:$E$203,IFERROR(MATCH(3,'كشف الحساب'!$N$4:$N$203,0),0))),"")</f>
        <v>1.5</v>
      </c>
      <c r="F7" s="84" t="str">
        <f>IFERROR(IF(IFERROR(MATCH(3,'كشف الحساب'!$N$4:$N$203,0),0)=0,"",INDEX('كشف الحساب'!$F$4:$F$203,IFERROR(MATCH(3,'كشف الحساب'!$N$4:$N$203,0),0))),"")</f>
        <v>نقداً</v>
      </c>
      <c r="G7" s="84">
        <f>IFERROR(IF(IFERROR(MATCH(3,'كشف الحساب'!$N$4:$N$203,0),0)=0,"",INDEX('كشف الحساب'!$G$4:$G$203,IFERROR(MATCH(3,'كشف الحساب'!$N$4:$N$203,0),0))),"")</f>
        <v>0</v>
      </c>
      <c r="H7" s="84" t="str">
        <f>IFERROR(IF(IFERROR(MATCH(3,'كشف الحساب'!$N$4:$N$203,0),0)=0,"",INDEX('كشف الحساب'!$H$4:$H$203,IFERROR(MATCH(3,'كشف الحساب'!$N$4:$N$203,0),0))),"")</f>
        <v>تم الدفع</v>
      </c>
      <c r="I7" s="84">
        <f>IFERROR(IF(IFERROR(MATCH(3,'كشف الحساب'!$N$4:$N$203,0),0)=0,"",INDEX('كشف الحساب'!$I$4:$I$203,IFERROR(MATCH(3,'كشف الحساب'!$N$4:$N$203,0),0))),"")</f>
        <v>0</v>
      </c>
      <c r="J7" s="65">
        <f>IFERROR(IF(IFERROR(MATCH(3,'كشف الحساب'!$N$4:$N$203,0),0)=0,"",INDEX('كشف الحساب'!$J$4:$J$203,IFERROR(MATCH(3,'كشف الحساب'!$N$4:$N$203,0),0))),"")</f>
        <v>325.85000000000002</v>
      </c>
      <c r="K7" s="84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>
      <c r="A8" s="45">
        <f>IFERROR(IF(IFERROR(MATCH(4,'كشف الحساب'!$N$4:$N$203,0),0)=0,"",INDEX('كشف الحساب'!$A$4:$A$203,IFERROR(MATCH(4,'كشف الحساب'!$N$4:$N$203,0),0))),"")</f>
        <v>46175</v>
      </c>
      <c r="B8" s="86" t="str">
        <f>IFERROR(IF(IFERROR(MATCH(4,'كشف الحساب'!$N$4:$N$203,0),0)=0,"",INDEX('كشف الحساب'!$B$4:$B$203,IFERROR(MATCH(4,'كشف الحساب'!$N$4:$N$203,0),0))),"")</f>
        <v>Inv-56</v>
      </c>
      <c r="C8" s="47" t="str">
        <f>IFERROR(IF(IFERROR(MATCH(4,'كشف الحساب'!$N$4:$N$203,0),0)=0,"",INDEX('كشف الحساب'!$C$4:$C$203,IFERROR(MATCH(4,'كشف الحساب'!$N$4:$N$203,0),0))),"")</f>
        <v>دارسينا سوداء عدد 3 الحبه 1</v>
      </c>
      <c r="D8" s="48">
        <f>IFERROR(IF(IFERROR(MATCH(4,'كشف الحساب'!$N$4:$N$203,0),0)=0,"",INDEX('كشف الحساب'!$D$4:$D$203,IFERROR(MATCH(4,'كشف الحساب'!$N$4:$N$203,0),0))),"")</f>
        <v>0</v>
      </c>
      <c r="E8" s="87">
        <f>IFERROR(IF(IFERROR(MATCH(4,'كشف الحساب'!$N$4:$N$203,0),0)=0,"",INDEX('كشف الحساب'!$E$4:$E$203,IFERROR(MATCH(4,'كشف الحساب'!$N$4:$N$203,0),0))),"")</f>
        <v>3</v>
      </c>
      <c r="F8" s="86" t="str">
        <f>IFERROR(IF(IFERROR(MATCH(4,'كشف الحساب'!$N$4:$N$203,0),0)=0,"",INDEX('كشف الحساب'!$F$4:$F$203,IFERROR(MATCH(4,'كشف الحساب'!$N$4:$N$203,0),0))),"")</f>
        <v>نقداً</v>
      </c>
      <c r="G8" s="86">
        <f>IFERROR(IF(IFERROR(MATCH(4,'كشف الحساب'!$N$4:$N$203,0),0)=0,"",INDEX('كشف الحساب'!$G$4:$G$203,IFERROR(MATCH(4,'كشف الحساب'!$N$4:$N$203,0),0))),"")</f>
        <v>0</v>
      </c>
      <c r="H8" s="86" t="str">
        <f>IFERROR(IF(IFERROR(MATCH(4,'كشف الحساب'!$N$4:$N$203,0),0)=0,"",INDEX('كشف الحساب'!$H$4:$H$203,IFERROR(MATCH(4,'كشف الحساب'!$N$4:$N$203,0),0))),"")</f>
        <v>تم الدفع</v>
      </c>
      <c r="I8" s="86">
        <f>IFERROR(IF(IFERROR(MATCH(4,'كشف الحساب'!$N$4:$N$203,0),0)=0,"",INDEX('كشف الحساب'!$I$4:$I$203,IFERROR(MATCH(4,'كشف الحساب'!$N$4:$N$203,0),0))),"")</f>
        <v>0</v>
      </c>
      <c r="J8" s="54">
        <f>IFERROR(IF(IFERROR(MATCH(4,'كشف الحساب'!$N$4:$N$203,0),0)=0,"",INDEX('كشف الحساب'!$J$4:$J$203,IFERROR(MATCH(4,'كشف الحساب'!$N$4:$N$203,0),0))),"")</f>
        <v>328.85</v>
      </c>
      <c r="K8" s="86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>
      <c r="A9" s="56">
        <f>IFERROR(IF(IFERROR(MATCH(5,'كشف الحساب'!$N$4:$N$203,0),0)=0,"",INDEX('كشف الحساب'!$A$4:$A$203,IFERROR(MATCH(5,'كشف الحساب'!$N$4:$N$203,0),0))),"")</f>
        <v>46177</v>
      </c>
      <c r="B9" s="84" t="str">
        <f>IFERROR(IF(IFERROR(MATCH(5,'كشف الحساب'!$N$4:$N$203,0),0)=0,"",INDEX('كشف الحساب'!$B$4:$B$203,IFERROR(MATCH(5,'كشف الحساب'!$N$4:$N$203,0),0))),"")</f>
        <v>inv-57</v>
      </c>
      <c r="C9" s="58" t="str">
        <f>IFERROR(IF(IFERROR(MATCH(5,'كشف الحساب'!$N$4:$N$203,0),0)=0,"",INDEX('كشف الحساب'!$C$4:$C$203,IFERROR(MATCH(5,'كشف الحساب'!$N$4:$N$203,0),0))),"")</f>
        <v>فوزير عدد1 قيمه 1</v>
      </c>
      <c r="D9" s="59">
        <f>IFERROR(IF(IFERROR(MATCH(5,'كشف الحساب'!$N$4:$N$203,0),0)=0,"",INDEX('كشف الحساب'!$D$4:$D$203,IFERROR(MATCH(5,'كشف الحساب'!$N$4:$N$203,0),0))),"")</f>
        <v>0</v>
      </c>
      <c r="E9" s="85">
        <f>IFERROR(IF(IFERROR(MATCH(5,'كشف الحساب'!$N$4:$N$203,0),0)=0,"",INDEX('كشف الحساب'!$E$4:$E$203,IFERROR(MATCH(5,'كشف الحساب'!$N$4:$N$203,0),0))),"")</f>
        <v>1</v>
      </c>
      <c r="F9" s="84" t="str">
        <f>IFERROR(IF(IFERROR(MATCH(5,'كشف الحساب'!$N$4:$N$203,0),0)=0,"",INDEX('كشف الحساب'!$F$4:$F$203,IFERROR(MATCH(5,'كشف الحساب'!$N$4:$N$203,0),0))),"")</f>
        <v>نقداً</v>
      </c>
      <c r="G9" s="84">
        <f>IFERROR(IF(IFERROR(MATCH(5,'كشف الحساب'!$N$4:$N$203,0),0)=0,"",INDEX('كشف الحساب'!$G$4:$G$203,IFERROR(MATCH(5,'كشف الحساب'!$N$4:$N$203,0),0))),"")</f>
        <v>0</v>
      </c>
      <c r="H9" s="84" t="str">
        <f>IFERROR(IF(IFERROR(MATCH(5,'كشف الحساب'!$N$4:$N$203,0),0)=0,"",INDEX('كشف الحساب'!$H$4:$H$203,IFERROR(MATCH(5,'كشف الحساب'!$N$4:$N$203,0),0))),"")</f>
        <v>تم الدفع</v>
      </c>
      <c r="I9" s="84">
        <f>IFERROR(IF(IFERROR(MATCH(5,'كشف الحساب'!$N$4:$N$203,0),0)=0,"",INDEX('كشف الحساب'!$I$4:$I$203,IFERROR(MATCH(5,'كشف الحساب'!$N$4:$N$203,0),0))),"")</f>
        <v>0</v>
      </c>
      <c r="J9" s="65">
        <f>IFERROR(IF(IFERROR(MATCH(5,'كشف الحساب'!$N$4:$N$203,0),0)=0,"",INDEX('كشف الحساب'!$J$4:$J$203,IFERROR(MATCH(5,'كشف الحساب'!$N$4:$N$203,0),0))),"")</f>
        <v>329.85</v>
      </c>
      <c r="K9" s="84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>
      <c r="A10" s="45">
        <f>IFERROR(IF(IFERROR(MATCH(6,'كشف الحساب'!$N$4:$N$203,0),0)=0,"",INDEX('كشف الحساب'!$A$4:$A$203,IFERROR(MATCH(6,'كشف الحساب'!$N$4:$N$203,0),0))),"")</f>
        <v>46177</v>
      </c>
      <c r="B10" s="86">
        <f>IFERROR(IF(IFERROR(MATCH(6,'كشف الحساب'!$N$4:$N$203,0),0)=0,"",INDEX('كشف الحساب'!$B$4:$B$203,IFERROR(MATCH(6,'كشف الحساب'!$N$4:$N$203,0),0))),"")</f>
        <v>0</v>
      </c>
      <c r="C10" s="47" t="str">
        <f>IFERROR(IF(IFERROR(MATCH(6,'كشف الحساب'!$N$4:$N$203,0),0)=0,"",INDEX('كشف الحساب'!$C$4:$C$203,IFERROR(MATCH(6,'كشف الحساب'!$N$4:$N$203,0),0))),"")</f>
        <v>سماد</v>
      </c>
      <c r="D10" s="48">
        <f>IFERROR(IF(IFERROR(MATCH(6,'كشف الحساب'!$N$4:$N$203,0),0)=0,"",INDEX('كشف الحساب'!$D$4:$D$203,IFERROR(MATCH(6,'كشف الحساب'!$N$4:$N$203,0),0))),"")</f>
        <v>10</v>
      </c>
      <c r="E10" s="87">
        <f>IFERROR(IF(IFERROR(MATCH(6,'كشف الحساب'!$N$4:$N$203,0),0)=0,"",INDEX('كشف الحساب'!$E$4:$E$203,IFERROR(MATCH(6,'كشف الحساب'!$N$4:$N$203,0),0))),"")</f>
        <v>0</v>
      </c>
      <c r="F10" s="86" t="str">
        <f>IFERROR(IF(IFERROR(MATCH(6,'كشف الحساب'!$N$4:$N$203,0),0)=0,"",INDEX('كشف الحساب'!$F$4:$F$203,IFERROR(MATCH(6,'كشف الحساب'!$N$4:$N$203,0),0))),"")</f>
        <v>نقداً</v>
      </c>
      <c r="G10" s="86" t="str">
        <f>IFERROR(IF(IFERROR(MATCH(6,'كشف الحساب'!$N$4:$N$203,0),0)=0,"",INDEX('كشف الحساب'!$G$4:$G$203,IFERROR(MATCH(6,'كشف الحساب'!$N$4:$N$203,0),0))),"")</f>
        <v>المحفظة</v>
      </c>
      <c r="H10" s="86" t="str">
        <f>IFERROR(IF(IFERROR(MATCH(6,'كشف الحساب'!$N$4:$N$203,0),0)=0,"",INDEX('كشف الحساب'!$H$4:$H$203,IFERROR(MATCH(6,'كشف الحساب'!$N$4:$N$203,0),0))),"")</f>
        <v>تم الدفع</v>
      </c>
      <c r="I10" s="86">
        <f>IFERROR(IF(IFERROR(MATCH(6,'كشف الحساب'!$N$4:$N$203,0),0)=0,"",INDEX('كشف الحساب'!$I$4:$I$203,IFERROR(MATCH(6,'كشف الحساب'!$N$4:$N$203,0),0))),"")</f>
        <v>0</v>
      </c>
      <c r="J10" s="54">
        <f>IFERROR(IF(IFERROR(MATCH(6,'كشف الحساب'!$N$4:$N$203,0),0)=0,"",INDEX('كشف الحساب'!$J$4:$J$203,IFERROR(MATCH(6,'كشف الحساب'!$N$4:$N$203,0),0))),"")</f>
        <v>319.85000000000002</v>
      </c>
      <c r="K10" s="86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>
      <c r="A11" s="56">
        <f>IFERROR(IF(IFERROR(MATCH(7,'كشف الحساب'!$N$4:$N$203,0),0)=0,"",INDEX('كشف الحساب'!$A$4:$A$203,IFERROR(MATCH(7,'كشف الحساب'!$N$4:$N$203,0),0))),"")</f>
        <v>46177</v>
      </c>
      <c r="B11" s="84">
        <f>IFERROR(IF(IFERROR(MATCH(7,'كشف الحساب'!$N$4:$N$203,0),0)=0,"",INDEX('كشف الحساب'!$B$4:$B$203,IFERROR(MATCH(7,'كشف الحساب'!$N$4:$N$203,0),0))),"")</f>
        <v>0</v>
      </c>
      <c r="C11" s="58" t="str">
        <f>IFERROR(IF(IFERROR(MATCH(7,'كشف الحساب'!$N$4:$N$203,0),0)=0,"",INDEX('كشف الحساب'!$C$4:$C$203,IFERROR(MATCH(7,'كشف الحساب'!$N$4:$N$203,0),0))),"")</f>
        <v>تاير لعربة الرش</v>
      </c>
      <c r="D11" s="59">
        <f>IFERROR(IF(IFERROR(MATCH(7,'كشف الحساب'!$N$4:$N$203,0),0)=0,"",INDEX('كشف الحساب'!$D$4:$D$203,IFERROR(MATCH(7,'كشف الحساب'!$N$4:$N$203,0),0))),"")</f>
        <v>3.25</v>
      </c>
      <c r="E11" s="85">
        <f>IFERROR(IF(IFERROR(MATCH(7,'كشف الحساب'!$N$4:$N$203,0),0)=0,"",INDEX('كشف الحساب'!$E$4:$E$203,IFERROR(MATCH(7,'كشف الحساب'!$N$4:$N$203,0),0))),"")</f>
        <v>0</v>
      </c>
      <c r="F11" s="84" t="str">
        <f>IFERROR(IF(IFERROR(MATCH(7,'كشف الحساب'!$N$4:$N$203,0),0)=0,"",INDEX('كشف الحساب'!$F$4:$F$203,IFERROR(MATCH(7,'كشف الحساب'!$N$4:$N$203,0),0))),"")</f>
        <v>نقداً</v>
      </c>
      <c r="G11" s="84" t="str">
        <f>IFERROR(IF(IFERROR(MATCH(7,'كشف الحساب'!$N$4:$N$203,0),0)=0,"",INDEX('كشف الحساب'!$G$4:$G$203,IFERROR(MATCH(7,'كشف الحساب'!$N$4:$N$203,0),0))),"")</f>
        <v>المحفظة</v>
      </c>
      <c r="H11" s="84" t="str">
        <f>IFERROR(IF(IFERROR(MATCH(7,'كشف الحساب'!$N$4:$N$203,0),0)=0,"",INDEX('كشف الحساب'!$H$4:$H$203,IFERROR(MATCH(7,'كشف الحساب'!$N$4:$N$203,0),0))),"")</f>
        <v>تم الدفع</v>
      </c>
      <c r="I11" s="84">
        <f>IFERROR(IF(IFERROR(MATCH(7,'كشف الحساب'!$N$4:$N$203,0),0)=0,"",INDEX('كشف الحساب'!$I$4:$I$203,IFERROR(MATCH(7,'كشف الحساب'!$N$4:$N$203,0),0))),"")</f>
        <v>0</v>
      </c>
      <c r="J11" s="65">
        <f>IFERROR(IF(IFERROR(MATCH(7,'كشف الحساب'!$N$4:$N$203,0),0)=0,"",INDEX('كشف الحساب'!$J$4:$J$203,IFERROR(MATCH(7,'كشف الحساب'!$N$4:$N$203,0),0))),"")</f>
        <v>316.60000000000002</v>
      </c>
      <c r="K11" s="84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>
      <c r="A12" s="45">
        <f>IFERROR(IF(IFERROR(MATCH(8,'كشف الحساب'!$N$4:$N$203,0),0)=0,"",INDEX('كشف الحساب'!$A$4:$A$203,IFERROR(MATCH(8,'كشف الحساب'!$N$4:$N$203,0),0))),"")</f>
        <v>46177</v>
      </c>
      <c r="B12" s="86">
        <f>IFERROR(IF(IFERROR(MATCH(8,'كشف الحساب'!$N$4:$N$203,0),0)=0,"",INDEX('كشف الحساب'!$B$4:$B$203,IFERROR(MATCH(8,'كشف الحساب'!$N$4:$N$203,0),0))),"")</f>
        <v>0</v>
      </c>
      <c r="C12" s="47" t="str">
        <f>IFERROR(IF(IFERROR(MATCH(8,'كشف الحساب'!$N$4:$N$203,0),0)=0,"",INDEX('كشف الحساب'!$C$4:$C$203,IFERROR(MATCH(8,'كشف الحساب'!$N$4:$N$203,0),0))),"")</f>
        <v>حفاره خلط السماد</v>
      </c>
      <c r="D12" s="48">
        <f>IFERROR(IF(IFERROR(MATCH(8,'كشف الحساب'!$N$4:$N$203,0),0)=0,"",INDEX('كشف الحساب'!$D$4:$D$203,IFERROR(MATCH(8,'كشف الحساب'!$N$4:$N$203,0),0))),"")</f>
        <v>12</v>
      </c>
      <c r="E12" s="87">
        <f>IFERROR(IF(IFERROR(MATCH(8,'كشف الحساب'!$N$4:$N$203,0),0)=0,"",INDEX('كشف الحساب'!$E$4:$E$203,IFERROR(MATCH(8,'كشف الحساب'!$N$4:$N$203,0),0))),"")</f>
        <v>0</v>
      </c>
      <c r="F12" s="86" t="str">
        <f>IFERROR(IF(IFERROR(MATCH(8,'كشف الحساب'!$N$4:$N$203,0),0)=0,"",INDEX('كشف الحساب'!$F$4:$F$203,IFERROR(MATCH(8,'كشف الحساب'!$N$4:$N$203,0),0))),"")</f>
        <v>نقداً</v>
      </c>
      <c r="G12" s="86" t="str">
        <f>IFERROR(IF(IFERROR(MATCH(8,'كشف الحساب'!$N$4:$N$203,0),0)=0,"",INDEX('كشف الحساب'!$G$4:$G$203,IFERROR(MATCH(8,'كشف الحساب'!$N$4:$N$203,0),0))),"")</f>
        <v>المحفظة</v>
      </c>
      <c r="H12" s="86" t="str">
        <f>IFERROR(IF(IFERROR(MATCH(8,'كشف الحساب'!$N$4:$N$203,0),0)=0,"",INDEX('كشف الحساب'!$H$4:$H$203,IFERROR(MATCH(8,'كشف الحساب'!$N$4:$N$203,0),0))),"")</f>
        <v>تم الدفع</v>
      </c>
      <c r="I12" s="86">
        <f>IFERROR(IF(IFERROR(MATCH(8,'كشف الحساب'!$N$4:$N$203,0),0)=0,"",INDEX('كشف الحساب'!$I$4:$I$203,IFERROR(MATCH(8,'كشف الحساب'!$N$4:$N$203,0),0))),"")</f>
        <v>0</v>
      </c>
      <c r="J12" s="54">
        <f>IFERROR(IF(IFERROR(MATCH(8,'كشف الحساب'!$N$4:$N$203,0),0)=0,"",INDEX('كشف الحساب'!$J$4:$J$203,IFERROR(MATCH(8,'كشف الحساب'!$N$4:$N$203,0),0))),"")</f>
        <v>304.60000000000002</v>
      </c>
      <c r="K12" s="86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>
      <c r="A13" s="56">
        <f>IFERROR(IF(IFERROR(MATCH(9,'كشف الحساب'!$N$4:$N$203,0),0)=0,"",INDEX('كشف الحساب'!$A$4:$A$203,IFERROR(MATCH(9,'كشف الحساب'!$N$4:$N$203,0),0))),"")</f>
        <v>46179</v>
      </c>
      <c r="B13" s="84" t="str">
        <f>IFERROR(IF(IFERROR(MATCH(9,'كشف الحساب'!$N$4:$N$203,0),0)=0,"",INDEX('كشف الحساب'!$B$4:$B$203,IFERROR(MATCH(9,'كشف الحساب'!$N$4:$N$203,0),0))),"")</f>
        <v>Inv-58</v>
      </c>
      <c r="C13" s="58" t="str">
        <f>IFERROR(IF(IFERROR(MATCH(9,'كشف الحساب'!$N$4:$N$203,0),0)=0,"",INDEX('كشف الحساب'!$C$4:$C$203,IFERROR(MATCH(9,'كشف الحساب'!$N$4:$N$203,0),0))),"")</f>
        <v>دارسينا عدد3 بقيمه 1 للحبه</v>
      </c>
      <c r="D13" s="59">
        <f>IFERROR(IF(IFERROR(MATCH(9,'كشف الحساب'!$N$4:$N$203,0),0)=0,"",INDEX('كشف الحساب'!$D$4:$D$203,IFERROR(MATCH(9,'كشف الحساب'!$N$4:$N$203,0),0))),"")</f>
        <v>0</v>
      </c>
      <c r="E13" s="85">
        <f>IFERROR(IF(IFERROR(MATCH(9,'كشف الحساب'!$N$4:$N$203,0),0)=0,"",INDEX('كشف الحساب'!$E$4:$E$203,IFERROR(MATCH(9,'كشف الحساب'!$N$4:$N$203,0),0))),"")</f>
        <v>3</v>
      </c>
      <c r="F13" s="84" t="str">
        <f>IFERROR(IF(IFERROR(MATCH(9,'كشف الحساب'!$N$4:$N$203,0),0)=0,"",INDEX('كشف الحساب'!$F$4:$F$203,IFERROR(MATCH(9,'كشف الحساب'!$N$4:$N$203,0),0))),"")</f>
        <v>نقداً</v>
      </c>
      <c r="G13" s="84">
        <f>IFERROR(IF(IFERROR(MATCH(9,'كشف الحساب'!$N$4:$N$203,0),0)=0,"",INDEX('كشف الحساب'!$G$4:$G$203,IFERROR(MATCH(9,'كشف الحساب'!$N$4:$N$203,0),0))),"")</f>
        <v>0</v>
      </c>
      <c r="H13" s="84" t="str">
        <f>IFERROR(IF(IFERROR(MATCH(9,'كشف الحساب'!$N$4:$N$203,0),0)=0,"",INDEX('كشف الحساب'!$H$4:$H$203,IFERROR(MATCH(9,'كشف الحساب'!$N$4:$N$203,0),0))),"")</f>
        <v>تم الدفع</v>
      </c>
      <c r="I13" s="84">
        <f>IFERROR(IF(IFERROR(MATCH(9,'كشف الحساب'!$N$4:$N$203,0),0)=0,"",INDEX('كشف الحساب'!$I$4:$I$203,IFERROR(MATCH(9,'كشف الحساب'!$N$4:$N$203,0),0))),"")</f>
        <v>0</v>
      </c>
      <c r="J13" s="65">
        <f>IFERROR(IF(IFERROR(MATCH(9,'كشف الحساب'!$N$4:$N$203,0),0)=0,"",INDEX('كشف الحساب'!$J$4:$J$203,IFERROR(MATCH(9,'كشف الحساب'!$N$4:$N$203,0),0))),"")</f>
        <v>307.60000000000002</v>
      </c>
      <c r="K13" s="84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>
      <c r="A14" s="45">
        <f>IFERROR(IF(IFERROR(MATCH(10,'كشف الحساب'!$N$4:$N$203,0),0)=0,"",INDEX('كشف الحساب'!$A$4:$A$203,IFERROR(MATCH(10,'كشف الحساب'!$N$4:$N$203,0),0))),"")</f>
        <v>46179</v>
      </c>
      <c r="B14" s="86" t="str">
        <f>IFERROR(IF(IFERROR(MATCH(10,'كشف الحساب'!$N$4:$N$203,0),0)=0,"",INDEX('كشف الحساب'!$B$4:$B$203,IFERROR(MATCH(10,'كشف الحساب'!$N$4:$N$203,0),0))),"")</f>
        <v>Inv-59</v>
      </c>
      <c r="C14" s="47" t="str">
        <f>IFERROR(IF(IFERROR(MATCH(10,'كشف الحساب'!$N$4:$N$203,0),0)=0,"",INDEX('كشف الحساب'!$C$4:$C$203,IFERROR(MATCH(10,'كشف الحساب'!$N$4:$N$203,0),0))),"")</f>
        <v>ودليه عدد 1 بقيمه 1</v>
      </c>
      <c r="D14" s="48">
        <f>IFERROR(IF(IFERROR(MATCH(10,'كشف الحساب'!$N$4:$N$203,0),0)=0,"",INDEX('كشف الحساب'!$D$4:$D$203,IFERROR(MATCH(10,'كشف الحساب'!$N$4:$N$203,0),0))),"")</f>
        <v>0</v>
      </c>
      <c r="E14" s="87">
        <f>IFERROR(IF(IFERROR(MATCH(10,'كشف الحساب'!$N$4:$N$203,0),0)=0,"",INDEX('كشف الحساب'!$E$4:$E$203,IFERROR(MATCH(10,'كشف الحساب'!$N$4:$N$203,0),0))),"")</f>
        <v>1</v>
      </c>
      <c r="F14" s="86" t="str">
        <f>IFERROR(IF(IFERROR(MATCH(10,'كشف الحساب'!$N$4:$N$203,0),0)=0,"",INDEX('كشف الحساب'!$F$4:$F$203,IFERROR(MATCH(10,'كشف الحساب'!$N$4:$N$203,0),0))),"")</f>
        <v>نقداً</v>
      </c>
      <c r="G14" s="86">
        <f>IFERROR(IF(IFERROR(MATCH(10,'كشف الحساب'!$N$4:$N$203,0),0)=0,"",INDEX('كشف الحساب'!$G$4:$G$203,IFERROR(MATCH(10,'كشف الحساب'!$N$4:$N$203,0),0))),"")</f>
        <v>0</v>
      </c>
      <c r="H14" s="86" t="str">
        <f>IFERROR(IF(IFERROR(MATCH(10,'كشف الحساب'!$N$4:$N$203,0),0)=0,"",INDEX('كشف الحساب'!$H$4:$H$203,IFERROR(MATCH(10,'كشف الحساب'!$N$4:$N$203,0),0))),"")</f>
        <v>تم الدفع</v>
      </c>
      <c r="I14" s="86">
        <f>IFERROR(IF(IFERROR(MATCH(10,'كشف الحساب'!$N$4:$N$203,0),0)=0,"",INDEX('كشف الحساب'!$I$4:$I$203,IFERROR(MATCH(10,'كشف الحساب'!$N$4:$N$203,0),0))),"")</f>
        <v>0</v>
      </c>
      <c r="J14" s="54">
        <f>IFERROR(IF(IFERROR(MATCH(10,'كشف الحساب'!$N$4:$N$203,0),0)=0,"",INDEX('كشف الحساب'!$J$4:$J$203,IFERROR(MATCH(10,'كشف الحساب'!$N$4:$N$203,0),0))),"")</f>
        <v>308.60000000000002</v>
      </c>
      <c r="K14" s="86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>
      <c r="A15" s="56">
        <f>IFERROR(IF(IFERROR(MATCH(11,'كشف الحساب'!$N$4:$N$203,0),0)=0,"",INDEX('كشف الحساب'!$A$4:$A$203,IFERROR(MATCH(11,'كشف الحساب'!$N$4:$N$203,0),0))),"")</f>
        <v>46179</v>
      </c>
      <c r="B15" s="84" t="str">
        <f>IFERROR(IF(IFERROR(MATCH(11,'كشف الحساب'!$N$4:$N$203,0),0)=0,"",INDEX('كشف الحساب'!$B$4:$B$203,IFERROR(MATCH(11,'كشف الحساب'!$N$4:$N$203,0),0))),"")</f>
        <v>Inv-60</v>
      </c>
      <c r="C15" s="58" t="str">
        <f>IFERROR(IF(IFERROR(MATCH(11,'كشف الحساب'!$N$4:$N$203,0),0)=0,"",INDEX('كشف الحساب'!$C$4:$C$203,IFERROR(MATCH(11,'كشف الحساب'!$N$4:$N$203,0),0))),"")</f>
        <v>دارسينا حمراء عدد 1 بقيمه 3</v>
      </c>
      <c r="D15" s="59">
        <f>IFERROR(IF(IFERROR(MATCH(11,'كشف الحساب'!$N$4:$N$203,0),0)=0,"",INDEX('كشف الحساب'!$D$4:$D$203,IFERROR(MATCH(11,'كشف الحساب'!$N$4:$N$203,0),0))),"")</f>
        <v>0</v>
      </c>
      <c r="E15" s="85">
        <f>IFERROR(IF(IFERROR(MATCH(11,'كشف الحساب'!$N$4:$N$203,0),0)=0,"",INDEX('كشف الحساب'!$E$4:$E$203,IFERROR(MATCH(11,'كشف الحساب'!$N$4:$N$203,0),0))),"")</f>
        <v>3</v>
      </c>
      <c r="F15" s="84" t="str">
        <f>IFERROR(IF(IFERROR(MATCH(11,'كشف الحساب'!$N$4:$N$203,0),0)=0,"",INDEX('كشف الحساب'!$F$4:$F$203,IFERROR(MATCH(11,'كشف الحساب'!$N$4:$N$203,0),0))),"")</f>
        <v>نقداً</v>
      </c>
      <c r="G15" s="84">
        <f>IFERROR(IF(IFERROR(MATCH(11,'كشف الحساب'!$N$4:$N$203,0),0)=0,"",INDEX('كشف الحساب'!$G$4:$G$203,IFERROR(MATCH(11,'كشف الحساب'!$N$4:$N$203,0),0))),"")</f>
        <v>0</v>
      </c>
      <c r="H15" s="84" t="str">
        <f>IFERROR(IF(IFERROR(MATCH(11,'كشف الحساب'!$N$4:$N$203,0),0)=0,"",INDEX('كشف الحساب'!$H$4:$H$203,IFERROR(MATCH(11,'كشف الحساب'!$N$4:$N$203,0),0))),"")</f>
        <v>تم الدفع</v>
      </c>
      <c r="I15" s="84">
        <f>IFERROR(IF(IFERROR(MATCH(11,'كشف الحساب'!$N$4:$N$203,0),0)=0,"",INDEX('كشف الحساب'!$I$4:$I$203,IFERROR(MATCH(11,'كشف الحساب'!$N$4:$N$203,0),0))),"")</f>
        <v>0</v>
      </c>
      <c r="J15" s="65">
        <f>IFERROR(IF(IFERROR(MATCH(11,'كشف الحساب'!$N$4:$N$203,0),0)=0,"",INDEX('كشف الحساب'!$J$4:$J$203,IFERROR(MATCH(11,'كشف الحساب'!$N$4:$N$203,0),0))),"")</f>
        <v>311.60000000000002</v>
      </c>
      <c r="K15" s="84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>
      <c r="A16" s="45">
        <f>IFERROR(IF(IFERROR(MATCH(12,'كشف الحساب'!$N$4:$N$203,0),0)=0,"",INDEX('كشف الحساب'!$A$4:$A$203,IFERROR(MATCH(12,'كشف الحساب'!$N$4:$N$203,0),0))),"")</f>
        <v>46181</v>
      </c>
      <c r="B16" s="86" t="str">
        <f>IFERROR(IF(IFERROR(MATCH(12,'كشف الحساب'!$N$4:$N$203,0),0)=0,"",INDEX('كشف الحساب'!$B$4:$B$203,IFERROR(MATCH(12,'كشف الحساب'!$N$4:$N$203,0),0))),"")</f>
        <v>Inv-61</v>
      </c>
      <c r="C16" s="47" t="str">
        <f>IFERROR(IF(IFERROR(MATCH(12,'كشف الحساب'!$N$4:$N$203,0),0)=0,"",INDEX('كشف الحساب'!$C$4:$C$203,IFERROR(MATCH(12,'كشف الحساب'!$N$4:$N$203,0),0))),"")</f>
        <v>فل عدد 20 بقيمه 0.750</v>
      </c>
      <c r="D16" s="48">
        <f>IFERROR(IF(IFERROR(MATCH(12,'كشف الحساب'!$N$4:$N$203,0),0)=0,"",INDEX('كشف الحساب'!$D$4:$D$203,IFERROR(MATCH(12,'كشف الحساب'!$N$4:$N$203,0),0))),"")</f>
        <v>0</v>
      </c>
      <c r="E16" s="87">
        <f>IFERROR(IF(IFERROR(MATCH(12,'كشف الحساب'!$N$4:$N$203,0),0)=0,"",INDEX('كشف الحساب'!$E$4:$E$203,IFERROR(MATCH(12,'كشف الحساب'!$N$4:$N$203,0),0))),"")</f>
        <v>15</v>
      </c>
      <c r="F16" s="86" t="str">
        <f>IFERROR(IF(IFERROR(MATCH(12,'كشف الحساب'!$N$4:$N$203,0),0)=0,"",INDEX('كشف الحساب'!$F$4:$F$203,IFERROR(MATCH(12,'كشف الحساب'!$N$4:$N$203,0),0))),"")</f>
        <v>نقداً</v>
      </c>
      <c r="G16" s="86">
        <f>IFERROR(IF(IFERROR(MATCH(12,'كشف الحساب'!$N$4:$N$203,0),0)=0,"",INDEX('كشف الحساب'!$G$4:$G$203,IFERROR(MATCH(12,'كشف الحساب'!$N$4:$N$203,0),0))),"")</f>
        <v>0</v>
      </c>
      <c r="H16" s="86" t="str">
        <f>IFERROR(IF(IFERROR(MATCH(12,'كشف الحساب'!$N$4:$N$203,0),0)=0,"",INDEX('كشف الحساب'!$H$4:$H$203,IFERROR(MATCH(12,'كشف الحساب'!$N$4:$N$203,0),0))),"")</f>
        <v>تم الدفع</v>
      </c>
      <c r="I16" s="86">
        <f>IFERROR(IF(IFERROR(MATCH(12,'كشف الحساب'!$N$4:$N$203,0),0)=0,"",INDEX('كشف الحساب'!$I$4:$I$203,IFERROR(MATCH(12,'كشف الحساب'!$N$4:$N$203,0),0))),"")</f>
        <v>0</v>
      </c>
      <c r="J16" s="54">
        <f>IFERROR(IF(IFERROR(MATCH(12,'كشف الحساب'!$N$4:$N$203,0),0)=0,"",INDEX('كشف الحساب'!$J$4:$J$203,IFERROR(MATCH(12,'كشف الحساب'!$N$4:$N$203,0),0))),"")</f>
        <v>326.60000000000002</v>
      </c>
      <c r="K16" s="86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>
      <c r="A17" s="56">
        <f>IFERROR(IF(IFERROR(MATCH(13,'كشف الحساب'!$N$4:$N$203,0),0)=0,"",INDEX('كشف الحساب'!$A$4:$A$203,IFERROR(MATCH(13,'كشف الحساب'!$N$4:$N$203,0),0))),"")</f>
        <v>46181</v>
      </c>
      <c r="B17" s="84">
        <f>IFERROR(IF(IFERROR(MATCH(13,'كشف الحساب'!$N$4:$N$203,0),0)=0,"",INDEX('كشف الحساب'!$B$4:$B$203,IFERROR(MATCH(13,'كشف الحساب'!$N$4:$N$203,0),0))),"")</f>
        <v>0</v>
      </c>
      <c r="C17" s="58" t="str">
        <f>IFERROR(IF(IFERROR(MATCH(13,'كشف الحساب'!$N$4:$N$203,0),0)=0,"",INDEX('كشف الحساب'!$C$4:$C$203,IFERROR(MATCH(13,'كشف الحساب'!$N$4:$N$203,0),0))),"")</f>
        <v>اسمنت اسود للمحميه الصغيره الجديده</v>
      </c>
      <c r="D17" s="59">
        <f>IFERROR(IF(IFERROR(MATCH(13,'كشف الحساب'!$N$4:$N$203,0),0)=0,"",INDEX('كشف الحساب'!$D$4:$D$203,IFERROR(MATCH(13,'كشف الحساب'!$N$4:$N$203,0),0))),"")</f>
        <v>2.8</v>
      </c>
      <c r="E17" s="85">
        <f>IFERROR(IF(IFERROR(MATCH(13,'كشف الحساب'!$N$4:$N$203,0),0)=0,"",INDEX('كشف الحساب'!$E$4:$E$203,IFERROR(MATCH(13,'كشف الحساب'!$N$4:$N$203,0),0))),"")</f>
        <v>0</v>
      </c>
      <c r="F17" s="84" t="str">
        <f>IFERROR(IF(IFERROR(MATCH(13,'كشف الحساب'!$N$4:$N$203,0),0)=0,"",INDEX('كشف الحساب'!$F$4:$F$203,IFERROR(MATCH(13,'كشف الحساب'!$N$4:$N$203,0),0))),"")</f>
        <v>نقداً</v>
      </c>
      <c r="G17" s="84" t="str">
        <f>IFERROR(IF(IFERROR(MATCH(13,'كشف الحساب'!$N$4:$N$203,0),0)=0,"",INDEX('كشف الحساب'!$G$4:$G$203,IFERROR(MATCH(13,'كشف الحساب'!$N$4:$N$203,0),0))),"")</f>
        <v>المحفظة</v>
      </c>
      <c r="H17" s="84" t="str">
        <f>IFERROR(IF(IFERROR(MATCH(13,'كشف الحساب'!$N$4:$N$203,0),0)=0,"",INDEX('كشف الحساب'!$H$4:$H$203,IFERROR(MATCH(13,'كشف الحساب'!$N$4:$N$203,0),0))),"")</f>
        <v>تم الدفع</v>
      </c>
      <c r="I17" s="84">
        <f>IFERROR(IF(IFERROR(MATCH(13,'كشف الحساب'!$N$4:$N$203,0),0)=0,"",INDEX('كشف الحساب'!$I$4:$I$203,IFERROR(MATCH(13,'كشف الحساب'!$N$4:$N$203,0),0))),"")</f>
        <v>0</v>
      </c>
      <c r="J17" s="65">
        <f>IFERROR(IF(IFERROR(MATCH(13,'كشف الحساب'!$N$4:$N$203,0),0)=0,"",INDEX('كشف الحساب'!$J$4:$J$203,IFERROR(MATCH(13,'كشف الحساب'!$N$4:$N$203,0),0))),"")</f>
        <v>323.8</v>
      </c>
      <c r="K17" s="84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>
      <c r="A18" s="45">
        <f>IFERROR(IF(IFERROR(MATCH(14,'كشف الحساب'!$N$4:$N$203,0),0)=0,"",INDEX('كشف الحساب'!$A$4:$A$203,IFERROR(MATCH(14,'كشف الحساب'!$N$4:$N$203,0),0))),"")</f>
        <v>46181</v>
      </c>
      <c r="B18" s="86">
        <f>IFERROR(IF(IFERROR(MATCH(14,'كشف الحساب'!$N$4:$N$203,0),0)=0,"",INDEX('كشف الحساب'!$B$4:$B$203,IFERROR(MATCH(14,'كشف الحساب'!$N$4:$N$203,0),0))),"")</f>
        <v>0</v>
      </c>
      <c r="C18" s="47" t="str">
        <f>IFERROR(IF(IFERROR(MATCH(14,'كشف الحساب'!$N$4:$N$203,0),0)=0,"",INDEX('كشف الحساب'!$C$4:$C$203,IFERROR(MATCH(14,'كشف الحساب'!$N$4:$N$203,0),0))),"")</f>
        <v>حديد اسود للمحميه الصغيره الجديده</v>
      </c>
      <c r="D18" s="48">
        <f>IFERROR(IF(IFERROR(MATCH(14,'كشف الحساب'!$N$4:$N$203,0),0)=0,"",INDEX('كشف الحساب'!$D$4:$D$203,IFERROR(MATCH(14,'كشف الحساب'!$N$4:$N$203,0),0))),"")</f>
        <v>46.75</v>
      </c>
      <c r="E18" s="87">
        <f>IFERROR(IF(IFERROR(MATCH(14,'كشف الحساب'!$N$4:$N$203,0),0)=0,"",INDEX('كشف الحساب'!$E$4:$E$203,IFERROR(MATCH(14,'كشف الحساب'!$N$4:$N$203,0),0))),"")</f>
        <v>0</v>
      </c>
      <c r="F18" s="86" t="str">
        <f>IFERROR(IF(IFERROR(MATCH(14,'كشف الحساب'!$N$4:$N$203,0),0)=0,"",INDEX('كشف الحساب'!$F$4:$F$203,IFERROR(MATCH(14,'كشف الحساب'!$N$4:$N$203,0),0))),"")</f>
        <v>نقداً</v>
      </c>
      <c r="G18" s="86" t="str">
        <f>IFERROR(IF(IFERROR(MATCH(14,'كشف الحساب'!$N$4:$N$203,0),0)=0,"",INDEX('كشف الحساب'!$G$4:$G$203,IFERROR(MATCH(14,'كشف الحساب'!$N$4:$N$203,0),0))),"")</f>
        <v>المحفظة</v>
      </c>
      <c r="H18" s="86" t="str">
        <f>IFERROR(IF(IFERROR(MATCH(14,'كشف الحساب'!$N$4:$N$203,0),0)=0,"",INDEX('كشف الحساب'!$H$4:$H$203,IFERROR(MATCH(14,'كشف الحساب'!$N$4:$N$203,0),0))),"")</f>
        <v>تم الدفع</v>
      </c>
      <c r="I18" s="86">
        <f>IFERROR(IF(IFERROR(MATCH(14,'كشف الحساب'!$N$4:$N$203,0),0)=0,"",INDEX('كشف الحساب'!$I$4:$I$203,IFERROR(MATCH(14,'كشف الحساب'!$N$4:$N$203,0),0))),"")</f>
        <v>0</v>
      </c>
      <c r="J18" s="54">
        <f>IFERROR(IF(IFERROR(MATCH(14,'كشف الحساب'!$N$4:$N$203,0),0)=0,"",INDEX('كشف الحساب'!$J$4:$J$203,IFERROR(MATCH(14,'كشف الحساب'!$N$4:$N$203,0),0))),"")</f>
        <v>277.05</v>
      </c>
      <c r="K18" s="86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>
      <c r="A19" s="56">
        <f>IFERROR(IF(IFERROR(MATCH(15,'كشف الحساب'!$N$4:$N$203,0),0)=0,"",INDEX('كشف الحساب'!$A$4:$A$203,IFERROR(MATCH(15,'كشف الحساب'!$N$4:$N$203,0),0))),"")</f>
        <v>46182</v>
      </c>
      <c r="B19" s="84" t="str">
        <f>IFERROR(IF(IFERROR(MATCH(15,'كشف الحساب'!$N$4:$N$203,0),0)=0,"",INDEX('كشف الحساب'!$B$4:$B$203,IFERROR(MATCH(15,'كشف الحساب'!$N$4:$N$203,0),0))),"")</f>
        <v>Inv-62</v>
      </c>
      <c r="C19" s="58" t="str">
        <f>IFERROR(IF(IFERROR(MATCH(15,'كشف الحساب'!$N$4:$N$203,0),0)=0,"",INDEX('كشف الحساب'!$C$4:$C$203,IFERROR(MATCH(15,'كشف الحساب'!$N$4:$N$203,0),0))),"")</f>
        <v>فل عدد 30 الحبه 0.750</v>
      </c>
      <c r="D19" s="59">
        <f>IFERROR(IF(IFERROR(MATCH(15,'كشف الحساب'!$N$4:$N$203,0),0)=0,"",INDEX('كشف الحساب'!$D$4:$D$203,IFERROR(MATCH(15,'كشف الحساب'!$N$4:$N$203,0),0))),"")</f>
        <v>0</v>
      </c>
      <c r="E19" s="85">
        <f>IFERROR(IF(IFERROR(MATCH(15,'كشف الحساب'!$N$4:$N$203,0),0)=0,"",INDEX('كشف الحساب'!$E$4:$E$203,IFERROR(MATCH(15,'كشف الحساب'!$N$4:$N$203,0),0))),"")</f>
        <v>22.5</v>
      </c>
      <c r="F19" s="84" t="str">
        <f>IFERROR(IF(IFERROR(MATCH(15,'كشف الحساب'!$N$4:$N$203,0),0)=0,"",INDEX('كشف الحساب'!$F$4:$F$203,IFERROR(MATCH(15,'كشف الحساب'!$N$4:$N$203,0),0))),"")</f>
        <v>نقداً</v>
      </c>
      <c r="G19" s="84">
        <f>IFERROR(IF(IFERROR(MATCH(15,'كشف الحساب'!$N$4:$N$203,0),0)=0,"",INDEX('كشف الحساب'!$G$4:$G$203,IFERROR(MATCH(15,'كشف الحساب'!$N$4:$N$203,0),0))),"")</f>
        <v>0</v>
      </c>
      <c r="H19" s="84" t="str">
        <f>IFERROR(IF(IFERROR(MATCH(15,'كشف الحساب'!$N$4:$N$203,0),0)=0,"",INDEX('كشف الحساب'!$H$4:$H$203,IFERROR(MATCH(15,'كشف الحساب'!$N$4:$N$203,0),0))),"")</f>
        <v>تم الدفع</v>
      </c>
      <c r="I19" s="84">
        <f>IFERROR(IF(IFERROR(MATCH(15,'كشف الحساب'!$N$4:$N$203,0),0)=0,"",INDEX('كشف الحساب'!$I$4:$I$203,IFERROR(MATCH(15,'كشف الحساب'!$N$4:$N$203,0),0))),"")</f>
        <v>0</v>
      </c>
      <c r="J19" s="65">
        <f>IFERROR(IF(IFERROR(MATCH(15,'كشف الحساب'!$N$4:$N$203,0),0)=0,"",INDEX('كشف الحساب'!$J$4:$J$203,IFERROR(MATCH(15,'كشف الحساب'!$N$4:$N$203,0),0))),"")</f>
        <v>299.55</v>
      </c>
      <c r="K19" s="84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>
      <c r="A20" s="45">
        <f>IFERROR(IF(IFERROR(MATCH(16,'كشف الحساب'!$N$4:$N$203,0),0)=0,"",INDEX('كشف الحساب'!$A$4:$A$203,IFERROR(MATCH(16,'كشف الحساب'!$N$4:$N$203,0),0))),"")</f>
        <v>46184</v>
      </c>
      <c r="B20" s="86">
        <f>IFERROR(IF(IFERROR(MATCH(16,'كشف الحساب'!$N$4:$N$203,0),0)=0,"",INDEX('كشف الحساب'!$B$4:$B$203,IFERROR(MATCH(16,'كشف الحساب'!$N$4:$N$203,0),0))),"")</f>
        <v>0</v>
      </c>
      <c r="C20" s="47" t="str">
        <f>IFERROR(IF(IFERROR(MATCH(16,'كشف الحساب'!$N$4:$N$203,0),0)=0,"",INDEX('كشف الحساب'!$C$4:$C$203,IFERROR(MATCH(16,'كشف الحساب'!$N$4:$N$203,0),0))),"")</f>
        <v>براغي</v>
      </c>
      <c r="D20" s="48">
        <f>IFERROR(IF(IFERROR(MATCH(16,'كشف الحساب'!$N$4:$N$203,0),0)=0,"",INDEX('كشف الحساب'!$D$4:$D$203,IFERROR(MATCH(16,'كشف الحساب'!$N$4:$N$203,0),0))),"")</f>
        <v>3.5</v>
      </c>
      <c r="E20" s="87">
        <f>IFERROR(IF(IFERROR(MATCH(16,'كشف الحساب'!$N$4:$N$203,0),0)=0,"",INDEX('كشف الحساب'!$E$4:$E$203,IFERROR(MATCH(16,'كشف الحساب'!$N$4:$N$203,0),0))),"")</f>
        <v>0</v>
      </c>
      <c r="F20" s="86" t="str">
        <f>IFERROR(IF(IFERROR(MATCH(16,'كشف الحساب'!$N$4:$N$203,0),0)=0,"",INDEX('كشف الحساب'!$F$4:$F$203,IFERROR(MATCH(16,'كشف الحساب'!$N$4:$N$203,0),0))),"")</f>
        <v>نقداً</v>
      </c>
      <c r="G20" s="86" t="str">
        <f>IFERROR(IF(IFERROR(MATCH(16,'كشف الحساب'!$N$4:$N$203,0),0)=0,"",INDEX('كشف الحساب'!$G$4:$G$203,IFERROR(MATCH(16,'كشف الحساب'!$N$4:$N$203,0),0))),"")</f>
        <v>المحفظة</v>
      </c>
      <c r="H20" s="86" t="str">
        <f>IFERROR(IF(IFERROR(MATCH(16,'كشف الحساب'!$N$4:$N$203,0),0)=0,"",INDEX('كشف الحساب'!$H$4:$H$203,IFERROR(MATCH(16,'كشف الحساب'!$N$4:$N$203,0),0))),"")</f>
        <v>تم الدفع</v>
      </c>
      <c r="I20" s="86">
        <f>IFERROR(IF(IFERROR(MATCH(16,'كشف الحساب'!$N$4:$N$203,0),0)=0,"",INDEX('كشف الحساب'!$I$4:$I$203,IFERROR(MATCH(16,'كشف الحساب'!$N$4:$N$203,0),0))),"")</f>
        <v>0</v>
      </c>
      <c r="J20" s="54">
        <f>IFERROR(IF(IFERROR(MATCH(16,'كشف الحساب'!$N$4:$N$203,0),0)=0,"",INDEX('كشف الحساب'!$J$4:$J$203,IFERROR(MATCH(16,'كشف الحساب'!$N$4:$N$203,0),0))),"")</f>
        <v>296.05</v>
      </c>
      <c r="K20" s="86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>
      <c r="A21" s="56">
        <f>IFERROR(IF(IFERROR(MATCH(17,'كشف الحساب'!$N$4:$N$203,0),0)=0,"",INDEX('كشف الحساب'!$A$4:$A$203,IFERROR(MATCH(17,'كشف الحساب'!$N$4:$N$203,0),0))),"")</f>
        <v>46184</v>
      </c>
      <c r="B21" s="84" t="str">
        <f>IFERROR(IF(IFERROR(MATCH(17,'كشف الحساب'!$N$4:$N$203,0),0)=0,"",INDEX('كشف الحساب'!$B$4:$B$203,IFERROR(MATCH(17,'كشف الحساب'!$N$4:$N$203,0),0))),"")</f>
        <v>Inv-63</v>
      </c>
      <c r="C21" s="58" t="str">
        <f>IFERROR(IF(IFERROR(MATCH(17,'كشف الحساب'!$N$4:$N$203,0),0)=0,"",INDEX('كشف الحساب'!$C$4:$C$203,IFERROR(MATCH(17,'كشف الحساب'!$N$4:$N$203,0),0))),"")</f>
        <v>فل عدد 20 بقيمه 0.750</v>
      </c>
      <c r="D21" s="59">
        <f>IFERROR(IF(IFERROR(MATCH(17,'كشف الحساب'!$N$4:$N$203,0),0)=0,"",INDEX('كشف الحساب'!$D$4:$D$203,IFERROR(MATCH(17,'كشف الحساب'!$N$4:$N$203,0),0))),"")</f>
        <v>0</v>
      </c>
      <c r="E21" s="85">
        <f>IFERROR(IF(IFERROR(MATCH(17,'كشف الحساب'!$N$4:$N$203,0),0)=0,"",INDEX('كشف الحساب'!$E$4:$E$203,IFERROR(MATCH(17,'كشف الحساب'!$N$4:$N$203,0),0))),"")</f>
        <v>15</v>
      </c>
      <c r="F21" s="84" t="str">
        <f>IFERROR(IF(IFERROR(MATCH(17,'كشف الحساب'!$N$4:$N$203,0),0)=0,"",INDEX('كشف الحساب'!$F$4:$F$203,IFERROR(MATCH(17,'كشف الحساب'!$N$4:$N$203,0),0))),"")</f>
        <v>نقداً</v>
      </c>
      <c r="G21" s="84">
        <f>IFERROR(IF(IFERROR(MATCH(17,'كشف الحساب'!$N$4:$N$203,0),0)=0,"",INDEX('كشف الحساب'!$G$4:$G$203,IFERROR(MATCH(17,'كشف الحساب'!$N$4:$N$203,0),0))),"")</f>
        <v>0</v>
      </c>
      <c r="H21" s="84" t="str">
        <f>IFERROR(IF(IFERROR(MATCH(17,'كشف الحساب'!$N$4:$N$203,0),0)=0,"",INDEX('كشف الحساب'!$H$4:$H$203,IFERROR(MATCH(17,'كشف الحساب'!$N$4:$N$203,0),0))),"")</f>
        <v>تم الدفع</v>
      </c>
      <c r="I21" s="84">
        <f>IFERROR(IF(IFERROR(MATCH(17,'كشف الحساب'!$N$4:$N$203,0),0)=0,"",INDEX('كشف الحساب'!$I$4:$I$203,IFERROR(MATCH(17,'كشف الحساب'!$N$4:$N$203,0),0))),"")</f>
        <v>0</v>
      </c>
      <c r="J21" s="65">
        <f>IFERROR(IF(IFERROR(MATCH(17,'كشف الحساب'!$N$4:$N$203,0),0)=0,"",INDEX('كشف الحساب'!$J$4:$J$203,IFERROR(MATCH(17,'كشف الحساب'!$N$4:$N$203,0),0))),"")</f>
        <v>311.05</v>
      </c>
      <c r="K21" s="84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>
      <c r="A22" s="45">
        <f>IFERROR(IF(IFERROR(MATCH(18,'كشف الحساب'!$N$4:$N$203,0),0)=0,"",INDEX('كشف الحساب'!$A$4:$A$203,IFERROR(MATCH(18,'كشف الحساب'!$N$4:$N$203,0),0))),"")</f>
        <v>46185</v>
      </c>
      <c r="B22" s="86">
        <f>IFERROR(IF(IFERROR(MATCH(18,'كشف الحساب'!$N$4:$N$203,0),0)=0,"",INDEX('كشف الحساب'!$B$4:$B$203,IFERROR(MATCH(18,'كشف الحساب'!$N$4:$N$203,0),0))),"")</f>
        <v>0</v>
      </c>
      <c r="C22" s="47" t="str">
        <f>IFERROR(IF(IFERROR(MATCH(18,'كشف الحساب'!$N$4:$N$203,0),0)=0,"",INDEX('كشف الحساب'!$C$4:$C$203,IFERROR(MATCH(18,'كشف الحساب'!$N$4:$N$203,0),0))),"")</f>
        <v>رول لحيم</v>
      </c>
      <c r="D22" s="48">
        <f>IFERROR(IF(IFERROR(MATCH(18,'كشف الحساب'!$N$4:$N$203,0),0)=0,"",INDEX('كشف الحساب'!$D$4:$D$203,IFERROR(MATCH(18,'كشف الحساب'!$N$4:$N$203,0),0))),"")</f>
        <v>2</v>
      </c>
      <c r="E22" s="87">
        <f>IFERROR(IF(IFERROR(MATCH(18,'كشف الحساب'!$N$4:$N$203,0),0)=0,"",INDEX('كشف الحساب'!$E$4:$E$203,IFERROR(MATCH(18,'كشف الحساب'!$N$4:$N$203,0),0))),"")</f>
        <v>0</v>
      </c>
      <c r="F22" s="86" t="str">
        <f>IFERROR(IF(IFERROR(MATCH(18,'كشف الحساب'!$N$4:$N$203,0),0)=0,"",INDEX('كشف الحساب'!$F$4:$F$203,IFERROR(MATCH(18,'كشف الحساب'!$N$4:$N$203,0),0))),"")</f>
        <v>نقداً</v>
      </c>
      <c r="G22" s="86" t="str">
        <f>IFERROR(IF(IFERROR(MATCH(18,'كشف الحساب'!$N$4:$N$203,0),0)=0,"",INDEX('كشف الحساب'!$G$4:$G$203,IFERROR(MATCH(18,'كشف الحساب'!$N$4:$N$203,0),0))),"")</f>
        <v>المحفظة</v>
      </c>
      <c r="H22" s="86" t="str">
        <f>IFERROR(IF(IFERROR(MATCH(18,'كشف الحساب'!$N$4:$N$203,0),0)=0,"",INDEX('كشف الحساب'!$H$4:$H$203,IFERROR(MATCH(18,'كشف الحساب'!$N$4:$N$203,0),0))),"")</f>
        <v>تم الدفع</v>
      </c>
      <c r="I22" s="86">
        <f>IFERROR(IF(IFERROR(MATCH(18,'كشف الحساب'!$N$4:$N$203,0),0)=0,"",INDEX('كشف الحساب'!$I$4:$I$203,IFERROR(MATCH(18,'كشف الحساب'!$N$4:$N$203,0),0))),"")</f>
        <v>0</v>
      </c>
      <c r="J22" s="54">
        <f>IFERROR(IF(IFERROR(MATCH(18,'كشف الحساب'!$N$4:$N$203,0),0)=0,"",INDEX('كشف الحساب'!$J$4:$J$203,IFERROR(MATCH(18,'كشف الحساب'!$N$4:$N$203,0),0))),"")</f>
        <v>309.05</v>
      </c>
      <c r="K22" s="86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>
      <c r="A23" s="56">
        <f>IFERROR(IF(IFERROR(MATCH(19,'كشف الحساب'!$N$4:$N$203,0),0)=0,"",INDEX('كشف الحساب'!$A$4:$A$203,IFERROR(MATCH(19,'كشف الحساب'!$N$4:$N$203,0),0))),"")</f>
        <v>46186</v>
      </c>
      <c r="B23" s="84" t="str">
        <f>IFERROR(IF(IFERROR(MATCH(19,'كشف الحساب'!$N$4:$N$203,0),0)=0,"",INDEX('كشف الحساب'!$B$4:$B$203,IFERROR(MATCH(19,'كشف الحساب'!$N$4:$N$203,0),0))),"")</f>
        <v>Inv-64</v>
      </c>
      <c r="C23" s="58" t="str">
        <f>IFERROR(IF(IFERROR(MATCH(19,'كشف الحساب'!$N$4:$N$203,0),0)=0,"",INDEX('كشف الحساب'!$C$4:$C$203,IFERROR(MATCH(19,'كشف الحساب'!$N$4:$N$203,0),0))),"")</f>
        <v>معلقات عدد 10 الحبه 1</v>
      </c>
      <c r="D23" s="59">
        <f>IFERROR(IF(IFERROR(MATCH(19,'كشف الحساب'!$N$4:$N$203,0),0)=0,"",INDEX('كشف الحساب'!$D$4:$D$203,IFERROR(MATCH(19,'كشف الحساب'!$N$4:$N$203,0),0))),"")</f>
        <v>0</v>
      </c>
      <c r="E23" s="85">
        <f>IFERROR(IF(IFERROR(MATCH(19,'كشف الحساب'!$N$4:$N$203,0),0)=0,"",INDEX('كشف الحساب'!$E$4:$E$203,IFERROR(MATCH(19,'كشف الحساب'!$N$4:$N$203,0),0))),"")</f>
        <v>10</v>
      </c>
      <c r="F23" s="84" t="str">
        <f>IFERROR(IF(IFERROR(MATCH(19,'كشف الحساب'!$N$4:$N$203,0),0)=0,"",INDEX('كشف الحساب'!$F$4:$F$203,IFERROR(MATCH(19,'كشف الحساب'!$N$4:$N$203,0),0))),"")</f>
        <v>نقداً</v>
      </c>
      <c r="G23" s="84">
        <f>IFERROR(IF(IFERROR(MATCH(19,'كشف الحساب'!$N$4:$N$203,0),0)=0,"",INDEX('كشف الحساب'!$G$4:$G$203,IFERROR(MATCH(19,'كشف الحساب'!$N$4:$N$203,0),0))),"")</f>
        <v>0</v>
      </c>
      <c r="H23" s="84" t="str">
        <f>IFERROR(IF(IFERROR(MATCH(19,'كشف الحساب'!$N$4:$N$203,0),0)=0,"",INDEX('كشف الحساب'!$H$4:$H$203,IFERROR(MATCH(19,'كشف الحساب'!$N$4:$N$203,0),0))),"")</f>
        <v>تم الدفع</v>
      </c>
      <c r="I23" s="84">
        <f>IFERROR(IF(IFERROR(MATCH(19,'كشف الحساب'!$N$4:$N$203,0),0)=0,"",INDEX('كشف الحساب'!$I$4:$I$203,IFERROR(MATCH(19,'كشف الحساب'!$N$4:$N$203,0),0))),"")</f>
        <v>0</v>
      </c>
      <c r="J23" s="65">
        <f>IFERROR(IF(IFERROR(MATCH(19,'كشف الحساب'!$N$4:$N$203,0),0)=0,"",INDEX('كشف الحساب'!$J$4:$J$203,IFERROR(MATCH(19,'كشف الحساب'!$N$4:$N$203,0),0))),"")</f>
        <v>319.05</v>
      </c>
      <c r="K23" s="84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>
      <c r="A24" s="45">
        <f>IFERROR(IF(IFERROR(MATCH(20,'كشف الحساب'!$N$4:$N$203,0),0)=0,"",INDEX('كشف الحساب'!$A$4:$A$203,IFERROR(MATCH(20,'كشف الحساب'!$N$4:$N$203,0),0))),"")</f>
        <v>46186</v>
      </c>
      <c r="B24" s="86" t="str">
        <f>IFERROR(IF(IFERROR(MATCH(20,'كشف الحساب'!$N$4:$N$203,0),0)=0,"",INDEX('كشف الحساب'!$B$4:$B$203,IFERROR(MATCH(20,'كشف الحساب'!$N$4:$N$203,0),0))),"")</f>
        <v>Inv-65</v>
      </c>
      <c r="C24" s="47" t="str">
        <f>IFERROR(IF(IFERROR(MATCH(20,'كشف الحساب'!$N$4:$N$203,0),0)=0,"",INDEX('كشف الحساب'!$C$4:$C$203,IFERROR(MATCH(20,'كشف الحساب'!$N$4:$N$203,0),0))),"")</f>
        <v>ودوليه عدد 5 الحبه 1</v>
      </c>
      <c r="D24" s="48">
        <f>IFERROR(IF(IFERROR(MATCH(20,'كشف الحساب'!$N$4:$N$203,0),0)=0,"",INDEX('كشف الحساب'!$D$4:$D$203,IFERROR(MATCH(20,'كشف الحساب'!$N$4:$N$203,0),0))),"")</f>
        <v>0</v>
      </c>
      <c r="E24" s="87">
        <f>IFERROR(IF(IFERROR(MATCH(20,'كشف الحساب'!$N$4:$N$203,0),0)=0,"",INDEX('كشف الحساب'!$E$4:$E$203,IFERROR(MATCH(20,'كشف الحساب'!$N$4:$N$203,0),0))),"")</f>
        <v>5</v>
      </c>
      <c r="F24" s="86" t="str">
        <f>IFERROR(IF(IFERROR(MATCH(20,'كشف الحساب'!$N$4:$N$203,0),0)=0,"",INDEX('كشف الحساب'!$F$4:$F$203,IFERROR(MATCH(20,'كشف الحساب'!$N$4:$N$203,0),0))),"")</f>
        <v>نقداً</v>
      </c>
      <c r="G24" s="86">
        <f>IFERROR(IF(IFERROR(MATCH(20,'كشف الحساب'!$N$4:$N$203,0),0)=0,"",INDEX('كشف الحساب'!$G$4:$G$203,IFERROR(MATCH(20,'كشف الحساب'!$N$4:$N$203,0),0))),"")</f>
        <v>0</v>
      </c>
      <c r="H24" s="86" t="str">
        <f>IFERROR(IF(IFERROR(MATCH(20,'كشف الحساب'!$N$4:$N$203,0),0)=0,"",INDEX('كشف الحساب'!$H$4:$H$203,IFERROR(MATCH(20,'كشف الحساب'!$N$4:$N$203,0),0))),"")</f>
        <v>تم الدفع</v>
      </c>
      <c r="I24" s="86">
        <f>IFERROR(IF(IFERROR(MATCH(20,'كشف الحساب'!$N$4:$N$203,0),0)=0,"",INDEX('كشف الحساب'!$I$4:$I$203,IFERROR(MATCH(20,'كشف الحساب'!$N$4:$N$203,0),0))),"")</f>
        <v>0</v>
      </c>
      <c r="J24" s="54">
        <f>IFERROR(IF(IFERROR(MATCH(20,'كشف الحساب'!$N$4:$N$203,0),0)=0,"",INDEX('كشف الحساب'!$J$4:$J$203,IFERROR(MATCH(20,'كشف الحساب'!$N$4:$N$203,0),0))),"")</f>
        <v>324.05</v>
      </c>
      <c r="K24" s="86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>
      <c r="A25" s="56">
        <f>IFERROR(IF(IFERROR(MATCH(21,'كشف الحساب'!$N$4:$N$203,0),0)=0,"",INDEX('كشف الحساب'!$A$4:$A$203,IFERROR(MATCH(21,'كشف الحساب'!$N$4:$N$203,0),0))),"")</f>
        <v>46187</v>
      </c>
      <c r="B25" s="84">
        <f>IFERROR(IF(IFERROR(MATCH(21,'كشف الحساب'!$N$4:$N$203,0),0)=0,"",INDEX('كشف الحساب'!$B$4:$B$203,IFERROR(MATCH(21,'كشف الحساب'!$N$4:$N$203,0),0))),"")</f>
        <v>0</v>
      </c>
      <c r="C25" s="58" t="str">
        <f>IFERROR(IF(IFERROR(MATCH(21,'كشف الحساب'!$N$4:$N$203,0),0)=0,"",INDEX('كشف الحساب'!$C$4:$C$203,IFERROR(MATCH(21,'كشف الحساب'!$N$4:$N$203,0),0))),"")</f>
        <v>عصايا عدد 2000 احواض معاقات عدد 250</v>
      </c>
      <c r="D25" s="59">
        <f>IFERROR(IF(IFERROR(MATCH(21,'كشف الحساب'!$N$4:$N$203,0),0)=0,"",INDEX('كشف الحساب'!$D$4:$D$203,IFERROR(MATCH(21,'كشف الحساب'!$N$4:$N$203,0),0))),"")</f>
        <v>107.5</v>
      </c>
      <c r="E25" s="85">
        <f>IFERROR(IF(IFERROR(MATCH(21,'كشف الحساب'!$N$4:$N$203,0),0)=0,"",INDEX('كشف الحساب'!$E$4:$E$203,IFERROR(MATCH(21,'كشف الحساب'!$N$4:$N$203,0),0))),"")</f>
        <v>0</v>
      </c>
      <c r="F25" s="84" t="str">
        <f>IFERROR(IF(IFERROR(MATCH(21,'كشف الحساب'!$N$4:$N$203,0),0)=0,"",INDEX('كشف الحساب'!$F$4:$F$203,IFERROR(MATCH(21,'كشف الحساب'!$N$4:$N$203,0),0))),"")</f>
        <v>نقداً</v>
      </c>
      <c r="G25" s="84" t="str">
        <f>IFERROR(IF(IFERROR(MATCH(21,'كشف الحساب'!$N$4:$N$203,0),0)=0,"",INDEX('كشف الحساب'!$G$4:$G$203,IFERROR(MATCH(21,'كشف الحساب'!$N$4:$N$203,0),0))),"")</f>
        <v>أبو اسحاق</v>
      </c>
      <c r="H25" s="84" t="str">
        <f>IFERROR(IF(IFERROR(MATCH(21,'كشف الحساب'!$N$4:$N$203,0),0)=0,"",INDEX('كشف الحساب'!$H$4:$H$203,IFERROR(MATCH(21,'كشف الحساب'!$N$4:$N$203,0),0))),"")</f>
        <v>تم الدفع</v>
      </c>
      <c r="I25" s="84">
        <f>IFERROR(IF(IFERROR(MATCH(21,'كشف الحساب'!$N$4:$N$203,0),0)=0,"",INDEX('كشف الحساب'!$I$4:$I$203,IFERROR(MATCH(21,'كشف الحساب'!$N$4:$N$203,0),0))),"")</f>
        <v>0</v>
      </c>
      <c r="J25" s="65">
        <f>IFERROR(IF(IFERROR(MATCH(21,'كشف الحساب'!$N$4:$N$203,0),0)=0,"",INDEX('كشف الحساب'!$J$4:$J$203,IFERROR(MATCH(21,'كشف الحساب'!$N$4:$N$203,0),0))),"")</f>
        <v>324.05</v>
      </c>
      <c r="K25" s="84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>
      <c r="A26" s="45">
        <f>IFERROR(IF(IFERROR(MATCH(22,'كشف الحساب'!$N$4:$N$203,0),0)=0,"",INDEX('كشف الحساب'!$A$4:$A$203,IFERROR(MATCH(22,'كشف الحساب'!$N$4:$N$203,0),0))),"")</f>
        <v>46189</v>
      </c>
      <c r="B26" s="86" t="str">
        <f>IFERROR(IF(IFERROR(MATCH(22,'كشف الحساب'!$N$4:$N$203,0),0)=0,"",INDEX('كشف الحساب'!$B$4:$B$203,IFERROR(MATCH(22,'كشف الحساب'!$N$4:$N$203,0),0))),"")</f>
        <v>Inv-66</v>
      </c>
      <c r="C26" s="47" t="str">
        <f>IFERROR(IF(IFERROR(MATCH(22,'كشف الحساب'!$N$4:$N$203,0),0)=0,"",INDEX('كشف الحساب'!$C$4:$C$203,IFERROR(MATCH(22,'كشف الحساب'!$N$4:$N$203,0),0))),"")</f>
        <v>شوكليرا عدد10 الحبه 1.500</v>
      </c>
      <c r="D26" s="48">
        <f>IFERROR(IF(IFERROR(MATCH(22,'كشف الحساب'!$N$4:$N$203,0),0)=0,"",INDEX('كشف الحساب'!$D$4:$D$203,IFERROR(MATCH(22,'كشف الحساب'!$N$4:$N$203,0),0))),"")</f>
        <v>0</v>
      </c>
      <c r="E26" s="87">
        <f>IFERROR(IF(IFERROR(MATCH(22,'كشف الحساب'!$N$4:$N$203,0),0)=0,"",INDEX('كشف الحساب'!$E$4:$E$203,IFERROR(MATCH(22,'كشف الحساب'!$N$4:$N$203,0),0))),"")</f>
        <v>15</v>
      </c>
      <c r="F26" s="86" t="str">
        <f>IFERROR(IF(IFERROR(MATCH(22,'كشف الحساب'!$N$4:$N$203,0),0)=0,"",INDEX('كشف الحساب'!$F$4:$F$203,IFERROR(MATCH(22,'كشف الحساب'!$N$4:$N$203,0),0))),"")</f>
        <v>أون لاين</v>
      </c>
      <c r="G26" s="86">
        <f>IFERROR(IF(IFERROR(MATCH(22,'كشف الحساب'!$N$4:$N$203,0),0)=0,"",INDEX('كشف الحساب'!$G$4:$G$203,IFERROR(MATCH(22,'كشف الحساب'!$N$4:$N$203,0),0))),"")</f>
        <v>0</v>
      </c>
      <c r="H26" s="86" t="str">
        <f>IFERROR(IF(IFERROR(MATCH(22,'كشف الحساب'!$N$4:$N$203,0),0)=0,"",INDEX('كشف الحساب'!$H$4:$H$203,IFERROR(MATCH(22,'كشف الحساب'!$N$4:$N$203,0),0))),"")</f>
        <v>تم الدفع</v>
      </c>
      <c r="I26" s="86">
        <f>IFERROR(IF(IFERROR(MATCH(22,'كشف الحساب'!$N$4:$N$203,0),0)=0,"",INDEX('كشف الحساب'!$I$4:$I$203,IFERROR(MATCH(22,'كشف الحساب'!$N$4:$N$203,0),0))),"")</f>
        <v>0</v>
      </c>
      <c r="J26" s="54">
        <f>IFERROR(IF(IFERROR(MATCH(22,'كشف الحساب'!$N$4:$N$203,0),0)=0,"",INDEX('كشف الحساب'!$J$4:$J$203,IFERROR(MATCH(22,'كشف الحساب'!$N$4:$N$203,0),0))),"")</f>
        <v>339.05</v>
      </c>
      <c r="K26" s="86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>
      <c r="A27" s="56">
        <f>IFERROR(IF(IFERROR(MATCH(23,'كشف الحساب'!$N$4:$N$203,0),0)=0,"",INDEX('كشف الحساب'!$A$4:$A$203,IFERROR(MATCH(23,'كشف الحساب'!$N$4:$N$203,0),0))),"")</f>
        <v>46189</v>
      </c>
      <c r="B27" s="84" t="str">
        <f>IFERROR(IF(IFERROR(MATCH(23,'كشف الحساب'!$N$4:$N$203,0),0)=0,"",INDEX('كشف الحساب'!$B$4:$B$203,IFERROR(MATCH(23,'كشف الحساب'!$N$4:$N$203,0),0))),"")</f>
        <v>Inv-67</v>
      </c>
      <c r="C27" s="58" t="str">
        <f>IFERROR(IF(IFERROR(MATCH(23,'كشف الحساب'!$N$4:$N$203,0),0)=0,"",INDEX('كشف الحساب'!$C$4:$C$203,IFERROR(MATCH(23,'كشف الحساب'!$N$4:$N$203,0),0))),"")</f>
        <v>فيكس عدد7 الحبه 1</v>
      </c>
      <c r="D27" s="59">
        <f>IFERROR(IF(IFERROR(MATCH(23,'كشف الحساب'!$N$4:$N$203,0),0)=0,"",INDEX('كشف الحساب'!$D$4:$D$203,IFERROR(MATCH(23,'كشف الحساب'!$N$4:$N$203,0),0))),"")</f>
        <v>0</v>
      </c>
      <c r="E27" s="85">
        <f>IFERROR(IF(IFERROR(MATCH(23,'كشف الحساب'!$N$4:$N$203,0),0)=0,"",INDEX('كشف الحساب'!$E$4:$E$203,IFERROR(MATCH(23,'كشف الحساب'!$N$4:$N$203,0),0))),"")</f>
        <v>7</v>
      </c>
      <c r="F27" s="84" t="str">
        <f>IFERROR(IF(IFERROR(MATCH(23,'كشف الحساب'!$N$4:$N$203,0),0)=0,"",INDEX('كشف الحساب'!$F$4:$F$203,IFERROR(MATCH(23,'كشف الحساب'!$N$4:$N$203,0),0))),"")</f>
        <v>أون لاين</v>
      </c>
      <c r="G27" s="84">
        <f>IFERROR(IF(IFERROR(MATCH(23,'كشف الحساب'!$N$4:$N$203,0),0)=0,"",INDEX('كشف الحساب'!$G$4:$G$203,IFERROR(MATCH(23,'كشف الحساب'!$N$4:$N$203,0),0))),"")</f>
        <v>0</v>
      </c>
      <c r="H27" s="84" t="str">
        <f>IFERROR(IF(IFERROR(MATCH(23,'كشف الحساب'!$N$4:$N$203,0),0)=0,"",INDEX('كشف الحساب'!$H$4:$H$203,IFERROR(MATCH(23,'كشف الحساب'!$N$4:$N$203,0),0))),"")</f>
        <v>تم الدفع</v>
      </c>
      <c r="I27" s="84">
        <f>IFERROR(IF(IFERROR(MATCH(23,'كشف الحساب'!$N$4:$N$203,0),0)=0,"",INDEX('كشف الحساب'!$I$4:$I$203,IFERROR(MATCH(23,'كشف الحساب'!$N$4:$N$203,0),0))),"")</f>
        <v>0</v>
      </c>
      <c r="J27" s="65">
        <f>IFERROR(IF(IFERROR(MATCH(23,'كشف الحساب'!$N$4:$N$203,0),0)=0,"",INDEX('كشف الحساب'!$J$4:$J$203,IFERROR(MATCH(23,'كشف الحساب'!$N$4:$N$203,0),0))),"")</f>
        <v>346.05</v>
      </c>
      <c r="K27" s="84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>
      <c r="A28" s="45">
        <f>IFERROR(IF(IFERROR(MATCH(24,'كشف الحساب'!$N$4:$N$203,0),0)=0,"",INDEX('كشف الحساب'!$A$4:$A$203,IFERROR(MATCH(24,'كشف الحساب'!$N$4:$N$203,0),0))),"")</f>
        <v>46189</v>
      </c>
      <c r="B28" s="86" t="str">
        <f>IFERROR(IF(IFERROR(MATCH(24,'كشف الحساب'!$N$4:$N$203,0),0)=0,"",INDEX('كشف الحساب'!$B$4:$B$203,IFERROR(MATCH(24,'كشف الحساب'!$N$4:$N$203,0),0))),"")</f>
        <v>Inv-68</v>
      </c>
      <c r="C28" s="47" t="str">
        <f>IFERROR(IF(IFERROR(MATCH(24,'كشف الحساب'!$N$4:$N$203,0),0)=0,"",INDEX('كشف الحساب'!$C$4:$C$203,IFERROR(MATCH(24,'كشف الحساب'!$N$4:$N$203,0),0))),"")</f>
        <v>ربل عدد 5 الحبه 2</v>
      </c>
      <c r="D28" s="48">
        <f>IFERROR(IF(IFERROR(MATCH(24,'كشف الحساب'!$N$4:$N$203,0),0)=0,"",INDEX('كشف الحساب'!$D$4:$D$203,IFERROR(MATCH(24,'كشف الحساب'!$N$4:$N$203,0),0))),"")</f>
        <v>0</v>
      </c>
      <c r="E28" s="87">
        <f>IFERROR(IF(IFERROR(MATCH(24,'كشف الحساب'!$N$4:$N$203,0),0)=0,"",INDEX('كشف الحساب'!$E$4:$E$203,IFERROR(MATCH(24,'كشف الحساب'!$N$4:$N$203,0),0))),"")</f>
        <v>10</v>
      </c>
      <c r="F28" s="86" t="str">
        <f>IFERROR(IF(IFERROR(MATCH(24,'كشف الحساب'!$N$4:$N$203,0),0)=0,"",INDEX('كشف الحساب'!$F$4:$F$203,IFERROR(MATCH(24,'كشف الحساب'!$N$4:$N$203,0),0))),"")</f>
        <v>أون لاين</v>
      </c>
      <c r="G28" s="86">
        <f>IFERROR(IF(IFERROR(MATCH(24,'كشف الحساب'!$N$4:$N$203,0),0)=0,"",INDEX('كشف الحساب'!$G$4:$G$203,IFERROR(MATCH(24,'كشف الحساب'!$N$4:$N$203,0),0))),"")</f>
        <v>0</v>
      </c>
      <c r="H28" s="86" t="str">
        <f>IFERROR(IF(IFERROR(MATCH(24,'كشف الحساب'!$N$4:$N$203,0),0)=0,"",INDEX('كشف الحساب'!$H$4:$H$203,IFERROR(MATCH(24,'كشف الحساب'!$N$4:$N$203,0),0))),"")</f>
        <v>تم الدفع</v>
      </c>
      <c r="I28" s="86">
        <f>IFERROR(IF(IFERROR(MATCH(24,'كشف الحساب'!$N$4:$N$203,0),0)=0,"",INDEX('كشف الحساب'!$I$4:$I$203,IFERROR(MATCH(24,'كشف الحساب'!$N$4:$N$203,0),0))),"")</f>
        <v>0</v>
      </c>
      <c r="J28" s="54">
        <f>IFERROR(IF(IFERROR(MATCH(24,'كشف الحساب'!$N$4:$N$203,0),0)=0,"",INDEX('كشف الحساب'!$J$4:$J$203,IFERROR(MATCH(24,'كشف الحساب'!$N$4:$N$203,0),0))),"")</f>
        <v>356.05</v>
      </c>
      <c r="K28" s="86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>
      <c r="A29" s="56">
        <f>IFERROR(IF(IFERROR(MATCH(25,'كشف الحساب'!$N$4:$N$203,0),0)=0,"",INDEX('كشف الحساب'!$A$4:$A$203,IFERROR(MATCH(25,'كشف الحساب'!$N$4:$N$203,0),0))),"")</f>
        <v>46189</v>
      </c>
      <c r="B29" s="84" t="str">
        <f>IFERROR(IF(IFERROR(MATCH(25,'كشف الحساب'!$N$4:$N$203,0),0)=0,"",INDEX('كشف الحساب'!$B$4:$B$203,IFERROR(MATCH(25,'كشف الحساب'!$N$4:$N$203,0),0))),"")</f>
        <v>Inv-69</v>
      </c>
      <c r="C29" s="58" t="str">
        <f>IFERROR(IF(IFERROR(MATCH(25,'كشف الحساب'!$N$4:$N$203,0),0)=0,"",INDEX('كشف الحساب'!$C$4:$C$203,IFERROR(MATCH(25,'كشف الحساب'!$N$4:$N$203,0),0))),"")</f>
        <v>فل عدد 24 الحبه .750</v>
      </c>
      <c r="D29" s="59">
        <f>IFERROR(IF(IFERROR(MATCH(25,'كشف الحساب'!$N$4:$N$203,0),0)=0,"",INDEX('كشف الحساب'!$D$4:$D$203,IFERROR(MATCH(25,'كشف الحساب'!$N$4:$N$203,0),0))),"")</f>
        <v>0</v>
      </c>
      <c r="E29" s="85">
        <f>IFERROR(IF(IFERROR(MATCH(25,'كشف الحساب'!$N$4:$N$203,0),0)=0,"",INDEX('كشف الحساب'!$E$4:$E$203,IFERROR(MATCH(25,'كشف الحساب'!$N$4:$N$203,0),0))),"")</f>
        <v>18</v>
      </c>
      <c r="F29" s="84" t="str">
        <f>IFERROR(IF(IFERROR(MATCH(25,'كشف الحساب'!$N$4:$N$203,0),0)=0,"",INDEX('كشف الحساب'!$F$4:$F$203,IFERROR(MATCH(25,'كشف الحساب'!$N$4:$N$203,0),0))),"")</f>
        <v>أون لاين</v>
      </c>
      <c r="G29" s="84">
        <f>IFERROR(IF(IFERROR(MATCH(25,'كشف الحساب'!$N$4:$N$203,0),0)=0,"",INDEX('كشف الحساب'!$G$4:$G$203,IFERROR(MATCH(25,'كشف الحساب'!$N$4:$N$203,0),0))),"")</f>
        <v>0</v>
      </c>
      <c r="H29" s="84" t="str">
        <f>IFERROR(IF(IFERROR(MATCH(25,'كشف الحساب'!$N$4:$N$203,0),0)=0,"",INDEX('كشف الحساب'!$H$4:$H$203,IFERROR(MATCH(25,'كشف الحساب'!$N$4:$N$203,0),0))),"")</f>
        <v>تم الدفع</v>
      </c>
      <c r="I29" s="84">
        <f>IFERROR(IF(IFERROR(MATCH(25,'كشف الحساب'!$N$4:$N$203,0),0)=0,"",INDEX('كشف الحساب'!$I$4:$I$203,IFERROR(MATCH(25,'كشف الحساب'!$N$4:$N$203,0),0))),"")</f>
        <v>0</v>
      </c>
      <c r="J29" s="65">
        <f>IFERROR(IF(IFERROR(MATCH(25,'كشف الحساب'!$N$4:$N$203,0),0)=0,"",INDEX('كشف الحساب'!$J$4:$J$203,IFERROR(MATCH(25,'كشف الحساب'!$N$4:$N$203,0),0))),"")</f>
        <v>374.05</v>
      </c>
      <c r="K29" s="84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>
      <c r="A30" s="45">
        <f>IFERROR(IF(IFERROR(MATCH(26,'كشف الحساب'!$N$4:$N$203,0),0)=0,"",INDEX('كشف الحساب'!$A$4:$A$203,IFERROR(MATCH(26,'كشف الحساب'!$N$4:$N$203,0),0))),"")</f>
        <v>46188</v>
      </c>
      <c r="B30" s="86">
        <f>IFERROR(IF(IFERROR(MATCH(26,'كشف الحساب'!$N$4:$N$203,0),0)=0,"",INDEX('كشف الحساب'!$B$4:$B$203,IFERROR(MATCH(26,'كشف الحساب'!$N$4:$N$203,0),0))),"")</f>
        <v>0</v>
      </c>
      <c r="C30" s="47" t="str">
        <f>IFERROR(IF(IFERROR(MATCH(26,'كشف الحساب'!$N$4:$N$203,0),0)=0,"",INDEX('كشف الحساب'!$C$4:$C$203,IFERROR(MATCH(26,'كشف الحساب'!$N$4:$N$203,0),0))),"")</f>
        <v>أقامه عبدول</v>
      </c>
      <c r="D30" s="48">
        <f>IFERROR(IF(IFERROR(MATCH(26,'كشف الحساب'!$N$4:$N$203,0),0)=0,"",INDEX('كشف الحساب'!$D$4:$D$203,IFERROR(MATCH(26,'كشف الحساب'!$N$4:$N$203,0),0))),"")</f>
        <v>25</v>
      </c>
      <c r="E30" s="87">
        <f>IFERROR(IF(IFERROR(MATCH(26,'كشف الحساب'!$N$4:$N$203,0),0)=0,"",INDEX('كشف الحساب'!$E$4:$E$203,IFERROR(MATCH(26,'كشف الحساب'!$N$4:$N$203,0),0))),"")</f>
        <v>0</v>
      </c>
      <c r="F30" s="86" t="str">
        <f>IFERROR(IF(IFERROR(MATCH(26,'كشف الحساب'!$N$4:$N$203,0),0)=0,"",INDEX('كشف الحساب'!$F$4:$F$203,IFERROR(MATCH(26,'كشف الحساب'!$N$4:$N$203,0),0))),"")</f>
        <v>نقداً</v>
      </c>
      <c r="G30" s="86" t="str">
        <f>IFERROR(IF(IFERROR(MATCH(26,'كشف الحساب'!$N$4:$N$203,0),0)=0,"",INDEX('كشف الحساب'!$G$4:$G$203,IFERROR(MATCH(26,'كشف الحساب'!$N$4:$N$203,0),0))),"")</f>
        <v>المحفظة</v>
      </c>
      <c r="H30" s="86" t="str">
        <f>IFERROR(IF(IFERROR(MATCH(26,'كشف الحساب'!$N$4:$N$203,0),0)=0,"",INDEX('كشف الحساب'!$H$4:$H$203,IFERROR(MATCH(26,'كشف الحساب'!$N$4:$N$203,0),0))),"")</f>
        <v>تم الدفع</v>
      </c>
      <c r="I30" s="86">
        <f>IFERROR(IF(IFERROR(MATCH(26,'كشف الحساب'!$N$4:$N$203,0),0)=0,"",INDEX('كشف الحساب'!$I$4:$I$203,IFERROR(MATCH(26,'كشف الحساب'!$N$4:$N$203,0),0))),"")</f>
        <v>0</v>
      </c>
      <c r="J30" s="54">
        <f>IFERROR(IF(IFERROR(MATCH(26,'كشف الحساب'!$N$4:$N$203,0),0)=0,"",INDEX('كشف الحساب'!$J$4:$J$203,IFERROR(MATCH(26,'كشف الحساب'!$N$4:$N$203,0),0))),"")</f>
        <v>349.05</v>
      </c>
      <c r="K30" s="86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>
      <c r="A31" s="56" t="str">
        <f>IFERROR(IF(IFERROR(MATCH(27,'كشف الحساب'!$N$4:$N$203,0),0)=0,"",INDEX('كشف الحساب'!$A$4:$A$203,IFERROR(MATCH(27,'كشف الحساب'!$N$4:$N$203,0),0))),"")</f>
        <v/>
      </c>
      <c r="B31" s="84" t="str">
        <f>IFERROR(IF(IFERROR(MATCH(27,'كشف الحساب'!$N$4:$N$203,0),0)=0,"",INDEX('كشف الحساب'!$B$4:$B$203,IFERROR(MATCH(27,'كشف الحساب'!$N$4:$N$203,0),0))),"")</f>
        <v/>
      </c>
      <c r="C31" s="58" t="str">
        <f>IFERROR(IF(IFERROR(MATCH(27,'كشف الحساب'!$N$4:$N$203,0),0)=0,"",INDEX('كشف الحساب'!$C$4:$C$203,IFERROR(MATCH(27,'كشف الحساب'!$N$4:$N$203,0),0))),"")</f>
        <v/>
      </c>
      <c r="D31" s="59" t="str">
        <f>IFERROR(IF(IFERROR(MATCH(27,'كشف الحساب'!$N$4:$N$203,0),0)=0,"",INDEX('كشف الحساب'!$D$4:$D$203,IFERROR(MATCH(27,'كشف الحساب'!$N$4:$N$203,0),0))),"")</f>
        <v/>
      </c>
      <c r="E31" s="85" t="str">
        <f>IFERROR(IF(IFERROR(MATCH(27,'كشف الحساب'!$N$4:$N$203,0),0)=0,"",INDEX('كشف الحساب'!$E$4:$E$203,IFERROR(MATCH(27,'كشف الحساب'!$N$4:$N$203,0),0))),"")</f>
        <v/>
      </c>
      <c r="F31" s="84" t="str">
        <f>IFERROR(IF(IFERROR(MATCH(27,'كشف الحساب'!$N$4:$N$203,0),0)=0,"",INDEX('كشف الحساب'!$F$4:$F$203,IFERROR(MATCH(27,'كشف الحساب'!$N$4:$N$203,0),0))),"")</f>
        <v/>
      </c>
      <c r="G31" s="84" t="str">
        <f>IFERROR(IF(IFERROR(MATCH(27,'كشف الحساب'!$N$4:$N$203,0),0)=0,"",INDEX('كشف الحساب'!$G$4:$G$203,IFERROR(MATCH(27,'كشف الحساب'!$N$4:$N$203,0),0))),"")</f>
        <v/>
      </c>
      <c r="H31" s="84" t="str">
        <f>IFERROR(IF(IFERROR(MATCH(27,'كشف الحساب'!$N$4:$N$203,0),0)=0,"",INDEX('كشف الحساب'!$H$4:$H$203,IFERROR(MATCH(27,'كشف الحساب'!$N$4:$N$203,0),0))),"")</f>
        <v/>
      </c>
      <c r="I31" s="84" t="str">
        <f>IFERROR(IF(IFERROR(MATCH(27,'كشف الحساب'!$N$4:$N$203,0),0)=0,"",INDEX('كشف الحساب'!$I$4:$I$203,IFERROR(MATCH(27,'كشف الحساب'!$N$4:$N$203,0),0))),"")</f>
        <v/>
      </c>
      <c r="J31" s="65" t="str">
        <f>IFERROR(IF(IFERROR(MATCH(27,'كشف الحساب'!$N$4:$N$203,0),0)=0,"",INDEX('كشف الحساب'!$J$4:$J$203,IFERROR(MATCH(27,'كشف الحساب'!$N$4:$N$203,0),0))),"")</f>
        <v/>
      </c>
      <c r="K31" s="84" t="str">
        <f>IFERROR(IF(IFERROR(MATCH(27,'كشف الحساب'!$N$4:$N$203,0),0)=0,"",INDEX('كشف الحساب'!$K$4:$K$203,IFERROR(MATCH(27,'كشف الحساب'!$N$4:$N$203,0),0))),"")</f>
        <v/>
      </c>
    </row>
    <row r="32" spans="1:11" ht="16.5" customHeight="1">
      <c r="A32" s="45" t="str">
        <f>IFERROR(IF(IFERROR(MATCH(28,'كشف الحساب'!$N$4:$N$203,0),0)=0,"",INDEX('كشف الحساب'!$A$4:$A$203,IFERROR(MATCH(28,'كشف الحساب'!$N$4:$N$203,0),0))),"")</f>
        <v/>
      </c>
      <c r="B32" s="86" t="str">
        <f>IFERROR(IF(IFERROR(MATCH(28,'كشف الحساب'!$N$4:$N$203,0),0)=0,"",INDEX('كشف الحساب'!$B$4:$B$203,IFERROR(MATCH(28,'كشف الحساب'!$N$4:$N$203,0),0))),"")</f>
        <v/>
      </c>
      <c r="C32" s="47" t="str">
        <f>IFERROR(IF(IFERROR(MATCH(28,'كشف الحساب'!$N$4:$N$203,0),0)=0,"",INDEX('كشف الحساب'!$C$4:$C$203,IFERROR(MATCH(28,'كشف الحساب'!$N$4:$N$203,0),0))),"")</f>
        <v/>
      </c>
      <c r="D32" s="48" t="str">
        <f>IFERROR(IF(IFERROR(MATCH(28,'كشف الحساب'!$N$4:$N$203,0),0)=0,"",INDEX('كشف الحساب'!$D$4:$D$203,IFERROR(MATCH(28,'كشف الحساب'!$N$4:$N$203,0),0))),"")</f>
        <v/>
      </c>
      <c r="E32" s="87" t="str">
        <f>IFERROR(IF(IFERROR(MATCH(28,'كشف الحساب'!$N$4:$N$203,0),0)=0,"",INDEX('كشف الحساب'!$E$4:$E$203,IFERROR(MATCH(28,'كشف الحساب'!$N$4:$N$203,0),0))),"")</f>
        <v/>
      </c>
      <c r="F32" s="86" t="str">
        <f>IFERROR(IF(IFERROR(MATCH(28,'كشف الحساب'!$N$4:$N$203,0),0)=0,"",INDEX('كشف الحساب'!$F$4:$F$203,IFERROR(MATCH(28,'كشف الحساب'!$N$4:$N$203,0),0))),"")</f>
        <v/>
      </c>
      <c r="G32" s="86" t="str">
        <f>IFERROR(IF(IFERROR(MATCH(28,'كشف الحساب'!$N$4:$N$203,0),0)=0,"",INDEX('كشف الحساب'!$G$4:$G$203,IFERROR(MATCH(28,'كشف الحساب'!$N$4:$N$203,0),0))),"")</f>
        <v/>
      </c>
      <c r="H32" s="86" t="str">
        <f>IFERROR(IF(IFERROR(MATCH(28,'كشف الحساب'!$N$4:$N$203,0),0)=0,"",INDEX('كشف الحساب'!$H$4:$H$203,IFERROR(MATCH(28,'كشف الحساب'!$N$4:$N$203,0),0))),"")</f>
        <v/>
      </c>
      <c r="I32" s="86" t="str">
        <f>IFERROR(IF(IFERROR(MATCH(28,'كشف الحساب'!$N$4:$N$203,0),0)=0,"",INDEX('كشف الحساب'!$I$4:$I$203,IFERROR(MATCH(28,'كشف الحساب'!$N$4:$N$203,0),0))),"")</f>
        <v/>
      </c>
      <c r="J32" s="54" t="str">
        <f>IFERROR(IF(IFERROR(MATCH(28,'كشف الحساب'!$N$4:$N$203,0),0)=0,"",INDEX('كشف الحساب'!$J$4:$J$203,IFERROR(MATCH(28,'كشف الحساب'!$N$4:$N$203,0),0))),"")</f>
        <v/>
      </c>
      <c r="K32" s="86" t="str">
        <f>IFERROR(IF(IFERROR(MATCH(28,'كشف الحساب'!$N$4:$N$203,0),0)=0,"",INDEX('كشف الحساب'!$K$4:$K$203,IFERROR(MATCH(28,'كشف الحساب'!$N$4:$N$203,0),0))),"")</f>
        <v/>
      </c>
    </row>
    <row r="33" spans="1:11" ht="16.5" customHeight="1">
      <c r="A33" s="56" t="str">
        <f>IFERROR(IF(IFERROR(MATCH(29,'كشف الحساب'!$N$4:$N$203,0),0)=0,"",INDEX('كشف الحساب'!$A$4:$A$203,IFERROR(MATCH(29,'كشف الحساب'!$N$4:$N$203,0),0))),"")</f>
        <v/>
      </c>
      <c r="B33" s="84" t="str">
        <f>IFERROR(IF(IFERROR(MATCH(29,'كشف الحساب'!$N$4:$N$203,0),0)=0,"",INDEX('كشف الحساب'!$B$4:$B$203,IFERROR(MATCH(29,'كشف الحساب'!$N$4:$N$203,0),0))),"")</f>
        <v/>
      </c>
      <c r="C33" s="58" t="str">
        <f>IFERROR(IF(IFERROR(MATCH(29,'كشف الحساب'!$N$4:$N$203,0),0)=0,"",INDEX('كشف الحساب'!$C$4:$C$203,IFERROR(MATCH(29,'كشف الحساب'!$N$4:$N$203,0),0))),"")</f>
        <v/>
      </c>
      <c r="D33" s="59" t="str">
        <f>IFERROR(IF(IFERROR(MATCH(29,'كشف الحساب'!$N$4:$N$203,0),0)=0,"",INDEX('كشف الحساب'!$D$4:$D$203,IFERROR(MATCH(29,'كشف الحساب'!$N$4:$N$203,0),0))),"")</f>
        <v/>
      </c>
      <c r="E33" s="85" t="str">
        <f>IFERROR(IF(IFERROR(MATCH(29,'كشف الحساب'!$N$4:$N$203,0),0)=0,"",INDEX('كشف الحساب'!$E$4:$E$203,IFERROR(MATCH(29,'كشف الحساب'!$N$4:$N$203,0),0))),"")</f>
        <v/>
      </c>
      <c r="F33" s="84" t="str">
        <f>IFERROR(IF(IFERROR(MATCH(29,'كشف الحساب'!$N$4:$N$203,0),0)=0,"",INDEX('كشف الحساب'!$F$4:$F$203,IFERROR(MATCH(29,'كشف الحساب'!$N$4:$N$203,0),0))),"")</f>
        <v/>
      </c>
      <c r="G33" s="84" t="str">
        <f>IFERROR(IF(IFERROR(MATCH(29,'كشف الحساب'!$N$4:$N$203,0),0)=0,"",INDEX('كشف الحساب'!$G$4:$G$203,IFERROR(MATCH(29,'كشف الحساب'!$N$4:$N$203,0),0))),"")</f>
        <v/>
      </c>
      <c r="H33" s="84" t="str">
        <f>IFERROR(IF(IFERROR(MATCH(29,'كشف الحساب'!$N$4:$N$203,0),0)=0,"",INDEX('كشف الحساب'!$H$4:$H$203,IFERROR(MATCH(29,'كشف الحساب'!$N$4:$N$203,0),0))),"")</f>
        <v/>
      </c>
      <c r="I33" s="84" t="str">
        <f>IFERROR(IF(IFERROR(MATCH(29,'كشف الحساب'!$N$4:$N$203,0),0)=0,"",INDEX('كشف الحساب'!$I$4:$I$203,IFERROR(MATCH(29,'كشف الحساب'!$N$4:$N$203,0),0))),"")</f>
        <v/>
      </c>
      <c r="J33" s="65" t="str">
        <f>IFERROR(IF(IFERROR(MATCH(29,'كشف الحساب'!$N$4:$N$203,0),0)=0,"",INDEX('كشف الحساب'!$J$4:$J$203,IFERROR(MATCH(29,'كشف الحساب'!$N$4:$N$203,0),0))),"")</f>
        <v/>
      </c>
      <c r="K33" s="84" t="str">
        <f>IFERROR(IF(IFERROR(MATCH(29,'كشف الحساب'!$N$4:$N$203,0),0)=0,"",INDEX('كشف الحساب'!$K$4:$K$203,IFERROR(MATCH(29,'كشف الحساب'!$N$4:$N$203,0),0))),"")</f>
        <v/>
      </c>
    </row>
    <row r="34" spans="1:11" ht="16.5" customHeight="1">
      <c r="A34" s="45" t="str">
        <f>IFERROR(IF(IFERROR(MATCH(30,'كشف الحساب'!$N$4:$N$203,0),0)=0,"",INDEX('كشف الحساب'!$A$4:$A$203,IFERROR(MATCH(30,'كشف الحساب'!$N$4:$N$203,0),0))),"")</f>
        <v/>
      </c>
      <c r="B34" s="86" t="str">
        <f>IFERROR(IF(IFERROR(MATCH(30,'كشف الحساب'!$N$4:$N$203,0),0)=0,"",INDEX('كشف الحساب'!$B$4:$B$203,IFERROR(MATCH(30,'كشف الحساب'!$N$4:$N$203,0),0))),"")</f>
        <v/>
      </c>
      <c r="C34" s="47" t="str">
        <f>IFERROR(IF(IFERROR(MATCH(30,'كشف الحساب'!$N$4:$N$203,0),0)=0,"",INDEX('كشف الحساب'!$C$4:$C$203,IFERROR(MATCH(30,'كشف الحساب'!$N$4:$N$203,0),0))),"")</f>
        <v/>
      </c>
      <c r="D34" s="48" t="str">
        <f>IFERROR(IF(IFERROR(MATCH(30,'كشف الحساب'!$N$4:$N$203,0),0)=0,"",INDEX('كشف الحساب'!$D$4:$D$203,IFERROR(MATCH(30,'كشف الحساب'!$N$4:$N$203,0),0))),"")</f>
        <v/>
      </c>
      <c r="E34" s="87" t="str">
        <f>IFERROR(IF(IFERROR(MATCH(30,'كشف الحساب'!$N$4:$N$203,0),0)=0,"",INDEX('كشف الحساب'!$E$4:$E$203,IFERROR(MATCH(30,'كشف الحساب'!$N$4:$N$203,0),0))),"")</f>
        <v/>
      </c>
      <c r="F34" s="86" t="str">
        <f>IFERROR(IF(IFERROR(MATCH(30,'كشف الحساب'!$N$4:$N$203,0),0)=0,"",INDEX('كشف الحساب'!$F$4:$F$203,IFERROR(MATCH(30,'كشف الحساب'!$N$4:$N$203,0),0))),"")</f>
        <v/>
      </c>
      <c r="G34" s="86" t="str">
        <f>IFERROR(IF(IFERROR(MATCH(30,'كشف الحساب'!$N$4:$N$203,0),0)=0,"",INDEX('كشف الحساب'!$G$4:$G$203,IFERROR(MATCH(30,'كشف الحساب'!$N$4:$N$203,0),0))),"")</f>
        <v/>
      </c>
      <c r="H34" s="86" t="str">
        <f>IFERROR(IF(IFERROR(MATCH(30,'كشف الحساب'!$N$4:$N$203,0),0)=0,"",INDEX('كشف الحساب'!$H$4:$H$203,IFERROR(MATCH(30,'كشف الحساب'!$N$4:$N$203,0),0))),"")</f>
        <v/>
      </c>
      <c r="I34" s="86" t="str">
        <f>IFERROR(IF(IFERROR(MATCH(30,'كشف الحساب'!$N$4:$N$203,0),0)=0,"",INDEX('كشف الحساب'!$I$4:$I$203,IFERROR(MATCH(30,'كشف الحساب'!$N$4:$N$203,0),0))),"")</f>
        <v/>
      </c>
      <c r="J34" s="54" t="str">
        <f>IFERROR(IF(IFERROR(MATCH(30,'كشف الحساب'!$N$4:$N$203,0),0)=0,"",INDEX('كشف الحساب'!$J$4:$J$203,IFERROR(MATCH(30,'كشف الحساب'!$N$4:$N$203,0),0))),"")</f>
        <v/>
      </c>
      <c r="K34" s="86" t="str">
        <f>IFERROR(IF(IFERROR(MATCH(30,'كشف الحساب'!$N$4:$N$203,0),0)=0,"",INDEX('كشف الحساب'!$K$4:$K$203,IFERROR(MATCH(30,'كشف الحساب'!$N$4:$N$203,0),0))),"")</f>
        <v/>
      </c>
    </row>
    <row r="35" spans="1:11" ht="15" customHeight="1">
      <c r="A35" s="88" t="str">
        <f>IFERROR(IF(IFERROR(MATCH(31,'كشف الحساب'!$N$4:$N$203,0),0)=0,"",INDEX('كشف الحساب'!$A$4:$A$203,IFERROR(MATCH(31,'كشف الحساب'!$N$4:$N$203,0),0))),"")</f>
        <v/>
      </c>
      <c r="B35" s="89" t="str">
        <f>IFERROR(IF(IFERROR(MATCH(31,'كشف الحساب'!$N$4:$N$203,0),0)=0,"",INDEX('كشف الحساب'!$B$4:$B$203,IFERROR(MATCH(31,'كشف الحساب'!$N$4:$N$203,0),0))),"")</f>
        <v/>
      </c>
      <c r="C35" s="90" t="str">
        <f>IFERROR(IF(IFERROR(MATCH(31,'كشف الحساب'!$N$4:$N$203,0),0)=0,"",INDEX('كشف الحساب'!$C$4:$C$203,IFERROR(MATCH(31,'كشف الحساب'!$N$4:$N$203,0),0))),"")</f>
        <v/>
      </c>
      <c r="D35" s="91" t="str">
        <f>IFERROR(IF(IFERROR(MATCH(31,'كشف الحساب'!$N$4:$N$203,0),0)=0,"",INDEX('كشف الحساب'!$D$4:$D$203,IFERROR(MATCH(31,'كشف الحساب'!$N$4:$N$203,0),0))),"")</f>
        <v/>
      </c>
      <c r="E35" s="92" t="str">
        <f>IFERROR(IF(IFERROR(MATCH(31,'كشف الحساب'!$N$4:$N$203,0),0)=0,"",INDEX('كشف الحساب'!$E$4:$E$203,IFERROR(MATCH(31,'كشف الحساب'!$N$4:$N$203,0),0))),"")</f>
        <v/>
      </c>
      <c r="F35" s="89" t="str">
        <f>IFERROR(IF(IFERROR(MATCH(31,'كشف الحساب'!$N$4:$N$203,0),0)=0,"",INDEX('كشف الحساب'!$F$4:$F$203,IFERROR(MATCH(31,'كشف الحساب'!$N$4:$N$203,0),0))),"")</f>
        <v/>
      </c>
      <c r="G35" s="89" t="str">
        <f>IFERROR(IF(IFERROR(MATCH(31,'كشف الحساب'!$N$4:$N$203,0),0)=0,"",INDEX('كشف الحساب'!$G$4:$G$203,IFERROR(MATCH(31,'كشف الحساب'!$N$4:$N$203,0),0))),"")</f>
        <v/>
      </c>
      <c r="H35" s="89" t="str">
        <f>IFERROR(IF(IFERROR(MATCH(31,'كشف الحساب'!$N$4:$N$203,0),0)=0,"",INDEX('كشف الحساب'!$H$4:$H$203,IFERROR(MATCH(31,'كشف الحساب'!$N$4:$N$203,0),0))),"")</f>
        <v/>
      </c>
      <c r="I35" s="89" t="str">
        <f>IFERROR(IF(IFERROR(MATCH(31,'كشف الحساب'!$N$4:$N$203,0),0)=0,"",INDEX('كشف الحساب'!$I$4:$I$203,IFERROR(MATCH(31,'كشف الحساب'!$N$4:$N$203,0),0))),"")</f>
        <v/>
      </c>
      <c r="J35" s="93" t="str">
        <f>IFERROR(IF(IFERROR(MATCH(31,'كشف الحساب'!$N$4:$N$203,0),0)=0,"",INDEX('كشف الحساب'!$J$4:$J$203,IFERROR(MATCH(31,'كشف الحساب'!$N$4:$N$203,0),0))),"")</f>
        <v/>
      </c>
      <c r="K35" s="89" t="str">
        <f>IFERROR(IF(IFERROR(MATCH(31,'كشف الحساب'!$N$4:$N$203,0),0)=0,"",INDEX('كشف الحساب'!$K$4:$K$203,IFERROR(MATCH(31,'كشف الحساب'!$N$4:$N$203,0),0))),"")</f>
        <v/>
      </c>
    </row>
    <row r="36" spans="1:11" ht="15" customHeight="1">
      <c r="A36" s="94" t="str">
        <f>IFERROR(IF(IFERROR(MATCH(32,'كشف الحساب'!$N$4:$N$203,0),0)=0,"",INDEX('كشف الحساب'!$A$4:$A$203,IFERROR(MATCH(32,'كشف الحساب'!$N$4:$N$203,0),0))),"")</f>
        <v/>
      </c>
      <c r="B36" s="95" t="str">
        <f>IFERROR(IF(IFERROR(MATCH(32,'كشف الحساب'!$N$4:$N$203,0),0)=0,"",INDEX('كشف الحساب'!$B$4:$B$203,IFERROR(MATCH(32,'كشف الحساب'!$N$4:$N$203,0),0))),"")</f>
        <v/>
      </c>
      <c r="C36" s="96" t="str">
        <f>IFERROR(IF(IFERROR(MATCH(32,'كشف الحساب'!$N$4:$N$203,0),0)=0,"",INDEX('كشف الحساب'!$C$4:$C$203,IFERROR(MATCH(32,'كشف الحساب'!$N$4:$N$203,0),0))),"")</f>
        <v/>
      </c>
      <c r="D36" s="97" t="str">
        <f>IFERROR(IF(IFERROR(MATCH(32,'كشف الحساب'!$N$4:$N$203,0),0)=0,"",INDEX('كشف الحساب'!$D$4:$D$203,IFERROR(MATCH(32,'كشف الحساب'!$N$4:$N$203,0),0))),"")</f>
        <v/>
      </c>
      <c r="E36" s="98" t="str">
        <f>IFERROR(IF(IFERROR(MATCH(32,'كشف الحساب'!$N$4:$N$203,0),0)=0,"",INDEX('كشف الحساب'!$E$4:$E$203,IFERROR(MATCH(32,'كشف الحساب'!$N$4:$N$203,0),0))),"")</f>
        <v/>
      </c>
      <c r="F36" s="95" t="str">
        <f>IFERROR(IF(IFERROR(MATCH(32,'كشف الحساب'!$N$4:$N$203,0),0)=0,"",INDEX('كشف الحساب'!$F$4:$F$203,IFERROR(MATCH(32,'كشف الحساب'!$N$4:$N$203,0),0))),"")</f>
        <v/>
      </c>
      <c r="G36" s="95" t="str">
        <f>IFERROR(IF(IFERROR(MATCH(32,'كشف الحساب'!$N$4:$N$203,0),0)=0,"",INDEX('كشف الحساب'!$G$4:$G$203,IFERROR(MATCH(32,'كشف الحساب'!$N$4:$N$203,0),0))),"")</f>
        <v/>
      </c>
      <c r="H36" s="95" t="str">
        <f>IFERROR(IF(IFERROR(MATCH(32,'كشف الحساب'!$N$4:$N$203,0),0)=0,"",INDEX('كشف الحساب'!$H$4:$H$203,IFERROR(MATCH(32,'كشف الحساب'!$N$4:$N$203,0),0))),"")</f>
        <v/>
      </c>
      <c r="I36" s="95" t="str">
        <f>IFERROR(IF(IFERROR(MATCH(32,'كشف الحساب'!$N$4:$N$203,0),0)=0,"",INDEX('كشف الحساب'!$I$4:$I$203,IFERROR(MATCH(32,'كشف الحساب'!$N$4:$N$203,0),0))),"")</f>
        <v/>
      </c>
      <c r="J36" s="99" t="str">
        <f>IFERROR(IF(IFERROR(MATCH(32,'كشف الحساب'!$N$4:$N$203,0),0)=0,"",INDEX('كشف الحساب'!$J$4:$J$203,IFERROR(MATCH(32,'كشف الحساب'!$N$4:$N$203,0),0))),"")</f>
        <v/>
      </c>
      <c r="K36" s="95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>
      <c r="A37" s="88" t="str">
        <f>IFERROR(IF(IFERROR(MATCH(33,'كشف الحساب'!$N$4:$N$203,0),0)=0,"",INDEX('كشف الحساب'!$A$4:$A$203,IFERROR(MATCH(33,'كشف الحساب'!$N$4:$N$203,0),0))),"")</f>
        <v/>
      </c>
      <c r="B37" s="89" t="str">
        <f>IFERROR(IF(IFERROR(MATCH(33,'كشف الحساب'!$N$4:$N$203,0),0)=0,"",INDEX('كشف الحساب'!$B$4:$B$203,IFERROR(MATCH(33,'كشف الحساب'!$N$4:$N$203,0),0))),"")</f>
        <v/>
      </c>
      <c r="C37" s="90" t="str">
        <f>IFERROR(IF(IFERROR(MATCH(33,'كشف الحساب'!$N$4:$N$203,0),0)=0,"",INDEX('كشف الحساب'!$C$4:$C$203,IFERROR(MATCH(33,'كشف الحساب'!$N$4:$N$203,0),0))),"")</f>
        <v/>
      </c>
      <c r="D37" s="91" t="str">
        <f>IFERROR(IF(IFERROR(MATCH(33,'كشف الحساب'!$N$4:$N$203,0),0)=0,"",INDEX('كشف الحساب'!$D$4:$D$203,IFERROR(MATCH(33,'كشف الحساب'!$N$4:$N$203,0),0))),"")</f>
        <v/>
      </c>
      <c r="E37" s="92" t="str">
        <f>IFERROR(IF(IFERROR(MATCH(33,'كشف الحساب'!$N$4:$N$203,0),0)=0,"",INDEX('كشف الحساب'!$E$4:$E$203,IFERROR(MATCH(33,'كشف الحساب'!$N$4:$N$203,0),0))),"")</f>
        <v/>
      </c>
      <c r="F37" s="89" t="str">
        <f>IFERROR(IF(IFERROR(MATCH(33,'كشف الحساب'!$N$4:$N$203,0),0)=0,"",INDEX('كشف الحساب'!$F$4:$F$203,IFERROR(MATCH(33,'كشف الحساب'!$N$4:$N$203,0),0))),"")</f>
        <v/>
      </c>
      <c r="G37" s="89" t="str">
        <f>IFERROR(IF(IFERROR(MATCH(33,'كشف الحساب'!$N$4:$N$203,0),0)=0,"",INDEX('كشف الحساب'!$G$4:$G$203,IFERROR(MATCH(33,'كشف الحساب'!$N$4:$N$203,0),0))),"")</f>
        <v/>
      </c>
      <c r="H37" s="89" t="str">
        <f>IFERROR(IF(IFERROR(MATCH(33,'كشف الحساب'!$N$4:$N$203,0),0)=0,"",INDEX('كشف الحساب'!$H$4:$H$203,IFERROR(MATCH(33,'كشف الحساب'!$N$4:$N$203,0),0))),"")</f>
        <v/>
      </c>
      <c r="I37" s="89" t="str">
        <f>IFERROR(IF(IFERROR(MATCH(33,'كشف الحساب'!$N$4:$N$203,0),0)=0,"",INDEX('كشف الحساب'!$I$4:$I$203,IFERROR(MATCH(33,'كشف الحساب'!$N$4:$N$203,0),0))),"")</f>
        <v/>
      </c>
      <c r="J37" s="93" t="str">
        <f>IFERROR(IF(IFERROR(MATCH(33,'كشف الحساب'!$N$4:$N$203,0),0)=0,"",INDEX('كشف الحساب'!$J$4:$J$203,IFERROR(MATCH(33,'كشف الحساب'!$N$4:$N$203,0),0))),"")</f>
        <v/>
      </c>
      <c r="K37" s="89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>
      <c r="A38" s="94" t="str">
        <f>IFERROR(IF(IFERROR(MATCH(34,'كشف الحساب'!$N$4:$N$203,0),0)=0,"",INDEX('كشف الحساب'!$A$4:$A$203,IFERROR(MATCH(34,'كشف الحساب'!$N$4:$N$203,0),0))),"")</f>
        <v/>
      </c>
      <c r="B38" s="95" t="str">
        <f>IFERROR(IF(IFERROR(MATCH(34,'كشف الحساب'!$N$4:$N$203,0),0)=0,"",INDEX('كشف الحساب'!$B$4:$B$203,IFERROR(MATCH(34,'كشف الحساب'!$N$4:$N$203,0),0))),"")</f>
        <v/>
      </c>
      <c r="C38" s="96" t="str">
        <f>IFERROR(IF(IFERROR(MATCH(34,'كشف الحساب'!$N$4:$N$203,0),0)=0,"",INDEX('كشف الحساب'!$C$4:$C$203,IFERROR(MATCH(34,'كشف الحساب'!$N$4:$N$203,0),0))),"")</f>
        <v/>
      </c>
      <c r="D38" s="97" t="str">
        <f>IFERROR(IF(IFERROR(MATCH(34,'كشف الحساب'!$N$4:$N$203,0),0)=0,"",INDEX('كشف الحساب'!$D$4:$D$203,IFERROR(MATCH(34,'كشف الحساب'!$N$4:$N$203,0),0))),"")</f>
        <v/>
      </c>
      <c r="E38" s="98" t="str">
        <f>IFERROR(IF(IFERROR(MATCH(34,'كشف الحساب'!$N$4:$N$203,0),0)=0,"",INDEX('كشف الحساب'!$E$4:$E$203,IFERROR(MATCH(34,'كشف الحساب'!$N$4:$N$203,0),0))),"")</f>
        <v/>
      </c>
      <c r="F38" s="95" t="str">
        <f>IFERROR(IF(IFERROR(MATCH(34,'كشف الحساب'!$N$4:$N$203,0),0)=0,"",INDEX('كشف الحساب'!$F$4:$F$203,IFERROR(MATCH(34,'كشف الحساب'!$N$4:$N$203,0),0))),"")</f>
        <v/>
      </c>
      <c r="G38" s="95" t="str">
        <f>IFERROR(IF(IFERROR(MATCH(34,'كشف الحساب'!$N$4:$N$203,0),0)=0,"",INDEX('كشف الحساب'!$G$4:$G$203,IFERROR(MATCH(34,'كشف الحساب'!$N$4:$N$203,0),0))),"")</f>
        <v/>
      </c>
      <c r="H38" s="95" t="str">
        <f>IFERROR(IF(IFERROR(MATCH(34,'كشف الحساب'!$N$4:$N$203,0),0)=0,"",INDEX('كشف الحساب'!$H$4:$H$203,IFERROR(MATCH(34,'كشف الحساب'!$N$4:$N$203,0),0))),"")</f>
        <v/>
      </c>
      <c r="I38" s="95" t="str">
        <f>IFERROR(IF(IFERROR(MATCH(34,'كشف الحساب'!$N$4:$N$203,0),0)=0,"",INDEX('كشف الحساب'!$I$4:$I$203,IFERROR(MATCH(34,'كشف الحساب'!$N$4:$N$203,0),0))),"")</f>
        <v/>
      </c>
      <c r="J38" s="99" t="str">
        <f>IFERROR(IF(IFERROR(MATCH(34,'كشف الحساب'!$N$4:$N$203,0),0)=0,"",INDEX('كشف الحساب'!$J$4:$J$203,IFERROR(MATCH(34,'كشف الحساب'!$N$4:$N$203,0),0))),"")</f>
        <v/>
      </c>
      <c r="K38" s="95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>
      <c r="A39" s="88" t="str">
        <f>IFERROR(IF(IFERROR(MATCH(35,'كشف الحساب'!$N$4:$N$203,0),0)=0,"",INDEX('كشف الحساب'!$A$4:$A$203,IFERROR(MATCH(35,'كشف الحساب'!$N$4:$N$203,0),0))),"")</f>
        <v/>
      </c>
      <c r="B39" s="89" t="str">
        <f>IFERROR(IF(IFERROR(MATCH(35,'كشف الحساب'!$N$4:$N$203,0),0)=0,"",INDEX('كشف الحساب'!$B$4:$B$203,IFERROR(MATCH(35,'كشف الحساب'!$N$4:$N$203,0),0))),"")</f>
        <v/>
      </c>
      <c r="C39" s="90" t="str">
        <f>IFERROR(IF(IFERROR(MATCH(35,'كشف الحساب'!$N$4:$N$203,0),0)=0,"",INDEX('كشف الحساب'!$C$4:$C$203,IFERROR(MATCH(35,'كشف الحساب'!$N$4:$N$203,0),0))),"")</f>
        <v/>
      </c>
      <c r="D39" s="91" t="str">
        <f>IFERROR(IF(IFERROR(MATCH(35,'كشف الحساب'!$N$4:$N$203,0),0)=0,"",INDEX('كشف الحساب'!$D$4:$D$203,IFERROR(MATCH(35,'كشف الحساب'!$N$4:$N$203,0),0))),"")</f>
        <v/>
      </c>
      <c r="E39" s="92" t="str">
        <f>IFERROR(IF(IFERROR(MATCH(35,'كشف الحساب'!$N$4:$N$203,0),0)=0,"",INDEX('كشف الحساب'!$E$4:$E$203,IFERROR(MATCH(35,'كشف الحساب'!$N$4:$N$203,0),0))),"")</f>
        <v/>
      </c>
      <c r="F39" s="89" t="str">
        <f>IFERROR(IF(IFERROR(MATCH(35,'كشف الحساب'!$N$4:$N$203,0),0)=0,"",INDEX('كشف الحساب'!$F$4:$F$203,IFERROR(MATCH(35,'كشف الحساب'!$N$4:$N$203,0),0))),"")</f>
        <v/>
      </c>
      <c r="G39" s="89" t="str">
        <f>IFERROR(IF(IFERROR(MATCH(35,'كشف الحساب'!$N$4:$N$203,0),0)=0,"",INDEX('كشف الحساب'!$G$4:$G$203,IFERROR(MATCH(35,'كشف الحساب'!$N$4:$N$203,0),0))),"")</f>
        <v/>
      </c>
      <c r="H39" s="89" t="str">
        <f>IFERROR(IF(IFERROR(MATCH(35,'كشف الحساب'!$N$4:$N$203,0),0)=0,"",INDEX('كشف الحساب'!$H$4:$H$203,IFERROR(MATCH(35,'كشف الحساب'!$N$4:$N$203,0),0))),"")</f>
        <v/>
      </c>
      <c r="I39" s="89" t="str">
        <f>IFERROR(IF(IFERROR(MATCH(35,'كشف الحساب'!$N$4:$N$203,0),0)=0,"",INDEX('كشف الحساب'!$I$4:$I$203,IFERROR(MATCH(35,'كشف الحساب'!$N$4:$N$203,0),0))),"")</f>
        <v/>
      </c>
      <c r="J39" s="93" t="str">
        <f>IFERROR(IF(IFERROR(MATCH(35,'كشف الحساب'!$N$4:$N$203,0),0)=0,"",INDEX('كشف الحساب'!$J$4:$J$203,IFERROR(MATCH(35,'كشف الحساب'!$N$4:$N$203,0),0))),"")</f>
        <v/>
      </c>
      <c r="K39" s="89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>
      <c r="A40" s="94" t="str">
        <f>IFERROR(IF(IFERROR(MATCH(36,'كشف الحساب'!$N$4:$N$203,0),0)=0,"",INDEX('كشف الحساب'!$A$4:$A$203,IFERROR(MATCH(36,'كشف الحساب'!$N$4:$N$203,0),0))),"")</f>
        <v/>
      </c>
      <c r="B40" s="95" t="str">
        <f>IFERROR(IF(IFERROR(MATCH(36,'كشف الحساب'!$N$4:$N$203,0),0)=0,"",INDEX('كشف الحساب'!$B$4:$B$203,IFERROR(MATCH(36,'كشف الحساب'!$N$4:$N$203,0),0))),"")</f>
        <v/>
      </c>
      <c r="C40" s="96" t="str">
        <f>IFERROR(IF(IFERROR(MATCH(36,'كشف الحساب'!$N$4:$N$203,0),0)=0,"",INDEX('كشف الحساب'!$C$4:$C$203,IFERROR(MATCH(36,'كشف الحساب'!$N$4:$N$203,0),0))),"")</f>
        <v/>
      </c>
      <c r="D40" s="97" t="str">
        <f>IFERROR(IF(IFERROR(MATCH(36,'كشف الحساب'!$N$4:$N$203,0),0)=0,"",INDEX('كشف الحساب'!$D$4:$D$203,IFERROR(MATCH(36,'كشف الحساب'!$N$4:$N$203,0),0))),"")</f>
        <v/>
      </c>
      <c r="E40" s="98" t="str">
        <f>IFERROR(IF(IFERROR(MATCH(36,'كشف الحساب'!$N$4:$N$203,0),0)=0,"",INDEX('كشف الحساب'!$E$4:$E$203,IFERROR(MATCH(36,'كشف الحساب'!$N$4:$N$203,0),0))),"")</f>
        <v/>
      </c>
      <c r="F40" s="95" t="str">
        <f>IFERROR(IF(IFERROR(MATCH(36,'كشف الحساب'!$N$4:$N$203,0),0)=0,"",INDEX('كشف الحساب'!$F$4:$F$203,IFERROR(MATCH(36,'كشف الحساب'!$N$4:$N$203,0),0))),"")</f>
        <v/>
      </c>
      <c r="G40" s="95" t="str">
        <f>IFERROR(IF(IFERROR(MATCH(36,'كشف الحساب'!$N$4:$N$203,0),0)=0,"",INDEX('كشف الحساب'!$G$4:$G$203,IFERROR(MATCH(36,'كشف الحساب'!$N$4:$N$203,0),0))),"")</f>
        <v/>
      </c>
      <c r="H40" s="95" t="str">
        <f>IFERROR(IF(IFERROR(MATCH(36,'كشف الحساب'!$N$4:$N$203,0),0)=0,"",INDEX('كشف الحساب'!$H$4:$H$203,IFERROR(MATCH(36,'كشف الحساب'!$N$4:$N$203,0),0))),"")</f>
        <v/>
      </c>
      <c r="I40" s="95" t="str">
        <f>IFERROR(IF(IFERROR(MATCH(36,'كشف الحساب'!$N$4:$N$203,0),0)=0,"",INDEX('كشف الحساب'!$I$4:$I$203,IFERROR(MATCH(36,'كشف الحساب'!$N$4:$N$203,0),0))),"")</f>
        <v/>
      </c>
      <c r="J40" s="99" t="str">
        <f>IFERROR(IF(IFERROR(MATCH(36,'كشف الحساب'!$N$4:$N$203,0),0)=0,"",INDEX('كشف الحساب'!$J$4:$J$203,IFERROR(MATCH(36,'كشف الحساب'!$N$4:$N$203,0),0))),"")</f>
        <v/>
      </c>
      <c r="K40" s="95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>
      <c r="A41" s="88" t="str">
        <f>IFERROR(IF(IFERROR(MATCH(37,'كشف الحساب'!$N$4:$N$203,0),0)=0,"",INDEX('كشف الحساب'!$A$4:$A$203,IFERROR(MATCH(37,'كشف الحساب'!$N$4:$N$203,0),0))),"")</f>
        <v/>
      </c>
      <c r="B41" s="89" t="str">
        <f>IFERROR(IF(IFERROR(MATCH(37,'كشف الحساب'!$N$4:$N$203,0),0)=0,"",INDEX('كشف الحساب'!$B$4:$B$203,IFERROR(MATCH(37,'كشف الحساب'!$N$4:$N$203,0),0))),"")</f>
        <v/>
      </c>
      <c r="C41" s="90" t="str">
        <f>IFERROR(IF(IFERROR(MATCH(37,'كشف الحساب'!$N$4:$N$203,0),0)=0,"",INDEX('كشف الحساب'!$C$4:$C$203,IFERROR(MATCH(37,'كشف الحساب'!$N$4:$N$203,0),0))),"")</f>
        <v/>
      </c>
      <c r="D41" s="91" t="str">
        <f>IFERROR(IF(IFERROR(MATCH(37,'كشف الحساب'!$N$4:$N$203,0),0)=0,"",INDEX('كشف الحساب'!$D$4:$D$203,IFERROR(MATCH(37,'كشف الحساب'!$N$4:$N$203,0),0))),"")</f>
        <v/>
      </c>
      <c r="E41" s="92" t="str">
        <f>IFERROR(IF(IFERROR(MATCH(37,'كشف الحساب'!$N$4:$N$203,0),0)=0,"",INDEX('كشف الحساب'!$E$4:$E$203,IFERROR(MATCH(37,'كشف الحساب'!$N$4:$N$203,0),0))),"")</f>
        <v/>
      </c>
      <c r="F41" s="89" t="str">
        <f>IFERROR(IF(IFERROR(MATCH(37,'كشف الحساب'!$N$4:$N$203,0),0)=0,"",INDEX('كشف الحساب'!$F$4:$F$203,IFERROR(MATCH(37,'كشف الحساب'!$N$4:$N$203,0),0))),"")</f>
        <v/>
      </c>
      <c r="G41" s="89" t="str">
        <f>IFERROR(IF(IFERROR(MATCH(37,'كشف الحساب'!$N$4:$N$203,0),0)=0,"",INDEX('كشف الحساب'!$G$4:$G$203,IFERROR(MATCH(37,'كشف الحساب'!$N$4:$N$203,0),0))),"")</f>
        <v/>
      </c>
      <c r="H41" s="89" t="str">
        <f>IFERROR(IF(IFERROR(MATCH(37,'كشف الحساب'!$N$4:$N$203,0),0)=0,"",INDEX('كشف الحساب'!$H$4:$H$203,IFERROR(MATCH(37,'كشف الحساب'!$N$4:$N$203,0),0))),"")</f>
        <v/>
      </c>
      <c r="I41" s="89" t="str">
        <f>IFERROR(IF(IFERROR(MATCH(37,'كشف الحساب'!$N$4:$N$203,0),0)=0,"",INDEX('كشف الحساب'!$I$4:$I$203,IFERROR(MATCH(37,'كشف الحساب'!$N$4:$N$203,0),0))),"")</f>
        <v/>
      </c>
      <c r="J41" s="93" t="str">
        <f>IFERROR(IF(IFERROR(MATCH(37,'كشف الحساب'!$N$4:$N$203,0),0)=0,"",INDEX('كشف الحساب'!$J$4:$J$203,IFERROR(MATCH(37,'كشف الحساب'!$N$4:$N$203,0),0))),"")</f>
        <v/>
      </c>
      <c r="K41" s="89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>
      <c r="A42" s="94" t="str">
        <f>IFERROR(IF(IFERROR(MATCH(38,'كشف الحساب'!$N$4:$N$203,0),0)=0,"",INDEX('كشف الحساب'!$A$4:$A$203,IFERROR(MATCH(38,'كشف الحساب'!$N$4:$N$203,0),0))),"")</f>
        <v/>
      </c>
      <c r="B42" s="95" t="str">
        <f>IFERROR(IF(IFERROR(MATCH(38,'كشف الحساب'!$N$4:$N$203,0),0)=0,"",INDEX('كشف الحساب'!$B$4:$B$203,IFERROR(MATCH(38,'كشف الحساب'!$N$4:$N$203,0),0))),"")</f>
        <v/>
      </c>
      <c r="C42" s="96" t="str">
        <f>IFERROR(IF(IFERROR(MATCH(38,'كشف الحساب'!$N$4:$N$203,0),0)=0,"",INDEX('كشف الحساب'!$C$4:$C$203,IFERROR(MATCH(38,'كشف الحساب'!$N$4:$N$203,0),0))),"")</f>
        <v/>
      </c>
      <c r="D42" s="97" t="str">
        <f>IFERROR(IF(IFERROR(MATCH(38,'كشف الحساب'!$N$4:$N$203,0),0)=0,"",INDEX('كشف الحساب'!$D$4:$D$203,IFERROR(MATCH(38,'كشف الحساب'!$N$4:$N$203,0),0))),"")</f>
        <v/>
      </c>
      <c r="E42" s="98" t="str">
        <f>IFERROR(IF(IFERROR(MATCH(38,'كشف الحساب'!$N$4:$N$203,0),0)=0,"",INDEX('كشف الحساب'!$E$4:$E$203,IFERROR(MATCH(38,'كشف الحساب'!$N$4:$N$203,0),0))),"")</f>
        <v/>
      </c>
      <c r="F42" s="95" t="str">
        <f>IFERROR(IF(IFERROR(MATCH(38,'كشف الحساب'!$N$4:$N$203,0),0)=0,"",INDEX('كشف الحساب'!$F$4:$F$203,IFERROR(MATCH(38,'كشف الحساب'!$N$4:$N$203,0),0))),"")</f>
        <v/>
      </c>
      <c r="G42" s="95" t="str">
        <f>IFERROR(IF(IFERROR(MATCH(38,'كشف الحساب'!$N$4:$N$203,0),0)=0,"",INDEX('كشف الحساب'!$G$4:$G$203,IFERROR(MATCH(38,'كشف الحساب'!$N$4:$N$203,0),0))),"")</f>
        <v/>
      </c>
      <c r="H42" s="95" t="str">
        <f>IFERROR(IF(IFERROR(MATCH(38,'كشف الحساب'!$N$4:$N$203,0),0)=0,"",INDEX('كشف الحساب'!$H$4:$H$203,IFERROR(MATCH(38,'كشف الحساب'!$N$4:$N$203,0),0))),"")</f>
        <v/>
      </c>
      <c r="I42" s="95" t="str">
        <f>IFERROR(IF(IFERROR(MATCH(38,'كشف الحساب'!$N$4:$N$203,0),0)=0,"",INDEX('كشف الحساب'!$I$4:$I$203,IFERROR(MATCH(38,'كشف الحساب'!$N$4:$N$203,0),0))),"")</f>
        <v/>
      </c>
      <c r="J42" s="99" t="str">
        <f>IFERROR(IF(IFERROR(MATCH(38,'كشف الحساب'!$N$4:$N$203,0),0)=0,"",INDEX('كشف الحساب'!$J$4:$J$203,IFERROR(MATCH(38,'كشف الحساب'!$N$4:$N$203,0),0))),"")</f>
        <v/>
      </c>
      <c r="K42" s="95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>
      <c r="A43" s="88" t="str">
        <f>IFERROR(IF(IFERROR(MATCH(39,'كشف الحساب'!$N$4:$N$203,0),0)=0,"",INDEX('كشف الحساب'!$A$4:$A$203,IFERROR(MATCH(39,'كشف الحساب'!$N$4:$N$203,0),0))),"")</f>
        <v/>
      </c>
      <c r="B43" s="89" t="str">
        <f>IFERROR(IF(IFERROR(MATCH(39,'كشف الحساب'!$N$4:$N$203,0),0)=0,"",INDEX('كشف الحساب'!$B$4:$B$203,IFERROR(MATCH(39,'كشف الحساب'!$N$4:$N$203,0),0))),"")</f>
        <v/>
      </c>
      <c r="C43" s="90" t="str">
        <f>IFERROR(IF(IFERROR(MATCH(39,'كشف الحساب'!$N$4:$N$203,0),0)=0,"",INDEX('كشف الحساب'!$C$4:$C$203,IFERROR(MATCH(39,'كشف الحساب'!$N$4:$N$203,0),0))),"")</f>
        <v/>
      </c>
      <c r="D43" s="91" t="str">
        <f>IFERROR(IF(IFERROR(MATCH(39,'كشف الحساب'!$N$4:$N$203,0),0)=0,"",INDEX('كشف الحساب'!$D$4:$D$203,IFERROR(MATCH(39,'كشف الحساب'!$N$4:$N$203,0),0))),"")</f>
        <v/>
      </c>
      <c r="E43" s="92" t="str">
        <f>IFERROR(IF(IFERROR(MATCH(39,'كشف الحساب'!$N$4:$N$203,0),0)=0,"",INDEX('كشف الحساب'!$E$4:$E$203,IFERROR(MATCH(39,'كشف الحساب'!$N$4:$N$203,0),0))),"")</f>
        <v/>
      </c>
      <c r="F43" s="89" t="str">
        <f>IFERROR(IF(IFERROR(MATCH(39,'كشف الحساب'!$N$4:$N$203,0),0)=0,"",INDEX('كشف الحساب'!$F$4:$F$203,IFERROR(MATCH(39,'كشف الحساب'!$N$4:$N$203,0),0))),"")</f>
        <v/>
      </c>
      <c r="G43" s="89" t="str">
        <f>IFERROR(IF(IFERROR(MATCH(39,'كشف الحساب'!$N$4:$N$203,0),0)=0,"",INDEX('كشف الحساب'!$G$4:$G$203,IFERROR(MATCH(39,'كشف الحساب'!$N$4:$N$203,0),0))),"")</f>
        <v/>
      </c>
      <c r="H43" s="89" t="str">
        <f>IFERROR(IF(IFERROR(MATCH(39,'كشف الحساب'!$N$4:$N$203,0),0)=0,"",INDEX('كشف الحساب'!$H$4:$H$203,IFERROR(MATCH(39,'كشف الحساب'!$N$4:$N$203,0),0))),"")</f>
        <v/>
      </c>
      <c r="I43" s="89" t="str">
        <f>IFERROR(IF(IFERROR(MATCH(39,'كشف الحساب'!$N$4:$N$203,0),0)=0,"",INDEX('كشف الحساب'!$I$4:$I$203,IFERROR(MATCH(39,'كشف الحساب'!$N$4:$N$203,0),0))),"")</f>
        <v/>
      </c>
      <c r="J43" s="93" t="str">
        <f>IFERROR(IF(IFERROR(MATCH(39,'كشف الحساب'!$N$4:$N$203,0),0)=0,"",INDEX('كشف الحساب'!$J$4:$J$203,IFERROR(MATCH(39,'كشف الحساب'!$N$4:$N$203,0),0))),"")</f>
        <v/>
      </c>
      <c r="K43" s="89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>
      <c r="A44" s="94" t="str">
        <f>IFERROR(IF(IFERROR(MATCH(40,'كشف الحساب'!$N$4:$N$203,0),0)=0,"",INDEX('كشف الحساب'!$A$4:$A$203,IFERROR(MATCH(40,'كشف الحساب'!$N$4:$N$203,0),0))),"")</f>
        <v/>
      </c>
      <c r="B44" s="95" t="str">
        <f>IFERROR(IF(IFERROR(MATCH(40,'كشف الحساب'!$N$4:$N$203,0),0)=0,"",INDEX('كشف الحساب'!$B$4:$B$203,IFERROR(MATCH(40,'كشف الحساب'!$N$4:$N$203,0),0))),"")</f>
        <v/>
      </c>
      <c r="C44" s="96" t="str">
        <f>IFERROR(IF(IFERROR(MATCH(40,'كشف الحساب'!$N$4:$N$203,0),0)=0,"",INDEX('كشف الحساب'!$C$4:$C$203,IFERROR(MATCH(40,'كشف الحساب'!$N$4:$N$203,0),0))),"")</f>
        <v/>
      </c>
      <c r="D44" s="97" t="str">
        <f>IFERROR(IF(IFERROR(MATCH(40,'كشف الحساب'!$N$4:$N$203,0),0)=0,"",INDEX('كشف الحساب'!$D$4:$D$203,IFERROR(MATCH(40,'كشف الحساب'!$N$4:$N$203,0),0))),"")</f>
        <v/>
      </c>
      <c r="E44" s="98" t="str">
        <f>IFERROR(IF(IFERROR(MATCH(40,'كشف الحساب'!$N$4:$N$203,0),0)=0,"",INDEX('كشف الحساب'!$E$4:$E$203,IFERROR(MATCH(40,'كشف الحساب'!$N$4:$N$203,0),0))),"")</f>
        <v/>
      </c>
      <c r="F44" s="95" t="str">
        <f>IFERROR(IF(IFERROR(MATCH(40,'كشف الحساب'!$N$4:$N$203,0),0)=0,"",INDEX('كشف الحساب'!$F$4:$F$203,IFERROR(MATCH(40,'كشف الحساب'!$N$4:$N$203,0),0))),"")</f>
        <v/>
      </c>
      <c r="G44" s="95" t="str">
        <f>IFERROR(IF(IFERROR(MATCH(40,'كشف الحساب'!$N$4:$N$203,0),0)=0,"",INDEX('كشف الحساب'!$G$4:$G$203,IFERROR(MATCH(40,'كشف الحساب'!$N$4:$N$203,0),0))),"")</f>
        <v/>
      </c>
      <c r="H44" s="95" t="str">
        <f>IFERROR(IF(IFERROR(MATCH(40,'كشف الحساب'!$N$4:$N$203,0),0)=0,"",INDEX('كشف الحساب'!$H$4:$H$203,IFERROR(MATCH(40,'كشف الحساب'!$N$4:$N$203,0),0))),"")</f>
        <v/>
      </c>
      <c r="I44" s="95" t="str">
        <f>IFERROR(IF(IFERROR(MATCH(40,'كشف الحساب'!$N$4:$N$203,0),0)=0,"",INDEX('كشف الحساب'!$I$4:$I$203,IFERROR(MATCH(40,'كشف الحساب'!$N$4:$N$203,0),0))),"")</f>
        <v/>
      </c>
      <c r="J44" s="99" t="str">
        <f>IFERROR(IF(IFERROR(MATCH(40,'كشف الحساب'!$N$4:$N$203,0),0)=0,"",INDEX('كشف الحساب'!$J$4:$J$203,IFERROR(MATCH(40,'كشف الحساب'!$N$4:$N$203,0),0))),"")</f>
        <v/>
      </c>
      <c r="K44" s="95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>
      <c r="A45" s="88" t="str">
        <f>IFERROR(IF(IFERROR(MATCH(41,'كشف الحساب'!$N$4:$N$203,0),0)=0,"",INDEX('كشف الحساب'!$A$4:$A$203,IFERROR(MATCH(41,'كشف الحساب'!$N$4:$N$203,0),0))),"")</f>
        <v/>
      </c>
      <c r="B45" s="89" t="str">
        <f>IFERROR(IF(IFERROR(MATCH(41,'كشف الحساب'!$N$4:$N$203,0),0)=0,"",INDEX('كشف الحساب'!$B$4:$B$203,IFERROR(MATCH(41,'كشف الحساب'!$N$4:$N$203,0),0))),"")</f>
        <v/>
      </c>
      <c r="C45" s="90" t="str">
        <f>IFERROR(IF(IFERROR(MATCH(41,'كشف الحساب'!$N$4:$N$203,0),0)=0,"",INDEX('كشف الحساب'!$C$4:$C$203,IFERROR(MATCH(41,'كشف الحساب'!$N$4:$N$203,0),0))),"")</f>
        <v/>
      </c>
      <c r="D45" s="91" t="str">
        <f>IFERROR(IF(IFERROR(MATCH(41,'كشف الحساب'!$N$4:$N$203,0),0)=0,"",INDEX('كشف الحساب'!$D$4:$D$203,IFERROR(MATCH(41,'كشف الحساب'!$N$4:$N$203,0),0))),"")</f>
        <v/>
      </c>
      <c r="E45" s="92" t="str">
        <f>IFERROR(IF(IFERROR(MATCH(41,'كشف الحساب'!$N$4:$N$203,0),0)=0,"",INDEX('كشف الحساب'!$E$4:$E$203,IFERROR(MATCH(41,'كشف الحساب'!$N$4:$N$203,0),0))),"")</f>
        <v/>
      </c>
      <c r="F45" s="89" t="str">
        <f>IFERROR(IF(IFERROR(MATCH(41,'كشف الحساب'!$N$4:$N$203,0),0)=0,"",INDEX('كشف الحساب'!$F$4:$F$203,IFERROR(MATCH(41,'كشف الحساب'!$N$4:$N$203,0),0))),"")</f>
        <v/>
      </c>
      <c r="G45" s="89" t="str">
        <f>IFERROR(IF(IFERROR(MATCH(41,'كشف الحساب'!$N$4:$N$203,0),0)=0,"",INDEX('كشف الحساب'!$G$4:$G$203,IFERROR(MATCH(41,'كشف الحساب'!$N$4:$N$203,0),0))),"")</f>
        <v/>
      </c>
      <c r="H45" s="89" t="str">
        <f>IFERROR(IF(IFERROR(MATCH(41,'كشف الحساب'!$N$4:$N$203,0),0)=0,"",INDEX('كشف الحساب'!$H$4:$H$203,IFERROR(MATCH(41,'كشف الحساب'!$N$4:$N$203,0),0))),"")</f>
        <v/>
      </c>
      <c r="I45" s="89" t="str">
        <f>IFERROR(IF(IFERROR(MATCH(41,'كشف الحساب'!$N$4:$N$203,0),0)=0,"",INDEX('كشف الحساب'!$I$4:$I$203,IFERROR(MATCH(41,'كشف الحساب'!$N$4:$N$203,0),0))),"")</f>
        <v/>
      </c>
      <c r="J45" s="93" t="str">
        <f>IFERROR(IF(IFERROR(MATCH(41,'كشف الحساب'!$N$4:$N$203,0),0)=0,"",INDEX('كشف الحساب'!$J$4:$J$203,IFERROR(MATCH(41,'كشف الحساب'!$N$4:$N$203,0),0))),"")</f>
        <v/>
      </c>
      <c r="K45" s="89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>
      <c r="A46" s="94" t="str">
        <f>IFERROR(IF(IFERROR(MATCH(42,'كشف الحساب'!$N$4:$N$203,0),0)=0,"",INDEX('كشف الحساب'!$A$4:$A$203,IFERROR(MATCH(42,'كشف الحساب'!$N$4:$N$203,0),0))),"")</f>
        <v/>
      </c>
      <c r="B46" s="95" t="str">
        <f>IFERROR(IF(IFERROR(MATCH(42,'كشف الحساب'!$N$4:$N$203,0),0)=0,"",INDEX('كشف الحساب'!$B$4:$B$203,IFERROR(MATCH(42,'كشف الحساب'!$N$4:$N$203,0),0))),"")</f>
        <v/>
      </c>
      <c r="C46" s="96" t="str">
        <f>IFERROR(IF(IFERROR(MATCH(42,'كشف الحساب'!$N$4:$N$203,0),0)=0,"",INDEX('كشف الحساب'!$C$4:$C$203,IFERROR(MATCH(42,'كشف الحساب'!$N$4:$N$203,0),0))),"")</f>
        <v/>
      </c>
      <c r="D46" s="97" t="str">
        <f>IFERROR(IF(IFERROR(MATCH(42,'كشف الحساب'!$N$4:$N$203,0),0)=0,"",INDEX('كشف الحساب'!$D$4:$D$203,IFERROR(MATCH(42,'كشف الحساب'!$N$4:$N$203,0),0))),"")</f>
        <v/>
      </c>
      <c r="E46" s="98" t="str">
        <f>IFERROR(IF(IFERROR(MATCH(42,'كشف الحساب'!$N$4:$N$203,0),0)=0,"",INDEX('كشف الحساب'!$E$4:$E$203,IFERROR(MATCH(42,'كشف الحساب'!$N$4:$N$203,0),0))),"")</f>
        <v/>
      </c>
      <c r="F46" s="95" t="str">
        <f>IFERROR(IF(IFERROR(MATCH(42,'كشف الحساب'!$N$4:$N$203,0),0)=0,"",INDEX('كشف الحساب'!$F$4:$F$203,IFERROR(MATCH(42,'كشف الحساب'!$N$4:$N$203,0),0))),"")</f>
        <v/>
      </c>
      <c r="G46" s="95" t="str">
        <f>IFERROR(IF(IFERROR(MATCH(42,'كشف الحساب'!$N$4:$N$203,0),0)=0,"",INDEX('كشف الحساب'!$G$4:$G$203,IFERROR(MATCH(42,'كشف الحساب'!$N$4:$N$203,0),0))),"")</f>
        <v/>
      </c>
      <c r="H46" s="95" t="str">
        <f>IFERROR(IF(IFERROR(MATCH(42,'كشف الحساب'!$N$4:$N$203,0),0)=0,"",INDEX('كشف الحساب'!$H$4:$H$203,IFERROR(MATCH(42,'كشف الحساب'!$N$4:$N$203,0),0))),"")</f>
        <v/>
      </c>
      <c r="I46" s="95" t="str">
        <f>IFERROR(IF(IFERROR(MATCH(42,'كشف الحساب'!$N$4:$N$203,0),0)=0,"",INDEX('كشف الحساب'!$I$4:$I$203,IFERROR(MATCH(42,'كشف الحساب'!$N$4:$N$203,0),0))),"")</f>
        <v/>
      </c>
      <c r="J46" s="99" t="str">
        <f>IFERROR(IF(IFERROR(MATCH(42,'كشف الحساب'!$N$4:$N$203,0),0)=0,"",INDEX('كشف الحساب'!$J$4:$J$203,IFERROR(MATCH(42,'كشف الحساب'!$N$4:$N$203,0),0))),"")</f>
        <v/>
      </c>
      <c r="K46" s="95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>
      <c r="A47" s="88" t="str">
        <f>IFERROR(IF(IFERROR(MATCH(43,'كشف الحساب'!$N$4:$N$203,0),0)=0,"",INDEX('كشف الحساب'!$A$4:$A$203,IFERROR(MATCH(43,'كشف الحساب'!$N$4:$N$203,0),0))),"")</f>
        <v/>
      </c>
      <c r="B47" s="89" t="str">
        <f>IFERROR(IF(IFERROR(MATCH(43,'كشف الحساب'!$N$4:$N$203,0),0)=0,"",INDEX('كشف الحساب'!$B$4:$B$203,IFERROR(MATCH(43,'كشف الحساب'!$N$4:$N$203,0),0))),"")</f>
        <v/>
      </c>
      <c r="C47" s="90" t="str">
        <f>IFERROR(IF(IFERROR(MATCH(43,'كشف الحساب'!$N$4:$N$203,0),0)=0,"",INDEX('كشف الحساب'!$C$4:$C$203,IFERROR(MATCH(43,'كشف الحساب'!$N$4:$N$203,0),0))),"")</f>
        <v/>
      </c>
      <c r="D47" s="91" t="str">
        <f>IFERROR(IF(IFERROR(MATCH(43,'كشف الحساب'!$N$4:$N$203,0),0)=0,"",INDEX('كشف الحساب'!$D$4:$D$203,IFERROR(MATCH(43,'كشف الحساب'!$N$4:$N$203,0),0))),"")</f>
        <v/>
      </c>
      <c r="E47" s="92" t="str">
        <f>IFERROR(IF(IFERROR(MATCH(43,'كشف الحساب'!$N$4:$N$203,0),0)=0,"",INDEX('كشف الحساب'!$E$4:$E$203,IFERROR(MATCH(43,'كشف الحساب'!$N$4:$N$203,0),0))),"")</f>
        <v/>
      </c>
      <c r="F47" s="89" t="str">
        <f>IFERROR(IF(IFERROR(MATCH(43,'كشف الحساب'!$N$4:$N$203,0),0)=0,"",INDEX('كشف الحساب'!$F$4:$F$203,IFERROR(MATCH(43,'كشف الحساب'!$N$4:$N$203,0),0))),"")</f>
        <v/>
      </c>
      <c r="G47" s="89" t="str">
        <f>IFERROR(IF(IFERROR(MATCH(43,'كشف الحساب'!$N$4:$N$203,0),0)=0,"",INDEX('كشف الحساب'!$G$4:$G$203,IFERROR(MATCH(43,'كشف الحساب'!$N$4:$N$203,0),0))),"")</f>
        <v/>
      </c>
      <c r="H47" s="89" t="str">
        <f>IFERROR(IF(IFERROR(MATCH(43,'كشف الحساب'!$N$4:$N$203,0),0)=0,"",INDEX('كشف الحساب'!$H$4:$H$203,IFERROR(MATCH(43,'كشف الحساب'!$N$4:$N$203,0),0))),"")</f>
        <v/>
      </c>
      <c r="I47" s="89" t="str">
        <f>IFERROR(IF(IFERROR(MATCH(43,'كشف الحساب'!$N$4:$N$203,0),0)=0,"",INDEX('كشف الحساب'!$I$4:$I$203,IFERROR(MATCH(43,'كشف الحساب'!$N$4:$N$203,0),0))),"")</f>
        <v/>
      </c>
      <c r="J47" s="93" t="str">
        <f>IFERROR(IF(IFERROR(MATCH(43,'كشف الحساب'!$N$4:$N$203,0),0)=0,"",INDEX('كشف الحساب'!$J$4:$J$203,IFERROR(MATCH(43,'كشف الحساب'!$N$4:$N$203,0),0))),"")</f>
        <v/>
      </c>
      <c r="K47" s="89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>
      <c r="A48" s="94" t="str">
        <f>IFERROR(IF(IFERROR(MATCH(44,'كشف الحساب'!$N$4:$N$203,0),0)=0,"",INDEX('كشف الحساب'!$A$4:$A$203,IFERROR(MATCH(44,'كشف الحساب'!$N$4:$N$203,0),0))),"")</f>
        <v/>
      </c>
      <c r="B48" s="95" t="str">
        <f>IFERROR(IF(IFERROR(MATCH(44,'كشف الحساب'!$N$4:$N$203,0),0)=0,"",INDEX('كشف الحساب'!$B$4:$B$203,IFERROR(MATCH(44,'كشف الحساب'!$N$4:$N$203,0),0))),"")</f>
        <v/>
      </c>
      <c r="C48" s="96" t="str">
        <f>IFERROR(IF(IFERROR(MATCH(44,'كشف الحساب'!$N$4:$N$203,0),0)=0,"",INDEX('كشف الحساب'!$C$4:$C$203,IFERROR(MATCH(44,'كشف الحساب'!$N$4:$N$203,0),0))),"")</f>
        <v/>
      </c>
      <c r="D48" s="97" t="str">
        <f>IFERROR(IF(IFERROR(MATCH(44,'كشف الحساب'!$N$4:$N$203,0),0)=0,"",INDEX('كشف الحساب'!$D$4:$D$203,IFERROR(MATCH(44,'كشف الحساب'!$N$4:$N$203,0),0))),"")</f>
        <v/>
      </c>
      <c r="E48" s="98" t="str">
        <f>IFERROR(IF(IFERROR(MATCH(44,'كشف الحساب'!$N$4:$N$203,0),0)=0,"",INDEX('كشف الحساب'!$E$4:$E$203,IFERROR(MATCH(44,'كشف الحساب'!$N$4:$N$203,0),0))),"")</f>
        <v/>
      </c>
      <c r="F48" s="95" t="str">
        <f>IFERROR(IF(IFERROR(MATCH(44,'كشف الحساب'!$N$4:$N$203,0),0)=0,"",INDEX('كشف الحساب'!$F$4:$F$203,IFERROR(MATCH(44,'كشف الحساب'!$N$4:$N$203,0),0))),"")</f>
        <v/>
      </c>
      <c r="G48" s="95" t="str">
        <f>IFERROR(IF(IFERROR(MATCH(44,'كشف الحساب'!$N$4:$N$203,0),0)=0,"",INDEX('كشف الحساب'!$G$4:$G$203,IFERROR(MATCH(44,'كشف الحساب'!$N$4:$N$203,0),0))),"")</f>
        <v/>
      </c>
      <c r="H48" s="95" t="str">
        <f>IFERROR(IF(IFERROR(MATCH(44,'كشف الحساب'!$N$4:$N$203,0),0)=0,"",INDEX('كشف الحساب'!$H$4:$H$203,IFERROR(MATCH(44,'كشف الحساب'!$N$4:$N$203,0),0))),"")</f>
        <v/>
      </c>
      <c r="I48" s="95" t="str">
        <f>IFERROR(IF(IFERROR(MATCH(44,'كشف الحساب'!$N$4:$N$203,0),0)=0,"",INDEX('كشف الحساب'!$I$4:$I$203,IFERROR(MATCH(44,'كشف الحساب'!$N$4:$N$203,0),0))),"")</f>
        <v/>
      </c>
      <c r="J48" s="99" t="str">
        <f>IFERROR(IF(IFERROR(MATCH(44,'كشف الحساب'!$N$4:$N$203,0),0)=0,"",INDEX('كشف الحساب'!$J$4:$J$203,IFERROR(MATCH(44,'كشف الحساب'!$N$4:$N$203,0),0))),"")</f>
        <v/>
      </c>
      <c r="K48" s="95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>
      <c r="A49" s="88" t="str">
        <f>IFERROR(IF(IFERROR(MATCH(45,'كشف الحساب'!$N$4:$N$203,0),0)=0,"",INDEX('كشف الحساب'!$A$4:$A$203,IFERROR(MATCH(45,'كشف الحساب'!$N$4:$N$203,0),0))),"")</f>
        <v/>
      </c>
      <c r="B49" s="89" t="str">
        <f>IFERROR(IF(IFERROR(MATCH(45,'كشف الحساب'!$N$4:$N$203,0),0)=0,"",INDEX('كشف الحساب'!$B$4:$B$203,IFERROR(MATCH(45,'كشف الحساب'!$N$4:$N$203,0),0))),"")</f>
        <v/>
      </c>
      <c r="C49" s="90" t="str">
        <f>IFERROR(IF(IFERROR(MATCH(45,'كشف الحساب'!$N$4:$N$203,0),0)=0,"",INDEX('كشف الحساب'!$C$4:$C$203,IFERROR(MATCH(45,'كشف الحساب'!$N$4:$N$203,0),0))),"")</f>
        <v/>
      </c>
      <c r="D49" s="91" t="str">
        <f>IFERROR(IF(IFERROR(MATCH(45,'كشف الحساب'!$N$4:$N$203,0),0)=0,"",INDEX('كشف الحساب'!$D$4:$D$203,IFERROR(MATCH(45,'كشف الحساب'!$N$4:$N$203,0),0))),"")</f>
        <v/>
      </c>
      <c r="E49" s="92" t="str">
        <f>IFERROR(IF(IFERROR(MATCH(45,'كشف الحساب'!$N$4:$N$203,0),0)=0,"",INDEX('كشف الحساب'!$E$4:$E$203,IFERROR(MATCH(45,'كشف الحساب'!$N$4:$N$203,0),0))),"")</f>
        <v/>
      </c>
      <c r="F49" s="89" t="str">
        <f>IFERROR(IF(IFERROR(MATCH(45,'كشف الحساب'!$N$4:$N$203,0),0)=0,"",INDEX('كشف الحساب'!$F$4:$F$203,IFERROR(MATCH(45,'كشف الحساب'!$N$4:$N$203,0),0))),"")</f>
        <v/>
      </c>
      <c r="G49" s="89" t="str">
        <f>IFERROR(IF(IFERROR(MATCH(45,'كشف الحساب'!$N$4:$N$203,0),0)=0,"",INDEX('كشف الحساب'!$G$4:$G$203,IFERROR(MATCH(45,'كشف الحساب'!$N$4:$N$203,0),0))),"")</f>
        <v/>
      </c>
      <c r="H49" s="89" t="str">
        <f>IFERROR(IF(IFERROR(MATCH(45,'كشف الحساب'!$N$4:$N$203,0),0)=0,"",INDEX('كشف الحساب'!$H$4:$H$203,IFERROR(MATCH(45,'كشف الحساب'!$N$4:$N$203,0),0))),"")</f>
        <v/>
      </c>
      <c r="I49" s="89" t="str">
        <f>IFERROR(IF(IFERROR(MATCH(45,'كشف الحساب'!$N$4:$N$203,0),0)=0,"",INDEX('كشف الحساب'!$I$4:$I$203,IFERROR(MATCH(45,'كشف الحساب'!$N$4:$N$203,0),0))),"")</f>
        <v/>
      </c>
      <c r="J49" s="93" t="str">
        <f>IFERROR(IF(IFERROR(MATCH(45,'كشف الحساب'!$N$4:$N$203,0),0)=0,"",INDEX('كشف الحساب'!$J$4:$J$203,IFERROR(MATCH(45,'كشف الحساب'!$N$4:$N$203,0),0))),"")</f>
        <v/>
      </c>
      <c r="K49" s="89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>
      <c r="A50" s="94" t="str">
        <f>IFERROR(IF(IFERROR(MATCH(46,'كشف الحساب'!$N$4:$N$203,0),0)=0,"",INDEX('كشف الحساب'!$A$4:$A$203,IFERROR(MATCH(46,'كشف الحساب'!$N$4:$N$203,0),0))),"")</f>
        <v/>
      </c>
      <c r="B50" s="95" t="str">
        <f>IFERROR(IF(IFERROR(MATCH(46,'كشف الحساب'!$N$4:$N$203,0),0)=0,"",INDEX('كشف الحساب'!$B$4:$B$203,IFERROR(MATCH(46,'كشف الحساب'!$N$4:$N$203,0),0))),"")</f>
        <v/>
      </c>
      <c r="C50" s="96" t="str">
        <f>IFERROR(IF(IFERROR(MATCH(46,'كشف الحساب'!$N$4:$N$203,0),0)=0,"",INDEX('كشف الحساب'!$C$4:$C$203,IFERROR(MATCH(46,'كشف الحساب'!$N$4:$N$203,0),0))),"")</f>
        <v/>
      </c>
      <c r="D50" s="97" t="str">
        <f>IFERROR(IF(IFERROR(MATCH(46,'كشف الحساب'!$N$4:$N$203,0),0)=0,"",INDEX('كشف الحساب'!$D$4:$D$203,IFERROR(MATCH(46,'كشف الحساب'!$N$4:$N$203,0),0))),"")</f>
        <v/>
      </c>
      <c r="E50" s="98" t="str">
        <f>IFERROR(IF(IFERROR(MATCH(46,'كشف الحساب'!$N$4:$N$203,0),0)=0,"",INDEX('كشف الحساب'!$E$4:$E$203,IFERROR(MATCH(46,'كشف الحساب'!$N$4:$N$203,0),0))),"")</f>
        <v/>
      </c>
      <c r="F50" s="95" t="str">
        <f>IFERROR(IF(IFERROR(MATCH(46,'كشف الحساب'!$N$4:$N$203,0),0)=0,"",INDEX('كشف الحساب'!$F$4:$F$203,IFERROR(MATCH(46,'كشف الحساب'!$N$4:$N$203,0),0))),"")</f>
        <v/>
      </c>
      <c r="G50" s="95" t="str">
        <f>IFERROR(IF(IFERROR(MATCH(46,'كشف الحساب'!$N$4:$N$203,0),0)=0,"",INDEX('كشف الحساب'!$G$4:$G$203,IFERROR(MATCH(46,'كشف الحساب'!$N$4:$N$203,0),0))),"")</f>
        <v/>
      </c>
      <c r="H50" s="95" t="str">
        <f>IFERROR(IF(IFERROR(MATCH(46,'كشف الحساب'!$N$4:$N$203,0),0)=0,"",INDEX('كشف الحساب'!$H$4:$H$203,IFERROR(MATCH(46,'كشف الحساب'!$N$4:$N$203,0),0))),"")</f>
        <v/>
      </c>
      <c r="I50" s="95" t="str">
        <f>IFERROR(IF(IFERROR(MATCH(46,'كشف الحساب'!$N$4:$N$203,0),0)=0,"",INDEX('كشف الحساب'!$I$4:$I$203,IFERROR(MATCH(46,'كشف الحساب'!$N$4:$N$203,0),0))),"")</f>
        <v/>
      </c>
      <c r="J50" s="99" t="str">
        <f>IFERROR(IF(IFERROR(MATCH(46,'كشف الحساب'!$N$4:$N$203,0),0)=0,"",INDEX('كشف الحساب'!$J$4:$J$203,IFERROR(MATCH(46,'كشف الحساب'!$N$4:$N$203,0),0))),"")</f>
        <v/>
      </c>
      <c r="K50" s="95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>
      <c r="A51" s="88" t="str">
        <f>IFERROR(IF(IFERROR(MATCH(47,'كشف الحساب'!$N$4:$N$203,0),0)=0,"",INDEX('كشف الحساب'!$A$4:$A$203,IFERROR(MATCH(47,'كشف الحساب'!$N$4:$N$203,0),0))),"")</f>
        <v/>
      </c>
      <c r="B51" s="89" t="str">
        <f>IFERROR(IF(IFERROR(MATCH(47,'كشف الحساب'!$N$4:$N$203,0),0)=0,"",INDEX('كشف الحساب'!$B$4:$B$203,IFERROR(MATCH(47,'كشف الحساب'!$N$4:$N$203,0),0))),"")</f>
        <v/>
      </c>
      <c r="C51" s="90" t="str">
        <f>IFERROR(IF(IFERROR(MATCH(47,'كشف الحساب'!$N$4:$N$203,0),0)=0,"",INDEX('كشف الحساب'!$C$4:$C$203,IFERROR(MATCH(47,'كشف الحساب'!$N$4:$N$203,0),0))),"")</f>
        <v/>
      </c>
      <c r="D51" s="91" t="str">
        <f>IFERROR(IF(IFERROR(MATCH(47,'كشف الحساب'!$N$4:$N$203,0),0)=0,"",INDEX('كشف الحساب'!$D$4:$D$203,IFERROR(MATCH(47,'كشف الحساب'!$N$4:$N$203,0),0))),"")</f>
        <v/>
      </c>
      <c r="E51" s="92" t="str">
        <f>IFERROR(IF(IFERROR(MATCH(47,'كشف الحساب'!$N$4:$N$203,0),0)=0,"",INDEX('كشف الحساب'!$E$4:$E$203,IFERROR(MATCH(47,'كشف الحساب'!$N$4:$N$203,0),0))),"")</f>
        <v/>
      </c>
      <c r="F51" s="89" t="str">
        <f>IFERROR(IF(IFERROR(MATCH(47,'كشف الحساب'!$N$4:$N$203,0),0)=0,"",INDEX('كشف الحساب'!$F$4:$F$203,IFERROR(MATCH(47,'كشف الحساب'!$N$4:$N$203,0),0))),"")</f>
        <v/>
      </c>
      <c r="G51" s="89" t="str">
        <f>IFERROR(IF(IFERROR(MATCH(47,'كشف الحساب'!$N$4:$N$203,0),0)=0,"",INDEX('كشف الحساب'!$G$4:$G$203,IFERROR(MATCH(47,'كشف الحساب'!$N$4:$N$203,0),0))),"")</f>
        <v/>
      </c>
      <c r="H51" s="89" t="str">
        <f>IFERROR(IF(IFERROR(MATCH(47,'كشف الحساب'!$N$4:$N$203,0),0)=0,"",INDEX('كشف الحساب'!$H$4:$H$203,IFERROR(MATCH(47,'كشف الحساب'!$N$4:$N$203,0),0))),"")</f>
        <v/>
      </c>
      <c r="I51" s="89" t="str">
        <f>IFERROR(IF(IFERROR(MATCH(47,'كشف الحساب'!$N$4:$N$203,0),0)=0,"",INDEX('كشف الحساب'!$I$4:$I$203,IFERROR(MATCH(47,'كشف الحساب'!$N$4:$N$203,0),0))),"")</f>
        <v/>
      </c>
      <c r="J51" s="93" t="str">
        <f>IFERROR(IF(IFERROR(MATCH(47,'كشف الحساب'!$N$4:$N$203,0),0)=0,"",INDEX('كشف الحساب'!$J$4:$J$203,IFERROR(MATCH(47,'كشف الحساب'!$N$4:$N$203,0),0))),"")</f>
        <v/>
      </c>
      <c r="K51" s="89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>
      <c r="A52" s="94" t="str">
        <f>IFERROR(IF(IFERROR(MATCH(48,'كشف الحساب'!$N$4:$N$203,0),0)=0,"",INDEX('كشف الحساب'!$A$4:$A$203,IFERROR(MATCH(48,'كشف الحساب'!$N$4:$N$203,0),0))),"")</f>
        <v/>
      </c>
      <c r="B52" s="95" t="str">
        <f>IFERROR(IF(IFERROR(MATCH(48,'كشف الحساب'!$N$4:$N$203,0),0)=0,"",INDEX('كشف الحساب'!$B$4:$B$203,IFERROR(MATCH(48,'كشف الحساب'!$N$4:$N$203,0),0))),"")</f>
        <v/>
      </c>
      <c r="C52" s="96" t="str">
        <f>IFERROR(IF(IFERROR(MATCH(48,'كشف الحساب'!$N$4:$N$203,0),0)=0,"",INDEX('كشف الحساب'!$C$4:$C$203,IFERROR(MATCH(48,'كشف الحساب'!$N$4:$N$203,0),0))),"")</f>
        <v/>
      </c>
      <c r="D52" s="97" t="str">
        <f>IFERROR(IF(IFERROR(MATCH(48,'كشف الحساب'!$N$4:$N$203,0),0)=0,"",INDEX('كشف الحساب'!$D$4:$D$203,IFERROR(MATCH(48,'كشف الحساب'!$N$4:$N$203,0),0))),"")</f>
        <v/>
      </c>
      <c r="E52" s="98" t="str">
        <f>IFERROR(IF(IFERROR(MATCH(48,'كشف الحساب'!$N$4:$N$203,0),0)=0,"",INDEX('كشف الحساب'!$E$4:$E$203,IFERROR(MATCH(48,'كشف الحساب'!$N$4:$N$203,0),0))),"")</f>
        <v/>
      </c>
      <c r="F52" s="95" t="str">
        <f>IFERROR(IF(IFERROR(MATCH(48,'كشف الحساب'!$N$4:$N$203,0),0)=0,"",INDEX('كشف الحساب'!$F$4:$F$203,IFERROR(MATCH(48,'كشف الحساب'!$N$4:$N$203,0),0))),"")</f>
        <v/>
      </c>
      <c r="G52" s="95" t="str">
        <f>IFERROR(IF(IFERROR(MATCH(48,'كشف الحساب'!$N$4:$N$203,0),0)=0,"",INDEX('كشف الحساب'!$G$4:$G$203,IFERROR(MATCH(48,'كشف الحساب'!$N$4:$N$203,0),0))),"")</f>
        <v/>
      </c>
      <c r="H52" s="95" t="str">
        <f>IFERROR(IF(IFERROR(MATCH(48,'كشف الحساب'!$N$4:$N$203,0),0)=0,"",INDEX('كشف الحساب'!$H$4:$H$203,IFERROR(MATCH(48,'كشف الحساب'!$N$4:$N$203,0),0))),"")</f>
        <v/>
      </c>
      <c r="I52" s="95" t="str">
        <f>IFERROR(IF(IFERROR(MATCH(48,'كشف الحساب'!$N$4:$N$203,0),0)=0,"",INDEX('كشف الحساب'!$I$4:$I$203,IFERROR(MATCH(48,'كشف الحساب'!$N$4:$N$203,0),0))),"")</f>
        <v/>
      </c>
      <c r="J52" s="99" t="str">
        <f>IFERROR(IF(IFERROR(MATCH(48,'كشف الحساب'!$N$4:$N$203,0),0)=0,"",INDEX('كشف الحساب'!$J$4:$J$203,IFERROR(MATCH(48,'كشف الحساب'!$N$4:$N$203,0),0))),"")</f>
        <v/>
      </c>
      <c r="K52" s="95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>
      <c r="A53" s="88" t="str">
        <f>IFERROR(IF(IFERROR(MATCH(49,'كشف الحساب'!$N$4:$N$203,0),0)=0,"",INDEX('كشف الحساب'!$A$4:$A$203,IFERROR(MATCH(49,'كشف الحساب'!$N$4:$N$203,0),0))),"")</f>
        <v/>
      </c>
      <c r="B53" s="89" t="str">
        <f>IFERROR(IF(IFERROR(MATCH(49,'كشف الحساب'!$N$4:$N$203,0),0)=0,"",INDEX('كشف الحساب'!$B$4:$B$203,IFERROR(MATCH(49,'كشف الحساب'!$N$4:$N$203,0),0))),"")</f>
        <v/>
      </c>
      <c r="C53" s="90" t="str">
        <f>IFERROR(IF(IFERROR(MATCH(49,'كشف الحساب'!$N$4:$N$203,0),0)=0,"",INDEX('كشف الحساب'!$C$4:$C$203,IFERROR(MATCH(49,'كشف الحساب'!$N$4:$N$203,0),0))),"")</f>
        <v/>
      </c>
      <c r="D53" s="91" t="str">
        <f>IFERROR(IF(IFERROR(MATCH(49,'كشف الحساب'!$N$4:$N$203,0),0)=0,"",INDEX('كشف الحساب'!$D$4:$D$203,IFERROR(MATCH(49,'كشف الحساب'!$N$4:$N$203,0),0))),"")</f>
        <v/>
      </c>
      <c r="E53" s="92" t="str">
        <f>IFERROR(IF(IFERROR(MATCH(49,'كشف الحساب'!$N$4:$N$203,0),0)=0,"",INDEX('كشف الحساب'!$E$4:$E$203,IFERROR(MATCH(49,'كشف الحساب'!$N$4:$N$203,0),0))),"")</f>
        <v/>
      </c>
      <c r="F53" s="89" t="str">
        <f>IFERROR(IF(IFERROR(MATCH(49,'كشف الحساب'!$N$4:$N$203,0),0)=0,"",INDEX('كشف الحساب'!$F$4:$F$203,IFERROR(MATCH(49,'كشف الحساب'!$N$4:$N$203,0),0))),"")</f>
        <v/>
      </c>
      <c r="G53" s="89" t="str">
        <f>IFERROR(IF(IFERROR(MATCH(49,'كشف الحساب'!$N$4:$N$203,0),0)=0,"",INDEX('كشف الحساب'!$G$4:$G$203,IFERROR(MATCH(49,'كشف الحساب'!$N$4:$N$203,0),0))),"")</f>
        <v/>
      </c>
      <c r="H53" s="89" t="str">
        <f>IFERROR(IF(IFERROR(MATCH(49,'كشف الحساب'!$N$4:$N$203,0),0)=0,"",INDEX('كشف الحساب'!$H$4:$H$203,IFERROR(MATCH(49,'كشف الحساب'!$N$4:$N$203,0),0))),"")</f>
        <v/>
      </c>
      <c r="I53" s="89" t="str">
        <f>IFERROR(IF(IFERROR(MATCH(49,'كشف الحساب'!$N$4:$N$203,0),0)=0,"",INDEX('كشف الحساب'!$I$4:$I$203,IFERROR(MATCH(49,'كشف الحساب'!$N$4:$N$203,0),0))),"")</f>
        <v/>
      </c>
      <c r="J53" s="93" t="str">
        <f>IFERROR(IF(IFERROR(MATCH(49,'كشف الحساب'!$N$4:$N$203,0),0)=0,"",INDEX('كشف الحساب'!$J$4:$J$203,IFERROR(MATCH(49,'كشف الحساب'!$N$4:$N$203,0),0))),"")</f>
        <v/>
      </c>
      <c r="K53" s="89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>
      <c r="A54" s="94" t="str">
        <f>IFERROR(IF(IFERROR(MATCH(50,'كشف الحساب'!$N$4:$N$203,0),0)=0,"",INDEX('كشف الحساب'!$A$4:$A$203,IFERROR(MATCH(50,'كشف الحساب'!$N$4:$N$203,0),0))),"")</f>
        <v/>
      </c>
      <c r="B54" s="95" t="str">
        <f>IFERROR(IF(IFERROR(MATCH(50,'كشف الحساب'!$N$4:$N$203,0),0)=0,"",INDEX('كشف الحساب'!$B$4:$B$203,IFERROR(MATCH(50,'كشف الحساب'!$N$4:$N$203,0),0))),"")</f>
        <v/>
      </c>
      <c r="C54" s="96" t="str">
        <f>IFERROR(IF(IFERROR(MATCH(50,'كشف الحساب'!$N$4:$N$203,0),0)=0,"",INDEX('كشف الحساب'!$C$4:$C$203,IFERROR(MATCH(50,'كشف الحساب'!$N$4:$N$203,0),0))),"")</f>
        <v/>
      </c>
      <c r="D54" s="97" t="str">
        <f>IFERROR(IF(IFERROR(MATCH(50,'كشف الحساب'!$N$4:$N$203,0),0)=0,"",INDEX('كشف الحساب'!$D$4:$D$203,IFERROR(MATCH(50,'كشف الحساب'!$N$4:$N$203,0),0))),"")</f>
        <v/>
      </c>
      <c r="E54" s="98" t="str">
        <f>IFERROR(IF(IFERROR(MATCH(50,'كشف الحساب'!$N$4:$N$203,0),0)=0,"",INDEX('كشف الحساب'!$E$4:$E$203,IFERROR(MATCH(50,'كشف الحساب'!$N$4:$N$203,0),0))),"")</f>
        <v/>
      </c>
      <c r="F54" s="95" t="str">
        <f>IFERROR(IF(IFERROR(MATCH(50,'كشف الحساب'!$N$4:$N$203,0),0)=0,"",INDEX('كشف الحساب'!$F$4:$F$203,IFERROR(MATCH(50,'كشف الحساب'!$N$4:$N$203,0),0))),"")</f>
        <v/>
      </c>
      <c r="G54" s="95" t="str">
        <f>IFERROR(IF(IFERROR(MATCH(50,'كشف الحساب'!$N$4:$N$203,0),0)=0,"",INDEX('كشف الحساب'!$G$4:$G$203,IFERROR(MATCH(50,'كشف الحساب'!$N$4:$N$203,0),0))),"")</f>
        <v/>
      </c>
      <c r="H54" s="95" t="str">
        <f>IFERROR(IF(IFERROR(MATCH(50,'كشف الحساب'!$N$4:$N$203,0),0)=0,"",INDEX('كشف الحساب'!$H$4:$H$203,IFERROR(MATCH(50,'كشف الحساب'!$N$4:$N$203,0),0))),"")</f>
        <v/>
      </c>
      <c r="I54" s="95" t="str">
        <f>IFERROR(IF(IFERROR(MATCH(50,'كشف الحساب'!$N$4:$N$203,0),0)=0,"",INDEX('كشف الحساب'!$I$4:$I$203,IFERROR(MATCH(50,'كشف الحساب'!$N$4:$N$203,0),0))),"")</f>
        <v/>
      </c>
      <c r="J54" s="99" t="str">
        <f>IFERROR(IF(IFERROR(MATCH(50,'كشف الحساب'!$N$4:$N$203,0),0)=0,"",INDEX('كشف الحساب'!$J$4:$J$203,IFERROR(MATCH(50,'كشف الحساب'!$N$4:$N$203,0),0))),"")</f>
        <v/>
      </c>
      <c r="K54" s="95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>
      <c r="A55" s="88" t="str">
        <f>IFERROR(IF(IFERROR(MATCH(51,'كشف الحساب'!$N$4:$N$203,0),0)=0,"",INDEX('كشف الحساب'!$A$4:$A$203,IFERROR(MATCH(51,'كشف الحساب'!$N$4:$N$203,0),0))),"")</f>
        <v/>
      </c>
      <c r="B55" s="89" t="str">
        <f>IFERROR(IF(IFERROR(MATCH(51,'كشف الحساب'!$N$4:$N$203,0),0)=0,"",INDEX('كشف الحساب'!$B$4:$B$203,IFERROR(MATCH(51,'كشف الحساب'!$N$4:$N$203,0),0))),"")</f>
        <v/>
      </c>
      <c r="C55" s="90" t="str">
        <f>IFERROR(IF(IFERROR(MATCH(51,'كشف الحساب'!$N$4:$N$203,0),0)=0,"",INDEX('كشف الحساب'!$C$4:$C$203,IFERROR(MATCH(51,'كشف الحساب'!$N$4:$N$203,0),0))),"")</f>
        <v/>
      </c>
      <c r="D55" s="91" t="str">
        <f>IFERROR(IF(IFERROR(MATCH(51,'كشف الحساب'!$N$4:$N$203,0),0)=0,"",INDEX('كشف الحساب'!$D$4:$D$203,IFERROR(MATCH(51,'كشف الحساب'!$N$4:$N$203,0),0))),"")</f>
        <v/>
      </c>
      <c r="E55" s="92" t="str">
        <f>IFERROR(IF(IFERROR(MATCH(51,'كشف الحساب'!$N$4:$N$203,0),0)=0,"",INDEX('كشف الحساب'!$E$4:$E$203,IFERROR(MATCH(51,'كشف الحساب'!$N$4:$N$203,0),0))),"")</f>
        <v/>
      </c>
      <c r="F55" s="89" t="str">
        <f>IFERROR(IF(IFERROR(MATCH(51,'كشف الحساب'!$N$4:$N$203,0),0)=0,"",INDEX('كشف الحساب'!$F$4:$F$203,IFERROR(MATCH(51,'كشف الحساب'!$N$4:$N$203,0),0))),"")</f>
        <v/>
      </c>
      <c r="G55" s="89" t="str">
        <f>IFERROR(IF(IFERROR(MATCH(51,'كشف الحساب'!$N$4:$N$203,0),0)=0,"",INDEX('كشف الحساب'!$G$4:$G$203,IFERROR(MATCH(51,'كشف الحساب'!$N$4:$N$203,0),0))),"")</f>
        <v/>
      </c>
      <c r="H55" s="89" t="str">
        <f>IFERROR(IF(IFERROR(MATCH(51,'كشف الحساب'!$N$4:$N$203,0),0)=0,"",INDEX('كشف الحساب'!$H$4:$H$203,IFERROR(MATCH(51,'كشف الحساب'!$N$4:$N$203,0),0))),"")</f>
        <v/>
      </c>
      <c r="I55" s="89" t="str">
        <f>IFERROR(IF(IFERROR(MATCH(51,'كشف الحساب'!$N$4:$N$203,0),0)=0,"",INDEX('كشف الحساب'!$I$4:$I$203,IFERROR(MATCH(51,'كشف الحساب'!$N$4:$N$203,0),0))),"")</f>
        <v/>
      </c>
      <c r="J55" s="93" t="str">
        <f>IFERROR(IF(IFERROR(MATCH(51,'كشف الحساب'!$N$4:$N$203,0),0)=0,"",INDEX('كشف الحساب'!$J$4:$J$203,IFERROR(MATCH(51,'كشف الحساب'!$N$4:$N$203,0),0))),"")</f>
        <v/>
      </c>
      <c r="K55" s="89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>
      <c r="A56" s="94" t="str">
        <f>IFERROR(IF(IFERROR(MATCH(52,'كشف الحساب'!$N$4:$N$203,0),0)=0,"",INDEX('كشف الحساب'!$A$4:$A$203,IFERROR(MATCH(52,'كشف الحساب'!$N$4:$N$203,0),0))),"")</f>
        <v/>
      </c>
      <c r="B56" s="95" t="str">
        <f>IFERROR(IF(IFERROR(MATCH(52,'كشف الحساب'!$N$4:$N$203,0),0)=0,"",INDEX('كشف الحساب'!$B$4:$B$203,IFERROR(MATCH(52,'كشف الحساب'!$N$4:$N$203,0),0))),"")</f>
        <v/>
      </c>
      <c r="C56" s="96" t="str">
        <f>IFERROR(IF(IFERROR(MATCH(52,'كشف الحساب'!$N$4:$N$203,0),0)=0,"",INDEX('كشف الحساب'!$C$4:$C$203,IFERROR(MATCH(52,'كشف الحساب'!$N$4:$N$203,0),0))),"")</f>
        <v/>
      </c>
      <c r="D56" s="97" t="str">
        <f>IFERROR(IF(IFERROR(MATCH(52,'كشف الحساب'!$N$4:$N$203,0),0)=0,"",INDEX('كشف الحساب'!$D$4:$D$203,IFERROR(MATCH(52,'كشف الحساب'!$N$4:$N$203,0),0))),"")</f>
        <v/>
      </c>
      <c r="E56" s="98" t="str">
        <f>IFERROR(IF(IFERROR(MATCH(52,'كشف الحساب'!$N$4:$N$203,0),0)=0,"",INDEX('كشف الحساب'!$E$4:$E$203,IFERROR(MATCH(52,'كشف الحساب'!$N$4:$N$203,0),0))),"")</f>
        <v/>
      </c>
      <c r="F56" s="95" t="str">
        <f>IFERROR(IF(IFERROR(MATCH(52,'كشف الحساب'!$N$4:$N$203,0),0)=0,"",INDEX('كشف الحساب'!$F$4:$F$203,IFERROR(MATCH(52,'كشف الحساب'!$N$4:$N$203,0),0))),"")</f>
        <v/>
      </c>
      <c r="G56" s="95" t="str">
        <f>IFERROR(IF(IFERROR(MATCH(52,'كشف الحساب'!$N$4:$N$203,0),0)=0,"",INDEX('كشف الحساب'!$G$4:$G$203,IFERROR(MATCH(52,'كشف الحساب'!$N$4:$N$203,0),0))),"")</f>
        <v/>
      </c>
      <c r="H56" s="95" t="str">
        <f>IFERROR(IF(IFERROR(MATCH(52,'كشف الحساب'!$N$4:$N$203,0),0)=0,"",INDEX('كشف الحساب'!$H$4:$H$203,IFERROR(MATCH(52,'كشف الحساب'!$N$4:$N$203,0),0))),"")</f>
        <v/>
      </c>
      <c r="I56" s="95" t="str">
        <f>IFERROR(IF(IFERROR(MATCH(52,'كشف الحساب'!$N$4:$N$203,0),0)=0,"",INDEX('كشف الحساب'!$I$4:$I$203,IFERROR(MATCH(52,'كشف الحساب'!$N$4:$N$203,0),0))),"")</f>
        <v/>
      </c>
      <c r="J56" s="99" t="str">
        <f>IFERROR(IF(IFERROR(MATCH(52,'كشف الحساب'!$N$4:$N$203,0),0)=0,"",INDEX('كشف الحساب'!$J$4:$J$203,IFERROR(MATCH(52,'كشف الحساب'!$N$4:$N$203,0),0))),"")</f>
        <v/>
      </c>
      <c r="K56" s="95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>
      <c r="A57" s="88" t="str">
        <f>IFERROR(IF(IFERROR(MATCH(53,'كشف الحساب'!$N$4:$N$203,0),0)=0,"",INDEX('كشف الحساب'!$A$4:$A$203,IFERROR(MATCH(53,'كشف الحساب'!$N$4:$N$203,0),0))),"")</f>
        <v/>
      </c>
      <c r="B57" s="89" t="str">
        <f>IFERROR(IF(IFERROR(MATCH(53,'كشف الحساب'!$N$4:$N$203,0),0)=0,"",INDEX('كشف الحساب'!$B$4:$B$203,IFERROR(MATCH(53,'كشف الحساب'!$N$4:$N$203,0),0))),"")</f>
        <v/>
      </c>
      <c r="C57" s="90" t="str">
        <f>IFERROR(IF(IFERROR(MATCH(53,'كشف الحساب'!$N$4:$N$203,0),0)=0,"",INDEX('كشف الحساب'!$C$4:$C$203,IFERROR(MATCH(53,'كشف الحساب'!$N$4:$N$203,0),0))),"")</f>
        <v/>
      </c>
      <c r="D57" s="91" t="str">
        <f>IFERROR(IF(IFERROR(MATCH(53,'كشف الحساب'!$N$4:$N$203,0),0)=0,"",INDEX('كشف الحساب'!$D$4:$D$203,IFERROR(MATCH(53,'كشف الحساب'!$N$4:$N$203,0),0))),"")</f>
        <v/>
      </c>
      <c r="E57" s="92" t="str">
        <f>IFERROR(IF(IFERROR(MATCH(53,'كشف الحساب'!$N$4:$N$203,0),0)=0,"",INDEX('كشف الحساب'!$E$4:$E$203,IFERROR(MATCH(53,'كشف الحساب'!$N$4:$N$203,0),0))),"")</f>
        <v/>
      </c>
      <c r="F57" s="89" t="str">
        <f>IFERROR(IF(IFERROR(MATCH(53,'كشف الحساب'!$N$4:$N$203,0),0)=0,"",INDEX('كشف الحساب'!$F$4:$F$203,IFERROR(MATCH(53,'كشف الحساب'!$N$4:$N$203,0),0))),"")</f>
        <v/>
      </c>
      <c r="G57" s="89" t="str">
        <f>IFERROR(IF(IFERROR(MATCH(53,'كشف الحساب'!$N$4:$N$203,0),0)=0,"",INDEX('كشف الحساب'!$G$4:$G$203,IFERROR(MATCH(53,'كشف الحساب'!$N$4:$N$203,0),0))),"")</f>
        <v/>
      </c>
      <c r="H57" s="89" t="str">
        <f>IFERROR(IF(IFERROR(MATCH(53,'كشف الحساب'!$N$4:$N$203,0),0)=0,"",INDEX('كشف الحساب'!$H$4:$H$203,IFERROR(MATCH(53,'كشف الحساب'!$N$4:$N$203,0),0))),"")</f>
        <v/>
      </c>
      <c r="I57" s="89" t="str">
        <f>IFERROR(IF(IFERROR(MATCH(53,'كشف الحساب'!$N$4:$N$203,0),0)=0,"",INDEX('كشف الحساب'!$I$4:$I$203,IFERROR(MATCH(53,'كشف الحساب'!$N$4:$N$203,0),0))),"")</f>
        <v/>
      </c>
      <c r="J57" s="93" t="str">
        <f>IFERROR(IF(IFERROR(MATCH(53,'كشف الحساب'!$N$4:$N$203,0),0)=0,"",INDEX('كشف الحساب'!$J$4:$J$203,IFERROR(MATCH(53,'كشف الحساب'!$N$4:$N$203,0),0))),"")</f>
        <v/>
      </c>
      <c r="K57" s="89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>
      <c r="A58" s="94" t="str">
        <f>IFERROR(IF(IFERROR(MATCH(54,'كشف الحساب'!$N$4:$N$203,0),0)=0,"",INDEX('كشف الحساب'!$A$4:$A$203,IFERROR(MATCH(54,'كشف الحساب'!$N$4:$N$203,0),0))),"")</f>
        <v/>
      </c>
      <c r="B58" s="95" t="str">
        <f>IFERROR(IF(IFERROR(MATCH(54,'كشف الحساب'!$N$4:$N$203,0),0)=0,"",INDEX('كشف الحساب'!$B$4:$B$203,IFERROR(MATCH(54,'كشف الحساب'!$N$4:$N$203,0),0))),"")</f>
        <v/>
      </c>
      <c r="C58" s="96" t="str">
        <f>IFERROR(IF(IFERROR(MATCH(54,'كشف الحساب'!$N$4:$N$203,0),0)=0,"",INDEX('كشف الحساب'!$C$4:$C$203,IFERROR(MATCH(54,'كشف الحساب'!$N$4:$N$203,0),0))),"")</f>
        <v/>
      </c>
      <c r="D58" s="97" t="str">
        <f>IFERROR(IF(IFERROR(MATCH(54,'كشف الحساب'!$N$4:$N$203,0),0)=0,"",INDEX('كشف الحساب'!$D$4:$D$203,IFERROR(MATCH(54,'كشف الحساب'!$N$4:$N$203,0),0))),"")</f>
        <v/>
      </c>
      <c r="E58" s="98" t="str">
        <f>IFERROR(IF(IFERROR(MATCH(54,'كشف الحساب'!$N$4:$N$203,0),0)=0,"",INDEX('كشف الحساب'!$E$4:$E$203,IFERROR(MATCH(54,'كشف الحساب'!$N$4:$N$203,0),0))),"")</f>
        <v/>
      </c>
      <c r="F58" s="95" t="str">
        <f>IFERROR(IF(IFERROR(MATCH(54,'كشف الحساب'!$N$4:$N$203,0),0)=0,"",INDEX('كشف الحساب'!$F$4:$F$203,IFERROR(MATCH(54,'كشف الحساب'!$N$4:$N$203,0),0))),"")</f>
        <v/>
      </c>
      <c r="G58" s="95" t="str">
        <f>IFERROR(IF(IFERROR(MATCH(54,'كشف الحساب'!$N$4:$N$203,0),0)=0,"",INDEX('كشف الحساب'!$G$4:$G$203,IFERROR(MATCH(54,'كشف الحساب'!$N$4:$N$203,0),0))),"")</f>
        <v/>
      </c>
      <c r="H58" s="95" t="str">
        <f>IFERROR(IF(IFERROR(MATCH(54,'كشف الحساب'!$N$4:$N$203,0),0)=0,"",INDEX('كشف الحساب'!$H$4:$H$203,IFERROR(MATCH(54,'كشف الحساب'!$N$4:$N$203,0),0))),"")</f>
        <v/>
      </c>
      <c r="I58" s="95" t="str">
        <f>IFERROR(IF(IFERROR(MATCH(54,'كشف الحساب'!$N$4:$N$203,0),0)=0,"",INDEX('كشف الحساب'!$I$4:$I$203,IFERROR(MATCH(54,'كشف الحساب'!$N$4:$N$203,0),0))),"")</f>
        <v/>
      </c>
      <c r="J58" s="99" t="str">
        <f>IFERROR(IF(IFERROR(MATCH(54,'كشف الحساب'!$N$4:$N$203,0),0)=0,"",INDEX('كشف الحساب'!$J$4:$J$203,IFERROR(MATCH(54,'كشف الحساب'!$N$4:$N$203,0),0))),"")</f>
        <v/>
      </c>
      <c r="K58" s="95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>
      <c r="A59" s="88" t="str">
        <f>IFERROR(IF(IFERROR(MATCH(55,'كشف الحساب'!$N$4:$N$203,0),0)=0,"",INDEX('كشف الحساب'!$A$4:$A$203,IFERROR(MATCH(55,'كشف الحساب'!$N$4:$N$203,0),0))),"")</f>
        <v/>
      </c>
      <c r="B59" s="89" t="str">
        <f>IFERROR(IF(IFERROR(MATCH(55,'كشف الحساب'!$N$4:$N$203,0),0)=0,"",INDEX('كشف الحساب'!$B$4:$B$203,IFERROR(MATCH(55,'كشف الحساب'!$N$4:$N$203,0),0))),"")</f>
        <v/>
      </c>
      <c r="C59" s="90" t="str">
        <f>IFERROR(IF(IFERROR(MATCH(55,'كشف الحساب'!$N$4:$N$203,0),0)=0,"",INDEX('كشف الحساب'!$C$4:$C$203,IFERROR(MATCH(55,'كشف الحساب'!$N$4:$N$203,0),0))),"")</f>
        <v/>
      </c>
      <c r="D59" s="91" t="str">
        <f>IFERROR(IF(IFERROR(MATCH(55,'كشف الحساب'!$N$4:$N$203,0),0)=0,"",INDEX('كشف الحساب'!$D$4:$D$203,IFERROR(MATCH(55,'كشف الحساب'!$N$4:$N$203,0),0))),"")</f>
        <v/>
      </c>
      <c r="E59" s="92" t="str">
        <f>IFERROR(IF(IFERROR(MATCH(55,'كشف الحساب'!$N$4:$N$203,0),0)=0,"",INDEX('كشف الحساب'!$E$4:$E$203,IFERROR(MATCH(55,'كشف الحساب'!$N$4:$N$203,0),0))),"")</f>
        <v/>
      </c>
      <c r="F59" s="89" t="str">
        <f>IFERROR(IF(IFERROR(MATCH(55,'كشف الحساب'!$N$4:$N$203,0),0)=0,"",INDEX('كشف الحساب'!$F$4:$F$203,IFERROR(MATCH(55,'كشف الحساب'!$N$4:$N$203,0),0))),"")</f>
        <v/>
      </c>
      <c r="G59" s="89" t="str">
        <f>IFERROR(IF(IFERROR(MATCH(55,'كشف الحساب'!$N$4:$N$203,0),0)=0,"",INDEX('كشف الحساب'!$G$4:$G$203,IFERROR(MATCH(55,'كشف الحساب'!$N$4:$N$203,0),0))),"")</f>
        <v/>
      </c>
      <c r="H59" s="89" t="str">
        <f>IFERROR(IF(IFERROR(MATCH(55,'كشف الحساب'!$N$4:$N$203,0),0)=0,"",INDEX('كشف الحساب'!$H$4:$H$203,IFERROR(MATCH(55,'كشف الحساب'!$N$4:$N$203,0),0))),"")</f>
        <v/>
      </c>
      <c r="I59" s="89" t="str">
        <f>IFERROR(IF(IFERROR(MATCH(55,'كشف الحساب'!$N$4:$N$203,0),0)=0,"",INDEX('كشف الحساب'!$I$4:$I$203,IFERROR(MATCH(55,'كشف الحساب'!$N$4:$N$203,0),0))),"")</f>
        <v/>
      </c>
      <c r="J59" s="93" t="str">
        <f>IFERROR(IF(IFERROR(MATCH(55,'كشف الحساب'!$N$4:$N$203,0),0)=0,"",INDEX('كشف الحساب'!$J$4:$J$203,IFERROR(MATCH(55,'كشف الحساب'!$N$4:$N$203,0),0))),"")</f>
        <v/>
      </c>
      <c r="K59" s="89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>
      <c r="A60" s="94" t="str">
        <f>IFERROR(IF(IFERROR(MATCH(56,'كشف الحساب'!$N$4:$N$203,0),0)=0,"",INDEX('كشف الحساب'!$A$4:$A$203,IFERROR(MATCH(56,'كشف الحساب'!$N$4:$N$203,0),0))),"")</f>
        <v/>
      </c>
      <c r="B60" s="95" t="str">
        <f>IFERROR(IF(IFERROR(MATCH(56,'كشف الحساب'!$N$4:$N$203,0),0)=0,"",INDEX('كشف الحساب'!$B$4:$B$203,IFERROR(MATCH(56,'كشف الحساب'!$N$4:$N$203,0),0))),"")</f>
        <v/>
      </c>
      <c r="C60" s="96" t="str">
        <f>IFERROR(IF(IFERROR(MATCH(56,'كشف الحساب'!$N$4:$N$203,0),0)=0,"",INDEX('كشف الحساب'!$C$4:$C$203,IFERROR(MATCH(56,'كشف الحساب'!$N$4:$N$203,0),0))),"")</f>
        <v/>
      </c>
      <c r="D60" s="97" t="str">
        <f>IFERROR(IF(IFERROR(MATCH(56,'كشف الحساب'!$N$4:$N$203,0),0)=0,"",INDEX('كشف الحساب'!$D$4:$D$203,IFERROR(MATCH(56,'كشف الحساب'!$N$4:$N$203,0),0))),"")</f>
        <v/>
      </c>
      <c r="E60" s="98" t="str">
        <f>IFERROR(IF(IFERROR(MATCH(56,'كشف الحساب'!$N$4:$N$203,0),0)=0,"",INDEX('كشف الحساب'!$E$4:$E$203,IFERROR(MATCH(56,'كشف الحساب'!$N$4:$N$203,0),0))),"")</f>
        <v/>
      </c>
      <c r="F60" s="95" t="str">
        <f>IFERROR(IF(IFERROR(MATCH(56,'كشف الحساب'!$N$4:$N$203,0),0)=0,"",INDEX('كشف الحساب'!$F$4:$F$203,IFERROR(MATCH(56,'كشف الحساب'!$N$4:$N$203,0),0))),"")</f>
        <v/>
      </c>
      <c r="G60" s="95" t="str">
        <f>IFERROR(IF(IFERROR(MATCH(56,'كشف الحساب'!$N$4:$N$203,0),0)=0,"",INDEX('كشف الحساب'!$G$4:$G$203,IFERROR(MATCH(56,'كشف الحساب'!$N$4:$N$203,0),0))),"")</f>
        <v/>
      </c>
      <c r="H60" s="95" t="str">
        <f>IFERROR(IF(IFERROR(MATCH(56,'كشف الحساب'!$N$4:$N$203,0),0)=0,"",INDEX('كشف الحساب'!$H$4:$H$203,IFERROR(MATCH(56,'كشف الحساب'!$N$4:$N$203,0),0))),"")</f>
        <v/>
      </c>
      <c r="I60" s="95" t="str">
        <f>IFERROR(IF(IFERROR(MATCH(56,'كشف الحساب'!$N$4:$N$203,0),0)=0,"",INDEX('كشف الحساب'!$I$4:$I$203,IFERROR(MATCH(56,'كشف الحساب'!$N$4:$N$203,0),0))),"")</f>
        <v/>
      </c>
      <c r="J60" s="99" t="str">
        <f>IFERROR(IF(IFERROR(MATCH(56,'كشف الحساب'!$N$4:$N$203,0),0)=0,"",INDEX('كشف الحساب'!$J$4:$J$203,IFERROR(MATCH(56,'كشف الحساب'!$N$4:$N$203,0),0))),"")</f>
        <v/>
      </c>
      <c r="K60" s="95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>
      <c r="A61" s="88" t="str">
        <f>IFERROR(IF(IFERROR(MATCH(57,'كشف الحساب'!$N$4:$N$203,0),0)=0,"",INDEX('كشف الحساب'!$A$4:$A$203,IFERROR(MATCH(57,'كشف الحساب'!$N$4:$N$203,0),0))),"")</f>
        <v/>
      </c>
      <c r="B61" s="89" t="str">
        <f>IFERROR(IF(IFERROR(MATCH(57,'كشف الحساب'!$N$4:$N$203,0),0)=0,"",INDEX('كشف الحساب'!$B$4:$B$203,IFERROR(MATCH(57,'كشف الحساب'!$N$4:$N$203,0),0))),"")</f>
        <v/>
      </c>
      <c r="C61" s="90" t="str">
        <f>IFERROR(IF(IFERROR(MATCH(57,'كشف الحساب'!$N$4:$N$203,0),0)=0,"",INDEX('كشف الحساب'!$C$4:$C$203,IFERROR(MATCH(57,'كشف الحساب'!$N$4:$N$203,0),0))),"")</f>
        <v/>
      </c>
      <c r="D61" s="91" t="str">
        <f>IFERROR(IF(IFERROR(MATCH(57,'كشف الحساب'!$N$4:$N$203,0),0)=0,"",INDEX('كشف الحساب'!$D$4:$D$203,IFERROR(MATCH(57,'كشف الحساب'!$N$4:$N$203,0),0))),"")</f>
        <v/>
      </c>
      <c r="E61" s="92" t="str">
        <f>IFERROR(IF(IFERROR(MATCH(57,'كشف الحساب'!$N$4:$N$203,0),0)=0,"",INDEX('كشف الحساب'!$E$4:$E$203,IFERROR(MATCH(57,'كشف الحساب'!$N$4:$N$203,0),0))),"")</f>
        <v/>
      </c>
      <c r="F61" s="89" t="str">
        <f>IFERROR(IF(IFERROR(MATCH(57,'كشف الحساب'!$N$4:$N$203,0),0)=0,"",INDEX('كشف الحساب'!$F$4:$F$203,IFERROR(MATCH(57,'كشف الحساب'!$N$4:$N$203,0),0))),"")</f>
        <v/>
      </c>
      <c r="G61" s="89" t="str">
        <f>IFERROR(IF(IFERROR(MATCH(57,'كشف الحساب'!$N$4:$N$203,0),0)=0,"",INDEX('كشف الحساب'!$G$4:$G$203,IFERROR(MATCH(57,'كشف الحساب'!$N$4:$N$203,0),0))),"")</f>
        <v/>
      </c>
      <c r="H61" s="89" t="str">
        <f>IFERROR(IF(IFERROR(MATCH(57,'كشف الحساب'!$N$4:$N$203,0),0)=0,"",INDEX('كشف الحساب'!$H$4:$H$203,IFERROR(MATCH(57,'كشف الحساب'!$N$4:$N$203,0),0))),"")</f>
        <v/>
      </c>
      <c r="I61" s="89" t="str">
        <f>IFERROR(IF(IFERROR(MATCH(57,'كشف الحساب'!$N$4:$N$203,0),0)=0,"",INDEX('كشف الحساب'!$I$4:$I$203,IFERROR(MATCH(57,'كشف الحساب'!$N$4:$N$203,0),0))),"")</f>
        <v/>
      </c>
      <c r="J61" s="93" t="str">
        <f>IFERROR(IF(IFERROR(MATCH(57,'كشف الحساب'!$N$4:$N$203,0),0)=0,"",INDEX('كشف الحساب'!$J$4:$J$203,IFERROR(MATCH(57,'كشف الحساب'!$N$4:$N$203,0),0))),"")</f>
        <v/>
      </c>
      <c r="K61" s="89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>
      <c r="A62" s="94" t="str">
        <f>IFERROR(IF(IFERROR(MATCH(58,'كشف الحساب'!$N$4:$N$203,0),0)=0,"",INDEX('كشف الحساب'!$A$4:$A$203,IFERROR(MATCH(58,'كشف الحساب'!$N$4:$N$203,0),0))),"")</f>
        <v/>
      </c>
      <c r="B62" s="95" t="str">
        <f>IFERROR(IF(IFERROR(MATCH(58,'كشف الحساب'!$N$4:$N$203,0),0)=0,"",INDEX('كشف الحساب'!$B$4:$B$203,IFERROR(MATCH(58,'كشف الحساب'!$N$4:$N$203,0),0))),"")</f>
        <v/>
      </c>
      <c r="C62" s="96" t="str">
        <f>IFERROR(IF(IFERROR(MATCH(58,'كشف الحساب'!$N$4:$N$203,0),0)=0,"",INDEX('كشف الحساب'!$C$4:$C$203,IFERROR(MATCH(58,'كشف الحساب'!$N$4:$N$203,0),0))),"")</f>
        <v/>
      </c>
      <c r="D62" s="97" t="str">
        <f>IFERROR(IF(IFERROR(MATCH(58,'كشف الحساب'!$N$4:$N$203,0),0)=0,"",INDEX('كشف الحساب'!$D$4:$D$203,IFERROR(MATCH(58,'كشف الحساب'!$N$4:$N$203,0),0))),"")</f>
        <v/>
      </c>
      <c r="E62" s="98" t="str">
        <f>IFERROR(IF(IFERROR(MATCH(58,'كشف الحساب'!$N$4:$N$203,0),0)=0,"",INDEX('كشف الحساب'!$E$4:$E$203,IFERROR(MATCH(58,'كشف الحساب'!$N$4:$N$203,0),0))),"")</f>
        <v/>
      </c>
      <c r="F62" s="95" t="str">
        <f>IFERROR(IF(IFERROR(MATCH(58,'كشف الحساب'!$N$4:$N$203,0),0)=0,"",INDEX('كشف الحساب'!$F$4:$F$203,IFERROR(MATCH(58,'كشف الحساب'!$N$4:$N$203,0),0))),"")</f>
        <v/>
      </c>
      <c r="G62" s="95" t="str">
        <f>IFERROR(IF(IFERROR(MATCH(58,'كشف الحساب'!$N$4:$N$203,0),0)=0,"",INDEX('كشف الحساب'!$G$4:$G$203,IFERROR(MATCH(58,'كشف الحساب'!$N$4:$N$203,0),0))),"")</f>
        <v/>
      </c>
      <c r="H62" s="95" t="str">
        <f>IFERROR(IF(IFERROR(MATCH(58,'كشف الحساب'!$N$4:$N$203,0),0)=0,"",INDEX('كشف الحساب'!$H$4:$H$203,IFERROR(MATCH(58,'كشف الحساب'!$N$4:$N$203,0),0))),"")</f>
        <v/>
      </c>
      <c r="I62" s="95" t="str">
        <f>IFERROR(IF(IFERROR(MATCH(58,'كشف الحساب'!$N$4:$N$203,0),0)=0,"",INDEX('كشف الحساب'!$I$4:$I$203,IFERROR(MATCH(58,'كشف الحساب'!$N$4:$N$203,0),0))),"")</f>
        <v/>
      </c>
      <c r="J62" s="99" t="str">
        <f>IFERROR(IF(IFERROR(MATCH(58,'كشف الحساب'!$N$4:$N$203,0),0)=0,"",INDEX('كشف الحساب'!$J$4:$J$203,IFERROR(MATCH(58,'كشف الحساب'!$N$4:$N$203,0),0))),"")</f>
        <v/>
      </c>
      <c r="K62" s="95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>
      <c r="A63" s="88" t="str">
        <f>IFERROR(IF(IFERROR(MATCH(59,'كشف الحساب'!$N$4:$N$203,0),0)=0,"",INDEX('كشف الحساب'!$A$4:$A$203,IFERROR(MATCH(59,'كشف الحساب'!$N$4:$N$203,0),0))),"")</f>
        <v/>
      </c>
      <c r="B63" s="89" t="str">
        <f>IFERROR(IF(IFERROR(MATCH(59,'كشف الحساب'!$N$4:$N$203,0),0)=0,"",INDEX('كشف الحساب'!$B$4:$B$203,IFERROR(MATCH(59,'كشف الحساب'!$N$4:$N$203,0),0))),"")</f>
        <v/>
      </c>
      <c r="C63" s="90" t="str">
        <f>IFERROR(IF(IFERROR(MATCH(59,'كشف الحساب'!$N$4:$N$203,0),0)=0,"",INDEX('كشف الحساب'!$C$4:$C$203,IFERROR(MATCH(59,'كشف الحساب'!$N$4:$N$203,0),0))),"")</f>
        <v/>
      </c>
      <c r="D63" s="91" t="str">
        <f>IFERROR(IF(IFERROR(MATCH(59,'كشف الحساب'!$N$4:$N$203,0),0)=0,"",INDEX('كشف الحساب'!$D$4:$D$203,IFERROR(MATCH(59,'كشف الحساب'!$N$4:$N$203,0),0))),"")</f>
        <v/>
      </c>
      <c r="E63" s="92" t="str">
        <f>IFERROR(IF(IFERROR(MATCH(59,'كشف الحساب'!$N$4:$N$203,0),0)=0,"",INDEX('كشف الحساب'!$E$4:$E$203,IFERROR(MATCH(59,'كشف الحساب'!$N$4:$N$203,0),0))),"")</f>
        <v/>
      </c>
      <c r="F63" s="89" t="str">
        <f>IFERROR(IF(IFERROR(MATCH(59,'كشف الحساب'!$N$4:$N$203,0),0)=0,"",INDEX('كشف الحساب'!$F$4:$F$203,IFERROR(MATCH(59,'كشف الحساب'!$N$4:$N$203,0),0))),"")</f>
        <v/>
      </c>
      <c r="G63" s="89" t="str">
        <f>IFERROR(IF(IFERROR(MATCH(59,'كشف الحساب'!$N$4:$N$203,0),0)=0,"",INDEX('كشف الحساب'!$G$4:$G$203,IFERROR(MATCH(59,'كشف الحساب'!$N$4:$N$203,0),0))),"")</f>
        <v/>
      </c>
      <c r="H63" s="89" t="str">
        <f>IFERROR(IF(IFERROR(MATCH(59,'كشف الحساب'!$N$4:$N$203,0),0)=0,"",INDEX('كشف الحساب'!$H$4:$H$203,IFERROR(MATCH(59,'كشف الحساب'!$N$4:$N$203,0),0))),"")</f>
        <v/>
      </c>
      <c r="I63" s="89" t="str">
        <f>IFERROR(IF(IFERROR(MATCH(59,'كشف الحساب'!$N$4:$N$203,0),0)=0,"",INDEX('كشف الحساب'!$I$4:$I$203,IFERROR(MATCH(59,'كشف الحساب'!$N$4:$N$203,0),0))),"")</f>
        <v/>
      </c>
      <c r="J63" s="93" t="str">
        <f>IFERROR(IF(IFERROR(MATCH(59,'كشف الحساب'!$N$4:$N$203,0),0)=0,"",INDEX('كشف الحساب'!$J$4:$J$203,IFERROR(MATCH(59,'كشف الحساب'!$N$4:$N$203,0),0))),"")</f>
        <v/>
      </c>
      <c r="K63" s="89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>
      <c r="A64" s="94" t="str">
        <f>IFERROR(IF(IFERROR(MATCH(60,'كشف الحساب'!$N$4:$N$203,0),0)=0,"",INDEX('كشف الحساب'!$A$4:$A$203,IFERROR(MATCH(60,'كشف الحساب'!$N$4:$N$203,0),0))),"")</f>
        <v/>
      </c>
      <c r="B64" s="95" t="str">
        <f>IFERROR(IF(IFERROR(MATCH(60,'كشف الحساب'!$N$4:$N$203,0),0)=0,"",INDEX('كشف الحساب'!$B$4:$B$203,IFERROR(MATCH(60,'كشف الحساب'!$N$4:$N$203,0),0))),"")</f>
        <v/>
      </c>
      <c r="C64" s="96" t="str">
        <f>IFERROR(IF(IFERROR(MATCH(60,'كشف الحساب'!$N$4:$N$203,0),0)=0,"",INDEX('كشف الحساب'!$C$4:$C$203,IFERROR(MATCH(60,'كشف الحساب'!$N$4:$N$203,0),0))),"")</f>
        <v/>
      </c>
      <c r="D64" s="97" t="str">
        <f>IFERROR(IF(IFERROR(MATCH(60,'كشف الحساب'!$N$4:$N$203,0),0)=0,"",INDEX('كشف الحساب'!$D$4:$D$203,IFERROR(MATCH(60,'كشف الحساب'!$N$4:$N$203,0),0))),"")</f>
        <v/>
      </c>
      <c r="E64" s="98" t="str">
        <f>IFERROR(IF(IFERROR(MATCH(60,'كشف الحساب'!$N$4:$N$203,0),0)=0,"",INDEX('كشف الحساب'!$E$4:$E$203,IFERROR(MATCH(60,'كشف الحساب'!$N$4:$N$203,0),0))),"")</f>
        <v/>
      </c>
      <c r="F64" s="95" t="str">
        <f>IFERROR(IF(IFERROR(MATCH(60,'كشف الحساب'!$N$4:$N$203,0),0)=0,"",INDEX('كشف الحساب'!$F$4:$F$203,IFERROR(MATCH(60,'كشف الحساب'!$N$4:$N$203,0),0))),"")</f>
        <v/>
      </c>
      <c r="G64" s="95" t="str">
        <f>IFERROR(IF(IFERROR(MATCH(60,'كشف الحساب'!$N$4:$N$203,0),0)=0,"",INDEX('كشف الحساب'!$G$4:$G$203,IFERROR(MATCH(60,'كشف الحساب'!$N$4:$N$203,0),0))),"")</f>
        <v/>
      </c>
      <c r="H64" s="95" t="str">
        <f>IFERROR(IF(IFERROR(MATCH(60,'كشف الحساب'!$N$4:$N$203,0),0)=0,"",INDEX('كشف الحساب'!$H$4:$H$203,IFERROR(MATCH(60,'كشف الحساب'!$N$4:$N$203,0),0))),"")</f>
        <v/>
      </c>
      <c r="I64" s="95" t="str">
        <f>IFERROR(IF(IFERROR(MATCH(60,'كشف الحساب'!$N$4:$N$203,0),0)=0,"",INDEX('كشف الحساب'!$I$4:$I$203,IFERROR(MATCH(60,'كشف الحساب'!$N$4:$N$203,0),0))),"")</f>
        <v/>
      </c>
      <c r="J64" s="99" t="str">
        <f>IFERROR(IF(IFERROR(MATCH(60,'كشف الحساب'!$N$4:$N$203,0),0)=0,"",INDEX('كشف الحساب'!$J$4:$J$203,IFERROR(MATCH(60,'كشف الحساب'!$N$4:$N$203,0),0))),"")</f>
        <v/>
      </c>
      <c r="K64" s="95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>
      <c r="A65" s="88" t="str">
        <f>IFERROR(IF(IFERROR(MATCH(61,'كشف الحساب'!$N$4:$N$203,0),0)=0,"",INDEX('كشف الحساب'!$A$4:$A$203,IFERROR(MATCH(61,'كشف الحساب'!$N$4:$N$203,0),0))),"")</f>
        <v/>
      </c>
      <c r="B65" s="89" t="str">
        <f>IFERROR(IF(IFERROR(MATCH(61,'كشف الحساب'!$N$4:$N$203,0),0)=0,"",INDEX('كشف الحساب'!$B$4:$B$203,IFERROR(MATCH(61,'كشف الحساب'!$N$4:$N$203,0),0))),"")</f>
        <v/>
      </c>
      <c r="C65" s="90" t="str">
        <f>IFERROR(IF(IFERROR(MATCH(61,'كشف الحساب'!$N$4:$N$203,0),0)=0,"",INDEX('كشف الحساب'!$C$4:$C$203,IFERROR(MATCH(61,'كشف الحساب'!$N$4:$N$203,0),0))),"")</f>
        <v/>
      </c>
      <c r="D65" s="91" t="str">
        <f>IFERROR(IF(IFERROR(MATCH(61,'كشف الحساب'!$N$4:$N$203,0),0)=0,"",INDEX('كشف الحساب'!$D$4:$D$203,IFERROR(MATCH(61,'كشف الحساب'!$N$4:$N$203,0),0))),"")</f>
        <v/>
      </c>
      <c r="E65" s="92" t="str">
        <f>IFERROR(IF(IFERROR(MATCH(61,'كشف الحساب'!$N$4:$N$203,0),0)=0,"",INDEX('كشف الحساب'!$E$4:$E$203,IFERROR(MATCH(61,'كشف الحساب'!$N$4:$N$203,0),0))),"")</f>
        <v/>
      </c>
      <c r="F65" s="89" t="str">
        <f>IFERROR(IF(IFERROR(MATCH(61,'كشف الحساب'!$N$4:$N$203,0),0)=0,"",INDEX('كشف الحساب'!$F$4:$F$203,IFERROR(MATCH(61,'كشف الحساب'!$N$4:$N$203,0),0))),"")</f>
        <v/>
      </c>
      <c r="G65" s="89" t="str">
        <f>IFERROR(IF(IFERROR(MATCH(61,'كشف الحساب'!$N$4:$N$203,0),0)=0,"",INDEX('كشف الحساب'!$G$4:$G$203,IFERROR(MATCH(61,'كشف الحساب'!$N$4:$N$203,0),0))),"")</f>
        <v/>
      </c>
      <c r="H65" s="89" t="str">
        <f>IFERROR(IF(IFERROR(MATCH(61,'كشف الحساب'!$N$4:$N$203,0),0)=0,"",INDEX('كشف الحساب'!$H$4:$H$203,IFERROR(MATCH(61,'كشف الحساب'!$N$4:$N$203,0),0))),"")</f>
        <v/>
      </c>
      <c r="I65" s="89" t="str">
        <f>IFERROR(IF(IFERROR(MATCH(61,'كشف الحساب'!$N$4:$N$203,0),0)=0,"",INDEX('كشف الحساب'!$I$4:$I$203,IFERROR(MATCH(61,'كشف الحساب'!$N$4:$N$203,0),0))),"")</f>
        <v/>
      </c>
      <c r="J65" s="93" t="str">
        <f>IFERROR(IF(IFERROR(MATCH(61,'كشف الحساب'!$N$4:$N$203,0),0)=0,"",INDEX('كشف الحساب'!$J$4:$J$203,IFERROR(MATCH(61,'كشف الحساب'!$N$4:$N$203,0),0))),"")</f>
        <v/>
      </c>
      <c r="K65" s="89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>
      <c r="A66" s="94" t="str">
        <f>IFERROR(IF(IFERROR(MATCH(62,'كشف الحساب'!$N$4:$N$203,0),0)=0,"",INDEX('كشف الحساب'!$A$4:$A$203,IFERROR(MATCH(62,'كشف الحساب'!$N$4:$N$203,0),0))),"")</f>
        <v/>
      </c>
      <c r="B66" s="95" t="str">
        <f>IFERROR(IF(IFERROR(MATCH(62,'كشف الحساب'!$N$4:$N$203,0),0)=0,"",INDEX('كشف الحساب'!$B$4:$B$203,IFERROR(MATCH(62,'كشف الحساب'!$N$4:$N$203,0),0))),"")</f>
        <v/>
      </c>
      <c r="C66" s="96" t="str">
        <f>IFERROR(IF(IFERROR(MATCH(62,'كشف الحساب'!$N$4:$N$203,0),0)=0,"",INDEX('كشف الحساب'!$C$4:$C$203,IFERROR(MATCH(62,'كشف الحساب'!$N$4:$N$203,0),0))),"")</f>
        <v/>
      </c>
      <c r="D66" s="97" t="str">
        <f>IFERROR(IF(IFERROR(MATCH(62,'كشف الحساب'!$N$4:$N$203,0),0)=0,"",INDEX('كشف الحساب'!$D$4:$D$203,IFERROR(MATCH(62,'كشف الحساب'!$N$4:$N$203,0),0))),"")</f>
        <v/>
      </c>
      <c r="E66" s="98" t="str">
        <f>IFERROR(IF(IFERROR(MATCH(62,'كشف الحساب'!$N$4:$N$203,0),0)=0,"",INDEX('كشف الحساب'!$E$4:$E$203,IFERROR(MATCH(62,'كشف الحساب'!$N$4:$N$203,0),0))),"")</f>
        <v/>
      </c>
      <c r="F66" s="95" t="str">
        <f>IFERROR(IF(IFERROR(MATCH(62,'كشف الحساب'!$N$4:$N$203,0),0)=0,"",INDEX('كشف الحساب'!$F$4:$F$203,IFERROR(MATCH(62,'كشف الحساب'!$N$4:$N$203,0),0))),"")</f>
        <v/>
      </c>
      <c r="G66" s="95" t="str">
        <f>IFERROR(IF(IFERROR(MATCH(62,'كشف الحساب'!$N$4:$N$203,0),0)=0,"",INDEX('كشف الحساب'!$G$4:$G$203,IFERROR(MATCH(62,'كشف الحساب'!$N$4:$N$203,0),0))),"")</f>
        <v/>
      </c>
      <c r="H66" s="95" t="str">
        <f>IFERROR(IF(IFERROR(MATCH(62,'كشف الحساب'!$N$4:$N$203,0),0)=0,"",INDEX('كشف الحساب'!$H$4:$H$203,IFERROR(MATCH(62,'كشف الحساب'!$N$4:$N$203,0),0))),"")</f>
        <v/>
      </c>
      <c r="I66" s="95" t="str">
        <f>IFERROR(IF(IFERROR(MATCH(62,'كشف الحساب'!$N$4:$N$203,0),0)=0,"",INDEX('كشف الحساب'!$I$4:$I$203,IFERROR(MATCH(62,'كشف الحساب'!$N$4:$N$203,0),0))),"")</f>
        <v/>
      </c>
      <c r="J66" s="99" t="str">
        <f>IFERROR(IF(IFERROR(MATCH(62,'كشف الحساب'!$N$4:$N$203,0),0)=0,"",INDEX('كشف الحساب'!$J$4:$J$203,IFERROR(MATCH(62,'كشف الحساب'!$N$4:$N$203,0),0))),"")</f>
        <v/>
      </c>
      <c r="K66" s="95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>
      <c r="A67" s="88" t="str">
        <f>IFERROR(IF(IFERROR(MATCH(63,'كشف الحساب'!$N$4:$N$203,0),0)=0,"",INDEX('كشف الحساب'!$A$4:$A$203,IFERROR(MATCH(63,'كشف الحساب'!$N$4:$N$203,0),0))),"")</f>
        <v/>
      </c>
      <c r="B67" s="89" t="str">
        <f>IFERROR(IF(IFERROR(MATCH(63,'كشف الحساب'!$N$4:$N$203,0),0)=0,"",INDEX('كشف الحساب'!$B$4:$B$203,IFERROR(MATCH(63,'كشف الحساب'!$N$4:$N$203,0),0))),"")</f>
        <v/>
      </c>
      <c r="C67" s="90" t="str">
        <f>IFERROR(IF(IFERROR(MATCH(63,'كشف الحساب'!$N$4:$N$203,0),0)=0,"",INDEX('كشف الحساب'!$C$4:$C$203,IFERROR(MATCH(63,'كشف الحساب'!$N$4:$N$203,0),0))),"")</f>
        <v/>
      </c>
      <c r="D67" s="91" t="str">
        <f>IFERROR(IF(IFERROR(MATCH(63,'كشف الحساب'!$N$4:$N$203,0),0)=0,"",INDEX('كشف الحساب'!$D$4:$D$203,IFERROR(MATCH(63,'كشف الحساب'!$N$4:$N$203,0),0))),"")</f>
        <v/>
      </c>
      <c r="E67" s="92" t="str">
        <f>IFERROR(IF(IFERROR(MATCH(63,'كشف الحساب'!$N$4:$N$203,0),0)=0,"",INDEX('كشف الحساب'!$E$4:$E$203,IFERROR(MATCH(63,'كشف الحساب'!$N$4:$N$203,0),0))),"")</f>
        <v/>
      </c>
      <c r="F67" s="89" t="str">
        <f>IFERROR(IF(IFERROR(MATCH(63,'كشف الحساب'!$N$4:$N$203,0),0)=0,"",INDEX('كشف الحساب'!$F$4:$F$203,IFERROR(MATCH(63,'كشف الحساب'!$N$4:$N$203,0),0))),"")</f>
        <v/>
      </c>
      <c r="G67" s="89" t="str">
        <f>IFERROR(IF(IFERROR(MATCH(63,'كشف الحساب'!$N$4:$N$203,0),0)=0,"",INDEX('كشف الحساب'!$G$4:$G$203,IFERROR(MATCH(63,'كشف الحساب'!$N$4:$N$203,0),0))),"")</f>
        <v/>
      </c>
      <c r="H67" s="89" t="str">
        <f>IFERROR(IF(IFERROR(MATCH(63,'كشف الحساب'!$N$4:$N$203,0),0)=0,"",INDEX('كشف الحساب'!$H$4:$H$203,IFERROR(MATCH(63,'كشف الحساب'!$N$4:$N$203,0),0))),"")</f>
        <v/>
      </c>
      <c r="I67" s="89" t="str">
        <f>IFERROR(IF(IFERROR(MATCH(63,'كشف الحساب'!$N$4:$N$203,0),0)=0,"",INDEX('كشف الحساب'!$I$4:$I$203,IFERROR(MATCH(63,'كشف الحساب'!$N$4:$N$203,0),0))),"")</f>
        <v/>
      </c>
      <c r="J67" s="93" t="str">
        <f>IFERROR(IF(IFERROR(MATCH(63,'كشف الحساب'!$N$4:$N$203,0),0)=0,"",INDEX('كشف الحساب'!$J$4:$J$203,IFERROR(MATCH(63,'كشف الحساب'!$N$4:$N$203,0),0))),"")</f>
        <v/>
      </c>
      <c r="K67" s="89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>
      <c r="A68" s="94" t="str">
        <f>IFERROR(IF(IFERROR(MATCH(64,'كشف الحساب'!$N$4:$N$203,0),0)=0,"",INDEX('كشف الحساب'!$A$4:$A$203,IFERROR(MATCH(64,'كشف الحساب'!$N$4:$N$203,0),0))),"")</f>
        <v/>
      </c>
      <c r="B68" s="95" t="str">
        <f>IFERROR(IF(IFERROR(MATCH(64,'كشف الحساب'!$N$4:$N$203,0),0)=0,"",INDEX('كشف الحساب'!$B$4:$B$203,IFERROR(MATCH(64,'كشف الحساب'!$N$4:$N$203,0),0))),"")</f>
        <v/>
      </c>
      <c r="C68" s="96" t="str">
        <f>IFERROR(IF(IFERROR(MATCH(64,'كشف الحساب'!$N$4:$N$203,0),0)=0,"",INDEX('كشف الحساب'!$C$4:$C$203,IFERROR(MATCH(64,'كشف الحساب'!$N$4:$N$203,0),0))),"")</f>
        <v/>
      </c>
      <c r="D68" s="97" t="str">
        <f>IFERROR(IF(IFERROR(MATCH(64,'كشف الحساب'!$N$4:$N$203,0),0)=0,"",INDEX('كشف الحساب'!$D$4:$D$203,IFERROR(MATCH(64,'كشف الحساب'!$N$4:$N$203,0),0))),"")</f>
        <v/>
      </c>
      <c r="E68" s="98" t="str">
        <f>IFERROR(IF(IFERROR(MATCH(64,'كشف الحساب'!$N$4:$N$203,0),0)=0,"",INDEX('كشف الحساب'!$E$4:$E$203,IFERROR(MATCH(64,'كشف الحساب'!$N$4:$N$203,0),0))),"")</f>
        <v/>
      </c>
      <c r="F68" s="95" t="str">
        <f>IFERROR(IF(IFERROR(MATCH(64,'كشف الحساب'!$N$4:$N$203,0),0)=0,"",INDEX('كشف الحساب'!$F$4:$F$203,IFERROR(MATCH(64,'كشف الحساب'!$N$4:$N$203,0),0))),"")</f>
        <v/>
      </c>
      <c r="G68" s="95" t="str">
        <f>IFERROR(IF(IFERROR(MATCH(64,'كشف الحساب'!$N$4:$N$203,0),0)=0,"",INDEX('كشف الحساب'!$G$4:$G$203,IFERROR(MATCH(64,'كشف الحساب'!$N$4:$N$203,0),0))),"")</f>
        <v/>
      </c>
      <c r="H68" s="95" t="str">
        <f>IFERROR(IF(IFERROR(MATCH(64,'كشف الحساب'!$N$4:$N$203,0),0)=0,"",INDEX('كشف الحساب'!$H$4:$H$203,IFERROR(MATCH(64,'كشف الحساب'!$N$4:$N$203,0),0))),"")</f>
        <v/>
      </c>
      <c r="I68" s="95" t="str">
        <f>IFERROR(IF(IFERROR(MATCH(64,'كشف الحساب'!$N$4:$N$203,0),0)=0,"",INDEX('كشف الحساب'!$I$4:$I$203,IFERROR(MATCH(64,'كشف الحساب'!$N$4:$N$203,0),0))),"")</f>
        <v/>
      </c>
      <c r="J68" s="99" t="str">
        <f>IFERROR(IF(IFERROR(MATCH(64,'كشف الحساب'!$N$4:$N$203,0),0)=0,"",INDEX('كشف الحساب'!$J$4:$J$203,IFERROR(MATCH(64,'كشف الحساب'!$N$4:$N$203,0),0))),"")</f>
        <v/>
      </c>
      <c r="K68" s="95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>
      <c r="A69" s="88" t="str">
        <f>IFERROR(IF(IFERROR(MATCH(65,'كشف الحساب'!$N$4:$N$203,0),0)=0,"",INDEX('كشف الحساب'!$A$4:$A$203,IFERROR(MATCH(65,'كشف الحساب'!$N$4:$N$203,0),0))),"")</f>
        <v/>
      </c>
      <c r="B69" s="89" t="str">
        <f>IFERROR(IF(IFERROR(MATCH(65,'كشف الحساب'!$N$4:$N$203,0),0)=0,"",INDEX('كشف الحساب'!$B$4:$B$203,IFERROR(MATCH(65,'كشف الحساب'!$N$4:$N$203,0),0))),"")</f>
        <v/>
      </c>
      <c r="C69" s="90" t="str">
        <f>IFERROR(IF(IFERROR(MATCH(65,'كشف الحساب'!$N$4:$N$203,0),0)=0,"",INDEX('كشف الحساب'!$C$4:$C$203,IFERROR(MATCH(65,'كشف الحساب'!$N$4:$N$203,0),0))),"")</f>
        <v/>
      </c>
      <c r="D69" s="91" t="str">
        <f>IFERROR(IF(IFERROR(MATCH(65,'كشف الحساب'!$N$4:$N$203,0),0)=0,"",INDEX('كشف الحساب'!$D$4:$D$203,IFERROR(MATCH(65,'كشف الحساب'!$N$4:$N$203,0),0))),"")</f>
        <v/>
      </c>
      <c r="E69" s="92" t="str">
        <f>IFERROR(IF(IFERROR(MATCH(65,'كشف الحساب'!$N$4:$N$203,0),0)=0,"",INDEX('كشف الحساب'!$E$4:$E$203,IFERROR(MATCH(65,'كشف الحساب'!$N$4:$N$203,0),0))),"")</f>
        <v/>
      </c>
      <c r="F69" s="89" t="str">
        <f>IFERROR(IF(IFERROR(MATCH(65,'كشف الحساب'!$N$4:$N$203,0),0)=0,"",INDEX('كشف الحساب'!$F$4:$F$203,IFERROR(MATCH(65,'كشف الحساب'!$N$4:$N$203,0),0))),"")</f>
        <v/>
      </c>
      <c r="G69" s="89" t="str">
        <f>IFERROR(IF(IFERROR(MATCH(65,'كشف الحساب'!$N$4:$N$203,0),0)=0,"",INDEX('كشف الحساب'!$G$4:$G$203,IFERROR(MATCH(65,'كشف الحساب'!$N$4:$N$203,0),0))),"")</f>
        <v/>
      </c>
      <c r="H69" s="89" t="str">
        <f>IFERROR(IF(IFERROR(MATCH(65,'كشف الحساب'!$N$4:$N$203,0),0)=0,"",INDEX('كشف الحساب'!$H$4:$H$203,IFERROR(MATCH(65,'كشف الحساب'!$N$4:$N$203,0),0))),"")</f>
        <v/>
      </c>
      <c r="I69" s="89" t="str">
        <f>IFERROR(IF(IFERROR(MATCH(65,'كشف الحساب'!$N$4:$N$203,0),0)=0,"",INDEX('كشف الحساب'!$I$4:$I$203,IFERROR(MATCH(65,'كشف الحساب'!$N$4:$N$203,0),0))),"")</f>
        <v/>
      </c>
      <c r="J69" s="93" t="str">
        <f>IFERROR(IF(IFERROR(MATCH(65,'كشف الحساب'!$N$4:$N$203,0),0)=0,"",INDEX('كشف الحساب'!$J$4:$J$203,IFERROR(MATCH(65,'كشف الحساب'!$N$4:$N$203,0),0))),"")</f>
        <v/>
      </c>
      <c r="K69" s="89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>
      <c r="A70" s="94" t="str">
        <f>IFERROR(IF(IFERROR(MATCH(66,'كشف الحساب'!$N$4:$N$203,0),0)=0,"",INDEX('كشف الحساب'!$A$4:$A$203,IFERROR(MATCH(66,'كشف الحساب'!$N$4:$N$203,0),0))),"")</f>
        <v/>
      </c>
      <c r="B70" s="95" t="str">
        <f>IFERROR(IF(IFERROR(MATCH(66,'كشف الحساب'!$N$4:$N$203,0),0)=0,"",INDEX('كشف الحساب'!$B$4:$B$203,IFERROR(MATCH(66,'كشف الحساب'!$N$4:$N$203,0),0))),"")</f>
        <v/>
      </c>
      <c r="C70" s="96" t="str">
        <f>IFERROR(IF(IFERROR(MATCH(66,'كشف الحساب'!$N$4:$N$203,0),0)=0,"",INDEX('كشف الحساب'!$C$4:$C$203,IFERROR(MATCH(66,'كشف الحساب'!$N$4:$N$203,0),0))),"")</f>
        <v/>
      </c>
      <c r="D70" s="97" t="str">
        <f>IFERROR(IF(IFERROR(MATCH(66,'كشف الحساب'!$N$4:$N$203,0),0)=0,"",INDEX('كشف الحساب'!$D$4:$D$203,IFERROR(MATCH(66,'كشف الحساب'!$N$4:$N$203,0),0))),"")</f>
        <v/>
      </c>
      <c r="E70" s="98" t="str">
        <f>IFERROR(IF(IFERROR(MATCH(66,'كشف الحساب'!$N$4:$N$203,0),0)=0,"",INDEX('كشف الحساب'!$E$4:$E$203,IFERROR(MATCH(66,'كشف الحساب'!$N$4:$N$203,0),0))),"")</f>
        <v/>
      </c>
      <c r="F70" s="95" t="str">
        <f>IFERROR(IF(IFERROR(MATCH(66,'كشف الحساب'!$N$4:$N$203,0),0)=0,"",INDEX('كشف الحساب'!$F$4:$F$203,IFERROR(MATCH(66,'كشف الحساب'!$N$4:$N$203,0),0))),"")</f>
        <v/>
      </c>
      <c r="G70" s="95" t="str">
        <f>IFERROR(IF(IFERROR(MATCH(66,'كشف الحساب'!$N$4:$N$203,0),0)=0,"",INDEX('كشف الحساب'!$G$4:$G$203,IFERROR(MATCH(66,'كشف الحساب'!$N$4:$N$203,0),0))),"")</f>
        <v/>
      </c>
      <c r="H70" s="95" t="str">
        <f>IFERROR(IF(IFERROR(MATCH(66,'كشف الحساب'!$N$4:$N$203,0),0)=0,"",INDEX('كشف الحساب'!$H$4:$H$203,IFERROR(MATCH(66,'كشف الحساب'!$N$4:$N$203,0),0))),"")</f>
        <v/>
      </c>
      <c r="I70" s="95" t="str">
        <f>IFERROR(IF(IFERROR(MATCH(66,'كشف الحساب'!$N$4:$N$203,0),0)=0,"",INDEX('كشف الحساب'!$I$4:$I$203,IFERROR(MATCH(66,'كشف الحساب'!$N$4:$N$203,0),0))),"")</f>
        <v/>
      </c>
      <c r="J70" s="99" t="str">
        <f>IFERROR(IF(IFERROR(MATCH(66,'كشف الحساب'!$N$4:$N$203,0),0)=0,"",INDEX('كشف الحساب'!$J$4:$J$203,IFERROR(MATCH(66,'كشف الحساب'!$N$4:$N$203,0),0))),"")</f>
        <v/>
      </c>
      <c r="K70" s="95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>
      <c r="A71" s="88" t="str">
        <f>IFERROR(IF(IFERROR(MATCH(67,'كشف الحساب'!$N$4:$N$203,0),0)=0,"",INDEX('كشف الحساب'!$A$4:$A$203,IFERROR(MATCH(67,'كشف الحساب'!$N$4:$N$203,0),0))),"")</f>
        <v/>
      </c>
      <c r="B71" s="89" t="str">
        <f>IFERROR(IF(IFERROR(MATCH(67,'كشف الحساب'!$N$4:$N$203,0),0)=0,"",INDEX('كشف الحساب'!$B$4:$B$203,IFERROR(MATCH(67,'كشف الحساب'!$N$4:$N$203,0),0))),"")</f>
        <v/>
      </c>
      <c r="C71" s="90" t="str">
        <f>IFERROR(IF(IFERROR(MATCH(67,'كشف الحساب'!$N$4:$N$203,0),0)=0,"",INDEX('كشف الحساب'!$C$4:$C$203,IFERROR(MATCH(67,'كشف الحساب'!$N$4:$N$203,0),0))),"")</f>
        <v/>
      </c>
      <c r="D71" s="91" t="str">
        <f>IFERROR(IF(IFERROR(MATCH(67,'كشف الحساب'!$N$4:$N$203,0),0)=0,"",INDEX('كشف الحساب'!$D$4:$D$203,IFERROR(MATCH(67,'كشف الحساب'!$N$4:$N$203,0),0))),"")</f>
        <v/>
      </c>
      <c r="E71" s="92" t="str">
        <f>IFERROR(IF(IFERROR(MATCH(67,'كشف الحساب'!$N$4:$N$203,0),0)=0,"",INDEX('كشف الحساب'!$E$4:$E$203,IFERROR(MATCH(67,'كشف الحساب'!$N$4:$N$203,0),0))),"")</f>
        <v/>
      </c>
      <c r="F71" s="89" t="str">
        <f>IFERROR(IF(IFERROR(MATCH(67,'كشف الحساب'!$N$4:$N$203,0),0)=0,"",INDEX('كشف الحساب'!$F$4:$F$203,IFERROR(MATCH(67,'كشف الحساب'!$N$4:$N$203,0),0))),"")</f>
        <v/>
      </c>
      <c r="G71" s="89" t="str">
        <f>IFERROR(IF(IFERROR(MATCH(67,'كشف الحساب'!$N$4:$N$203,0),0)=0,"",INDEX('كشف الحساب'!$G$4:$G$203,IFERROR(MATCH(67,'كشف الحساب'!$N$4:$N$203,0),0))),"")</f>
        <v/>
      </c>
      <c r="H71" s="89" t="str">
        <f>IFERROR(IF(IFERROR(MATCH(67,'كشف الحساب'!$N$4:$N$203,0),0)=0,"",INDEX('كشف الحساب'!$H$4:$H$203,IFERROR(MATCH(67,'كشف الحساب'!$N$4:$N$203,0),0))),"")</f>
        <v/>
      </c>
      <c r="I71" s="89" t="str">
        <f>IFERROR(IF(IFERROR(MATCH(67,'كشف الحساب'!$N$4:$N$203,0),0)=0,"",INDEX('كشف الحساب'!$I$4:$I$203,IFERROR(MATCH(67,'كشف الحساب'!$N$4:$N$203,0),0))),"")</f>
        <v/>
      </c>
      <c r="J71" s="93" t="str">
        <f>IFERROR(IF(IFERROR(MATCH(67,'كشف الحساب'!$N$4:$N$203,0),0)=0,"",INDEX('كشف الحساب'!$J$4:$J$203,IFERROR(MATCH(67,'كشف الحساب'!$N$4:$N$203,0),0))),"")</f>
        <v/>
      </c>
      <c r="K71" s="89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>
      <c r="A72" s="94" t="str">
        <f>IFERROR(IF(IFERROR(MATCH(68,'كشف الحساب'!$N$4:$N$203,0),0)=0,"",INDEX('كشف الحساب'!$A$4:$A$203,IFERROR(MATCH(68,'كشف الحساب'!$N$4:$N$203,0),0))),"")</f>
        <v/>
      </c>
      <c r="B72" s="95" t="str">
        <f>IFERROR(IF(IFERROR(MATCH(68,'كشف الحساب'!$N$4:$N$203,0),0)=0,"",INDEX('كشف الحساب'!$B$4:$B$203,IFERROR(MATCH(68,'كشف الحساب'!$N$4:$N$203,0),0))),"")</f>
        <v/>
      </c>
      <c r="C72" s="96" t="str">
        <f>IFERROR(IF(IFERROR(MATCH(68,'كشف الحساب'!$N$4:$N$203,0),0)=0,"",INDEX('كشف الحساب'!$C$4:$C$203,IFERROR(MATCH(68,'كشف الحساب'!$N$4:$N$203,0),0))),"")</f>
        <v/>
      </c>
      <c r="D72" s="97" t="str">
        <f>IFERROR(IF(IFERROR(MATCH(68,'كشف الحساب'!$N$4:$N$203,0),0)=0,"",INDEX('كشف الحساب'!$D$4:$D$203,IFERROR(MATCH(68,'كشف الحساب'!$N$4:$N$203,0),0))),"")</f>
        <v/>
      </c>
      <c r="E72" s="98" t="str">
        <f>IFERROR(IF(IFERROR(MATCH(68,'كشف الحساب'!$N$4:$N$203,0),0)=0,"",INDEX('كشف الحساب'!$E$4:$E$203,IFERROR(MATCH(68,'كشف الحساب'!$N$4:$N$203,0),0))),"")</f>
        <v/>
      </c>
      <c r="F72" s="95" t="str">
        <f>IFERROR(IF(IFERROR(MATCH(68,'كشف الحساب'!$N$4:$N$203,0),0)=0,"",INDEX('كشف الحساب'!$F$4:$F$203,IFERROR(MATCH(68,'كشف الحساب'!$N$4:$N$203,0),0))),"")</f>
        <v/>
      </c>
      <c r="G72" s="95" t="str">
        <f>IFERROR(IF(IFERROR(MATCH(68,'كشف الحساب'!$N$4:$N$203,0),0)=0,"",INDEX('كشف الحساب'!$G$4:$G$203,IFERROR(MATCH(68,'كشف الحساب'!$N$4:$N$203,0),0))),"")</f>
        <v/>
      </c>
      <c r="H72" s="95" t="str">
        <f>IFERROR(IF(IFERROR(MATCH(68,'كشف الحساب'!$N$4:$N$203,0),0)=0,"",INDEX('كشف الحساب'!$H$4:$H$203,IFERROR(MATCH(68,'كشف الحساب'!$N$4:$N$203,0),0))),"")</f>
        <v/>
      </c>
      <c r="I72" s="95" t="str">
        <f>IFERROR(IF(IFERROR(MATCH(68,'كشف الحساب'!$N$4:$N$203,0),0)=0,"",INDEX('كشف الحساب'!$I$4:$I$203,IFERROR(MATCH(68,'كشف الحساب'!$N$4:$N$203,0),0))),"")</f>
        <v/>
      </c>
      <c r="J72" s="99" t="str">
        <f>IFERROR(IF(IFERROR(MATCH(68,'كشف الحساب'!$N$4:$N$203,0),0)=0,"",INDEX('كشف الحساب'!$J$4:$J$203,IFERROR(MATCH(68,'كشف الحساب'!$N$4:$N$203,0),0))),"")</f>
        <v/>
      </c>
      <c r="K72" s="95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>
      <c r="A73" s="88" t="str">
        <f>IFERROR(IF(IFERROR(MATCH(69,'كشف الحساب'!$N$4:$N$203,0),0)=0,"",INDEX('كشف الحساب'!$A$4:$A$203,IFERROR(MATCH(69,'كشف الحساب'!$N$4:$N$203,0),0))),"")</f>
        <v/>
      </c>
      <c r="B73" s="89" t="str">
        <f>IFERROR(IF(IFERROR(MATCH(69,'كشف الحساب'!$N$4:$N$203,0),0)=0,"",INDEX('كشف الحساب'!$B$4:$B$203,IFERROR(MATCH(69,'كشف الحساب'!$N$4:$N$203,0),0))),"")</f>
        <v/>
      </c>
      <c r="C73" s="90" t="str">
        <f>IFERROR(IF(IFERROR(MATCH(69,'كشف الحساب'!$N$4:$N$203,0),0)=0,"",INDEX('كشف الحساب'!$C$4:$C$203,IFERROR(MATCH(69,'كشف الحساب'!$N$4:$N$203,0),0))),"")</f>
        <v/>
      </c>
      <c r="D73" s="91" t="str">
        <f>IFERROR(IF(IFERROR(MATCH(69,'كشف الحساب'!$N$4:$N$203,0),0)=0,"",INDEX('كشف الحساب'!$D$4:$D$203,IFERROR(MATCH(69,'كشف الحساب'!$N$4:$N$203,0),0))),"")</f>
        <v/>
      </c>
      <c r="E73" s="92" t="str">
        <f>IFERROR(IF(IFERROR(MATCH(69,'كشف الحساب'!$N$4:$N$203,0),0)=0,"",INDEX('كشف الحساب'!$E$4:$E$203,IFERROR(MATCH(69,'كشف الحساب'!$N$4:$N$203,0),0))),"")</f>
        <v/>
      </c>
      <c r="F73" s="89" t="str">
        <f>IFERROR(IF(IFERROR(MATCH(69,'كشف الحساب'!$N$4:$N$203,0),0)=0,"",INDEX('كشف الحساب'!$F$4:$F$203,IFERROR(MATCH(69,'كشف الحساب'!$N$4:$N$203,0),0))),"")</f>
        <v/>
      </c>
      <c r="G73" s="89" t="str">
        <f>IFERROR(IF(IFERROR(MATCH(69,'كشف الحساب'!$N$4:$N$203,0),0)=0,"",INDEX('كشف الحساب'!$G$4:$G$203,IFERROR(MATCH(69,'كشف الحساب'!$N$4:$N$203,0),0))),"")</f>
        <v/>
      </c>
      <c r="H73" s="89" t="str">
        <f>IFERROR(IF(IFERROR(MATCH(69,'كشف الحساب'!$N$4:$N$203,0),0)=0,"",INDEX('كشف الحساب'!$H$4:$H$203,IFERROR(MATCH(69,'كشف الحساب'!$N$4:$N$203,0),0))),"")</f>
        <v/>
      </c>
      <c r="I73" s="89" t="str">
        <f>IFERROR(IF(IFERROR(MATCH(69,'كشف الحساب'!$N$4:$N$203,0),0)=0,"",INDEX('كشف الحساب'!$I$4:$I$203,IFERROR(MATCH(69,'كشف الحساب'!$N$4:$N$203,0),0))),"")</f>
        <v/>
      </c>
      <c r="J73" s="93" t="str">
        <f>IFERROR(IF(IFERROR(MATCH(69,'كشف الحساب'!$N$4:$N$203,0),0)=0,"",INDEX('كشف الحساب'!$J$4:$J$203,IFERROR(MATCH(69,'كشف الحساب'!$N$4:$N$203,0),0))),"")</f>
        <v/>
      </c>
      <c r="K73" s="89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>
      <c r="A74" s="94" t="str">
        <f>IFERROR(IF(IFERROR(MATCH(70,'كشف الحساب'!$N$4:$N$203,0),0)=0,"",INDEX('كشف الحساب'!$A$4:$A$203,IFERROR(MATCH(70,'كشف الحساب'!$N$4:$N$203,0),0))),"")</f>
        <v/>
      </c>
      <c r="B74" s="95" t="str">
        <f>IFERROR(IF(IFERROR(MATCH(70,'كشف الحساب'!$N$4:$N$203,0),0)=0,"",INDEX('كشف الحساب'!$B$4:$B$203,IFERROR(MATCH(70,'كشف الحساب'!$N$4:$N$203,0),0))),"")</f>
        <v/>
      </c>
      <c r="C74" s="96" t="str">
        <f>IFERROR(IF(IFERROR(MATCH(70,'كشف الحساب'!$N$4:$N$203,0),0)=0,"",INDEX('كشف الحساب'!$C$4:$C$203,IFERROR(MATCH(70,'كشف الحساب'!$N$4:$N$203,0),0))),"")</f>
        <v/>
      </c>
      <c r="D74" s="97" t="str">
        <f>IFERROR(IF(IFERROR(MATCH(70,'كشف الحساب'!$N$4:$N$203,0),0)=0,"",INDEX('كشف الحساب'!$D$4:$D$203,IFERROR(MATCH(70,'كشف الحساب'!$N$4:$N$203,0),0))),"")</f>
        <v/>
      </c>
      <c r="E74" s="98" t="str">
        <f>IFERROR(IF(IFERROR(MATCH(70,'كشف الحساب'!$N$4:$N$203,0),0)=0,"",INDEX('كشف الحساب'!$E$4:$E$203,IFERROR(MATCH(70,'كشف الحساب'!$N$4:$N$203,0),0))),"")</f>
        <v/>
      </c>
      <c r="F74" s="95" t="str">
        <f>IFERROR(IF(IFERROR(MATCH(70,'كشف الحساب'!$N$4:$N$203,0),0)=0,"",INDEX('كشف الحساب'!$F$4:$F$203,IFERROR(MATCH(70,'كشف الحساب'!$N$4:$N$203,0),0))),"")</f>
        <v/>
      </c>
      <c r="G74" s="95" t="str">
        <f>IFERROR(IF(IFERROR(MATCH(70,'كشف الحساب'!$N$4:$N$203,0),0)=0,"",INDEX('كشف الحساب'!$G$4:$G$203,IFERROR(MATCH(70,'كشف الحساب'!$N$4:$N$203,0),0))),"")</f>
        <v/>
      </c>
      <c r="H74" s="95" t="str">
        <f>IFERROR(IF(IFERROR(MATCH(70,'كشف الحساب'!$N$4:$N$203,0),0)=0,"",INDEX('كشف الحساب'!$H$4:$H$203,IFERROR(MATCH(70,'كشف الحساب'!$N$4:$N$203,0),0))),"")</f>
        <v/>
      </c>
      <c r="I74" s="95" t="str">
        <f>IFERROR(IF(IFERROR(MATCH(70,'كشف الحساب'!$N$4:$N$203,0),0)=0,"",INDEX('كشف الحساب'!$I$4:$I$203,IFERROR(MATCH(70,'كشف الحساب'!$N$4:$N$203,0),0))),"")</f>
        <v/>
      </c>
      <c r="J74" s="99" t="str">
        <f>IFERROR(IF(IFERROR(MATCH(70,'كشف الحساب'!$N$4:$N$203,0),0)=0,"",INDEX('كشف الحساب'!$J$4:$J$203,IFERROR(MATCH(70,'كشف الحساب'!$N$4:$N$203,0),0))),"")</f>
        <v/>
      </c>
      <c r="K74" s="95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>
      <c r="A75" s="88" t="str">
        <f>IFERROR(IF(IFERROR(MATCH(71,'كشف الحساب'!$N$4:$N$203,0),0)=0,"",INDEX('كشف الحساب'!$A$4:$A$203,IFERROR(MATCH(71,'كشف الحساب'!$N$4:$N$203,0),0))),"")</f>
        <v/>
      </c>
      <c r="B75" s="89" t="str">
        <f>IFERROR(IF(IFERROR(MATCH(71,'كشف الحساب'!$N$4:$N$203,0),0)=0,"",INDEX('كشف الحساب'!$B$4:$B$203,IFERROR(MATCH(71,'كشف الحساب'!$N$4:$N$203,0),0))),"")</f>
        <v/>
      </c>
      <c r="C75" s="90" t="str">
        <f>IFERROR(IF(IFERROR(MATCH(71,'كشف الحساب'!$N$4:$N$203,0),0)=0,"",INDEX('كشف الحساب'!$C$4:$C$203,IFERROR(MATCH(71,'كشف الحساب'!$N$4:$N$203,0),0))),"")</f>
        <v/>
      </c>
      <c r="D75" s="91" t="str">
        <f>IFERROR(IF(IFERROR(MATCH(71,'كشف الحساب'!$N$4:$N$203,0),0)=0,"",INDEX('كشف الحساب'!$D$4:$D$203,IFERROR(MATCH(71,'كشف الحساب'!$N$4:$N$203,0),0))),"")</f>
        <v/>
      </c>
      <c r="E75" s="92" t="str">
        <f>IFERROR(IF(IFERROR(MATCH(71,'كشف الحساب'!$N$4:$N$203,0),0)=0,"",INDEX('كشف الحساب'!$E$4:$E$203,IFERROR(MATCH(71,'كشف الحساب'!$N$4:$N$203,0),0))),"")</f>
        <v/>
      </c>
      <c r="F75" s="89" t="str">
        <f>IFERROR(IF(IFERROR(MATCH(71,'كشف الحساب'!$N$4:$N$203,0),0)=0,"",INDEX('كشف الحساب'!$F$4:$F$203,IFERROR(MATCH(71,'كشف الحساب'!$N$4:$N$203,0),0))),"")</f>
        <v/>
      </c>
      <c r="G75" s="89" t="str">
        <f>IFERROR(IF(IFERROR(MATCH(71,'كشف الحساب'!$N$4:$N$203,0),0)=0,"",INDEX('كشف الحساب'!$G$4:$G$203,IFERROR(MATCH(71,'كشف الحساب'!$N$4:$N$203,0),0))),"")</f>
        <v/>
      </c>
      <c r="H75" s="89" t="str">
        <f>IFERROR(IF(IFERROR(MATCH(71,'كشف الحساب'!$N$4:$N$203,0),0)=0,"",INDEX('كشف الحساب'!$H$4:$H$203,IFERROR(MATCH(71,'كشف الحساب'!$N$4:$N$203,0),0))),"")</f>
        <v/>
      </c>
      <c r="I75" s="89" t="str">
        <f>IFERROR(IF(IFERROR(MATCH(71,'كشف الحساب'!$N$4:$N$203,0),0)=0,"",INDEX('كشف الحساب'!$I$4:$I$203,IFERROR(MATCH(71,'كشف الحساب'!$N$4:$N$203,0),0))),"")</f>
        <v/>
      </c>
      <c r="J75" s="93" t="str">
        <f>IFERROR(IF(IFERROR(MATCH(71,'كشف الحساب'!$N$4:$N$203,0),0)=0,"",INDEX('كشف الحساب'!$J$4:$J$203,IFERROR(MATCH(71,'كشف الحساب'!$N$4:$N$203,0),0))),"")</f>
        <v/>
      </c>
      <c r="K75" s="89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>
      <c r="A76" s="94" t="str">
        <f>IFERROR(IF(IFERROR(MATCH(72,'كشف الحساب'!$N$4:$N$203,0),0)=0,"",INDEX('كشف الحساب'!$A$4:$A$203,IFERROR(MATCH(72,'كشف الحساب'!$N$4:$N$203,0),0))),"")</f>
        <v/>
      </c>
      <c r="B76" s="95" t="str">
        <f>IFERROR(IF(IFERROR(MATCH(72,'كشف الحساب'!$N$4:$N$203,0),0)=0,"",INDEX('كشف الحساب'!$B$4:$B$203,IFERROR(MATCH(72,'كشف الحساب'!$N$4:$N$203,0),0))),"")</f>
        <v/>
      </c>
      <c r="C76" s="96" t="str">
        <f>IFERROR(IF(IFERROR(MATCH(72,'كشف الحساب'!$N$4:$N$203,0),0)=0,"",INDEX('كشف الحساب'!$C$4:$C$203,IFERROR(MATCH(72,'كشف الحساب'!$N$4:$N$203,0),0))),"")</f>
        <v/>
      </c>
      <c r="D76" s="97" t="str">
        <f>IFERROR(IF(IFERROR(MATCH(72,'كشف الحساب'!$N$4:$N$203,0),0)=0,"",INDEX('كشف الحساب'!$D$4:$D$203,IFERROR(MATCH(72,'كشف الحساب'!$N$4:$N$203,0),0))),"")</f>
        <v/>
      </c>
      <c r="E76" s="98" t="str">
        <f>IFERROR(IF(IFERROR(MATCH(72,'كشف الحساب'!$N$4:$N$203,0),0)=0,"",INDEX('كشف الحساب'!$E$4:$E$203,IFERROR(MATCH(72,'كشف الحساب'!$N$4:$N$203,0),0))),"")</f>
        <v/>
      </c>
      <c r="F76" s="95" t="str">
        <f>IFERROR(IF(IFERROR(MATCH(72,'كشف الحساب'!$N$4:$N$203,0),0)=0,"",INDEX('كشف الحساب'!$F$4:$F$203,IFERROR(MATCH(72,'كشف الحساب'!$N$4:$N$203,0),0))),"")</f>
        <v/>
      </c>
      <c r="G76" s="95" t="str">
        <f>IFERROR(IF(IFERROR(MATCH(72,'كشف الحساب'!$N$4:$N$203,0),0)=0,"",INDEX('كشف الحساب'!$G$4:$G$203,IFERROR(MATCH(72,'كشف الحساب'!$N$4:$N$203,0),0))),"")</f>
        <v/>
      </c>
      <c r="H76" s="95" t="str">
        <f>IFERROR(IF(IFERROR(MATCH(72,'كشف الحساب'!$N$4:$N$203,0),0)=0,"",INDEX('كشف الحساب'!$H$4:$H$203,IFERROR(MATCH(72,'كشف الحساب'!$N$4:$N$203,0),0))),"")</f>
        <v/>
      </c>
      <c r="I76" s="95" t="str">
        <f>IFERROR(IF(IFERROR(MATCH(72,'كشف الحساب'!$N$4:$N$203,0),0)=0,"",INDEX('كشف الحساب'!$I$4:$I$203,IFERROR(MATCH(72,'كشف الحساب'!$N$4:$N$203,0),0))),"")</f>
        <v/>
      </c>
      <c r="J76" s="99" t="str">
        <f>IFERROR(IF(IFERROR(MATCH(72,'كشف الحساب'!$N$4:$N$203,0),0)=0,"",INDEX('كشف الحساب'!$J$4:$J$203,IFERROR(MATCH(72,'كشف الحساب'!$N$4:$N$203,0),0))),"")</f>
        <v/>
      </c>
      <c r="K76" s="95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>
      <c r="A77" s="88" t="str">
        <f>IFERROR(IF(IFERROR(MATCH(73,'كشف الحساب'!$N$4:$N$203,0),0)=0,"",INDEX('كشف الحساب'!$A$4:$A$203,IFERROR(MATCH(73,'كشف الحساب'!$N$4:$N$203,0),0))),"")</f>
        <v/>
      </c>
      <c r="B77" s="89" t="str">
        <f>IFERROR(IF(IFERROR(MATCH(73,'كشف الحساب'!$N$4:$N$203,0),0)=0,"",INDEX('كشف الحساب'!$B$4:$B$203,IFERROR(MATCH(73,'كشف الحساب'!$N$4:$N$203,0),0))),"")</f>
        <v/>
      </c>
      <c r="C77" s="90" t="str">
        <f>IFERROR(IF(IFERROR(MATCH(73,'كشف الحساب'!$N$4:$N$203,0),0)=0,"",INDEX('كشف الحساب'!$C$4:$C$203,IFERROR(MATCH(73,'كشف الحساب'!$N$4:$N$203,0),0))),"")</f>
        <v/>
      </c>
      <c r="D77" s="91" t="str">
        <f>IFERROR(IF(IFERROR(MATCH(73,'كشف الحساب'!$N$4:$N$203,0),0)=0,"",INDEX('كشف الحساب'!$D$4:$D$203,IFERROR(MATCH(73,'كشف الحساب'!$N$4:$N$203,0),0))),"")</f>
        <v/>
      </c>
      <c r="E77" s="92" t="str">
        <f>IFERROR(IF(IFERROR(MATCH(73,'كشف الحساب'!$N$4:$N$203,0),0)=0,"",INDEX('كشف الحساب'!$E$4:$E$203,IFERROR(MATCH(73,'كشف الحساب'!$N$4:$N$203,0),0))),"")</f>
        <v/>
      </c>
      <c r="F77" s="89" t="str">
        <f>IFERROR(IF(IFERROR(MATCH(73,'كشف الحساب'!$N$4:$N$203,0),0)=0,"",INDEX('كشف الحساب'!$F$4:$F$203,IFERROR(MATCH(73,'كشف الحساب'!$N$4:$N$203,0),0))),"")</f>
        <v/>
      </c>
      <c r="G77" s="89" t="str">
        <f>IFERROR(IF(IFERROR(MATCH(73,'كشف الحساب'!$N$4:$N$203,0),0)=0,"",INDEX('كشف الحساب'!$G$4:$G$203,IFERROR(MATCH(73,'كشف الحساب'!$N$4:$N$203,0),0))),"")</f>
        <v/>
      </c>
      <c r="H77" s="89" t="str">
        <f>IFERROR(IF(IFERROR(MATCH(73,'كشف الحساب'!$N$4:$N$203,0),0)=0,"",INDEX('كشف الحساب'!$H$4:$H$203,IFERROR(MATCH(73,'كشف الحساب'!$N$4:$N$203,0),0))),"")</f>
        <v/>
      </c>
      <c r="I77" s="89" t="str">
        <f>IFERROR(IF(IFERROR(MATCH(73,'كشف الحساب'!$N$4:$N$203,0),0)=0,"",INDEX('كشف الحساب'!$I$4:$I$203,IFERROR(MATCH(73,'كشف الحساب'!$N$4:$N$203,0),0))),"")</f>
        <v/>
      </c>
      <c r="J77" s="93" t="str">
        <f>IFERROR(IF(IFERROR(MATCH(73,'كشف الحساب'!$N$4:$N$203,0),0)=0,"",INDEX('كشف الحساب'!$J$4:$J$203,IFERROR(MATCH(73,'كشف الحساب'!$N$4:$N$203,0),0))),"")</f>
        <v/>
      </c>
      <c r="K77" s="89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>
      <c r="A78" s="94" t="str">
        <f>IFERROR(IF(IFERROR(MATCH(74,'كشف الحساب'!$N$4:$N$203,0),0)=0,"",INDEX('كشف الحساب'!$A$4:$A$203,IFERROR(MATCH(74,'كشف الحساب'!$N$4:$N$203,0),0))),"")</f>
        <v/>
      </c>
      <c r="B78" s="95" t="str">
        <f>IFERROR(IF(IFERROR(MATCH(74,'كشف الحساب'!$N$4:$N$203,0),0)=0,"",INDEX('كشف الحساب'!$B$4:$B$203,IFERROR(MATCH(74,'كشف الحساب'!$N$4:$N$203,0),0))),"")</f>
        <v/>
      </c>
      <c r="C78" s="96" t="str">
        <f>IFERROR(IF(IFERROR(MATCH(74,'كشف الحساب'!$N$4:$N$203,0),0)=0,"",INDEX('كشف الحساب'!$C$4:$C$203,IFERROR(MATCH(74,'كشف الحساب'!$N$4:$N$203,0),0))),"")</f>
        <v/>
      </c>
      <c r="D78" s="97" t="str">
        <f>IFERROR(IF(IFERROR(MATCH(74,'كشف الحساب'!$N$4:$N$203,0),0)=0,"",INDEX('كشف الحساب'!$D$4:$D$203,IFERROR(MATCH(74,'كشف الحساب'!$N$4:$N$203,0),0))),"")</f>
        <v/>
      </c>
      <c r="E78" s="98" t="str">
        <f>IFERROR(IF(IFERROR(MATCH(74,'كشف الحساب'!$N$4:$N$203,0),0)=0,"",INDEX('كشف الحساب'!$E$4:$E$203,IFERROR(MATCH(74,'كشف الحساب'!$N$4:$N$203,0),0))),"")</f>
        <v/>
      </c>
      <c r="F78" s="95" t="str">
        <f>IFERROR(IF(IFERROR(MATCH(74,'كشف الحساب'!$N$4:$N$203,0),0)=0,"",INDEX('كشف الحساب'!$F$4:$F$203,IFERROR(MATCH(74,'كشف الحساب'!$N$4:$N$203,0),0))),"")</f>
        <v/>
      </c>
      <c r="G78" s="95" t="str">
        <f>IFERROR(IF(IFERROR(MATCH(74,'كشف الحساب'!$N$4:$N$203,0),0)=0,"",INDEX('كشف الحساب'!$G$4:$G$203,IFERROR(MATCH(74,'كشف الحساب'!$N$4:$N$203,0),0))),"")</f>
        <v/>
      </c>
      <c r="H78" s="95" t="str">
        <f>IFERROR(IF(IFERROR(MATCH(74,'كشف الحساب'!$N$4:$N$203,0),0)=0,"",INDEX('كشف الحساب'!$H$4:$H$203,IFERROR(MATCH(74,'كشف الحساب'!$N$4:$N$203,0),0))),"")</f>
        <v/>
      </c>
      <c r="I78" s="95" t="str">
        <f>IFERROR(IF(IFERROR(MATCH(74,'كشف الحساب'!$N$4:$N$203,0),0)=0,"",INDEX('كشف الحساب'!$I$4:$I$203,IFERROR(MATCH(74,'كشف الحساب'!$N$4:$N$203,0),0))),"")</f>
        <v/>
      </c>
      <c r="J78" s="99" t="str">
        <f>IFERROR(IF(IFERROR(MATCH(74,'كشف الحساب'!$N$4:$N$203,0),0)=0,"",INDEX('كشف الحساب'!$J$4:$J$203,IFERROR(MATCH(74,'كشف الحساب'!$N$4:$N$203,0),0))),"")</f>
        <v/>
      </c>
      <c r="K78" s="95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>
      <c r="A79" s="88" t="str">
        <f>IFERROR(IF(IFERROR(MATCH(75,'كشف الحساب'!$N$4:$N$203,0),0)=0,"",INDEX('كشف الحساب'!$A$4:$A$203,IFERROR(MATCH(75,'كشف الحساب'!$N$4:$N$203,0),0))),"")</f>
        <v/>
      </c>
      <c r="B79" s="89" t="str">
        <f>IFERROR(IF(IFERROR(MATCH(75,'كشف الحساب'!$N$4:$N$203,0),0)=0,"",INDEX('كشف الحساب'!$B$4:$B$203,IFERROR(MATCH(75,'كشف الحساب'!$N$4:$N$203,0),0))),"")</f>
        <v/>
      </c>
      <c r="C79" s="90" t="str">
        <f>IFERROR(IF(IFERROR(MATCH(75,'كشف الحساب'!$N$4:$N$203,0),0)=0,"",INDEX('كشف الحساب'!$C$4:$C$203,IFERROR(MATCH(75,'كشف الحساب'!$N$4:$N$203,0),0))),"")</f>
        <v/>
      </c>
      <c r="D79" s="91" t="str">
        <f>IFERROR(IF(IFERROR(MATCH(75,'كشف الحساب'!$N$4:$N$203,0),0)=0,"",INDEX('كشف الحساب'!$D$4:$D$203,IFERROR(MATCH(75,'كشف الحساب'!$N$4:$N$203,0),0))),"")</f>
        <v/>
      </c>
      <c r="E79" s="92" t="str">
        <f>IFERROR(IF(IFERROR(MATCH(75,'كشف الحساب'!$N$4:$N$203,0),0)=0,"",INDEX('كشف الحساب'!$E$4:$E$203,IFERROR(MATCH(75,'كشف الحساب'!$N$4:$N$203,0),0))),"")</f>
        <v/>
      </c>
      <c r="F79" s="89" t="str">
        <f>IFERROR(IF(IFERROR(MATCH(75,'كشف الحساب'!$N$4:$N$203,0),0)=0,"",INDEX('كشف الحساب'!$F$4:$F$203,IFERROR(MATCH(75,'كشف الحساب'!$N$4:$N$203,0),0))),"")</f>
        <v/>
      </c>
      <c r="G79" s="89" t="str">
        <f>IFERROR(IF(IFERROR(MATCH(75,'كشف الحساب'!$N$4:$N$203,0),0)=0,"",INDEX('كشف الحساب'!$G$4:$G$203,IFERROR(MATCH(75,'كشف الحساب'!$N$4:$N$203,0),0))),"")</f>
        <v/>
      </c>
      <c r="H79" s="89" t="str">
        <f>IFERROR(IF(IFERROR(MATCH(75,'كشف الحساب'!$N$4:$N$203,0),0)=0,"",INDEX('كشف الحساب'!$H$4:$H$203,IFERROR(MATCH(75,'كشف الحساب'!$N$4:$N$203,0),0))),"")</f>
        <v/>
      </c>
      <c r="I79" s="89" t="str">
        <f>IFERROR(IF(IFERROR(MATCH(75,'كشف الحساب'!$N$4:$N$203,0),0)=0,"",INDEX('كشف الحساب'!$I$4:$I$203,IFERROR(MATCH(75,'كشف الحساب'!$N$4:$N$203,0),0))),"")</f>
        <v/>
      </c>
      <c r="J79" s="93" t="str">
        <f>IFERROR(IF(IFERROR(MATCH(75,'كشف الحساب'!$N$4:$N$203,0),0)=0,"",INDEX('كشف الحساب'!$J$4:$J$203,IFERROR(MATCH(75,'كشف الحساب'!$N$4:$N$203,0),0))),"")</f>
        <v/>
      </c>
      <c r="K79" s="89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>
      <c r="A80" s="94" t="str">
        <f>IFERROR(IF(IFERROR(MATCH(76,'كشف الحساب'!$N$4:$N$203,0),0)=0,"",INDEX('كشف الحساب'!$A$4:$A$203,IFERROR(MATCH(76,'كشف الحساب'!$N$4:$N$203,0),0))),"")</f>
        <v/>
      </c>
      <c r="B80" s="95" t="str">
        <f>IFERROR(IF(IFERROR(MATCH(76,'كشف الحساب'!$N$4:$N$203,0),0)=0,"",INDEX('كشف الحساب'!$B$4:$B$203,IFERROR(MATCH(76,'كشف الحساب'!$N$4:$N$203,0),0))),"")</f>
        <v/>
      </c>
      <c r="C80" s="96" t="str">
        <f>IFERROR(IF(IFERROR(MATCH(76,'كشف الحساب'!$N$4:$N$203,0),0)=0,"",INDEX('كشف الحساب'!$C$4:$C$203,IFERROR(MATCH(76,'كشف الحساب'!$N$4:$N$203,0),0))),"")</f>
        <v/>
      </c>
      <c r="D80" s="97" t="str">
        <f>IFERROR(IF(IFERROR(MATCH(76,'كشف الحساب'!$N$4:$N$203,0),0)=0,"",INDEX('كشف الحساب'!$D$4:$D$203,IFERROR(MATCH(76,'كشف الحساب'!$N$4:$N$203,0),0))),"")</f>
        <v/>
      </c>
      <c r="E80" s="98" t="str">
        <f>IFERROR(IF(IFERROR(MATCH(76,'كشف الحساب'!$N$4:$N$203,0),0)=0,"",INDEX('كشف الحساب'!$E$4:$E$203,IFERROR(MATCH(76,'كشف الحساب'!$N$4:$N$203,0),0))),"")</f>
        <v/>
      </c>
      <c r="F80" s="95" t="str">
        <f>IFERROR(IF(IFERROR(MATCH(76,'كشف الحساب'!$N$4:$N$203,0),0)=0,"",INDEX('كشف الحساب'!$F$4:$F$203,IFERROR(MATCH(76,'كشف الحساب'!$N$4:$N$203,0),0))),"")</f>
        <v/>
      </c>
      <c r="G80" s="95" t="str">
        <f>IFERROR(IF(IFERROR(MATCH(76,'كشف الحساب'!$N$4:$N$203,0),0)=0,"",INDEX('كشف الحساب'!$G$4:$G$203,IFERROR(MATCH(76,'كشف الحساب'!$N$4:$N$203,0),0))),"")</f>
        <v/>
      </c>
      <c r="H80" s="95" t="str">
        <f>IFERROR(IF(IFERROR(MATCH(76,'كشف الحساب'!$N$4:$N$203,0),0)=0,"",INDEX('كشف الحساب'!$H$4:$H$203,IFERROR(MATCH(76,'كشف الحساب'!$N$4:$N$203,0),0))),"")</f>
        <v/>
      </c>
      <c r="I80" s="95" t="str">
        <f>IFERROR(IF(IFERROR(MATCH(76,'كشف الحساب'!$N$4:$N$203,0),0)=0,"",INDEX('كشف الحساب'!$I$4:$I$203,IFERROR(MATCH(76,'كشف الحساب'!$N$4:$N$203,0),0))),"")</f>
        <v/>
      </c>
      <c r="J80" s="99" t="str">
        <f>IFERROR(IF(IFERROR(MATCH(76,'كشف الحساب'!$N$4:$N$203,0),0)=0,"",INDEX('كشف الحساب'!$J$4:$J$203,IFERROR(MATCH(76,'كشف الحساب'!$N$4:$N$203,0),0))),"")</f>
        <v/>
      </c>
      <c r="K80" s="95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>
      <c r="A81" s="88" t="str">
        <f>IFERROR(IF(IFERROR(MATCH(77,'كشف الحساب'!$N$4:$N$203,0),0)=0,"",INDEX('كشف الحساب'!$A$4:$A$203,IFERROR(MATCH(77,'كشف الحساب'!$N$4:$N$203,0),0))),"")</f>
        <v/>
      </c>
      <c r="B81" s="89" t="str">
        <f>IFERROR(IF(IFERROR(MATCH(77,'كشف الحساب'!$N$4:$N$203,0),0)=0,"",INDEX('كشف الحساب'!$B$4:$B$203,IFERROR(MATCH(77,'كشف الحساب'!$N$4:$N$203,0),0))),"")</f>
        <v/>
      </c>
      <c r="C81" s="90" t="str">
        <f>IFERROR(IF(IFERROR(MATCH(77,'كشف الحساب'!$N$4:$N$203,0),0)=0,"",INDEX('كشف الحساب'!$C$4:$C$203,IFERROR(MATCH(77,'كشف الحساب'!$N$4:$N$203,0),0))),"")</f>
        <v/>
      </c>
      <c r="D81" s="91" t="str">
        <f>IFERROR(IF(IFERROR(MATCH(77,'كشف الحساب'!$N$4:$N$203,0),0)=0,"",INDEX('كشف الحساب'!$D$4:$D$203,IFERROR(MATCH(77,'كشف الحساب'!$N$4:$N$203,0),0))),"")</f>
        <v/>
      </c>
      <c r="E81" s="92" t="str">
        <f>IFERROR(IF(IFERROR(MATCH(77,'كشف الحساب'!$N$4:$N$203,0),0)=0,"",INDEX('كشف الحساب'!$E$4:$E$203,IFERROR(MATCH(77,'كشف الحساب'!$N$4:$N$203,0),0))),"")</f>
        <v/>
      </c>
      <c r="F81" s="89" t="str">
        <f>IFERROR(IF(IFERROR(MATCH(77,'كشف الحساب'!$N$4:$N$203,0),0)=0,"",INDEX('كشف الحساب'!$F$4:$F$203,IFERROR(MATCH(77,'كشف الحساب'!$N$4:$N$203,0),0))),"")</f>
        <v/>
      </c>
      <c r="G81" s="89" t="str">
        <f>IFERROR(IF(IFERROR(MATCH(77,'كشف الحساب'!$N$4:$N$203,0),0)=0,"",INDEX('كشف الحساب'!$G$4:$G$203,IFERROR(MATCH(77,'كشف الحساب'!$N$4:$N$203,0),0))),"")</f>
        <v/>
      </c>
      <c r="H81" s="89" t="str">
        <f>IFERROR(IF(IFERROR(MATCH(77,'كشف الحساب'!$N$4:$N$203,0),0)=0,"",INDEX('كشف الحساب'!$H$4:$H$203,IFERROR(MATCH(77,'كشف الحساب'!$N$4:$N$203,0),0))),"")</f>
        <v/>
      </c>
      <c r="I81" s="89" t="str">
        <f>IFERROR(IF(IFERROR(MATCH(77,'كشف الحساب'!$N$4:$N$203,0),0)=0,"",INDEX('كشف الحساب'!$I$4:$I$203,IFERROR(MATCH(77,'كشف الحساب'!$N$4:$N$203,0),0))),"")</f>
        <v/>
      </c>
      <c r="J81" s="93" t="str">
        <f>IFERROR(IF(IFERROR(MATCH(77,'كشف الحساب'!$N$4:$N$203,0),0)=0,"",INDEX('كشف الحساب'!$J$4:$J$203,IFERROR(MATCH(77,'كشف الحساب'!$N$4:$N$203,0),0))),"")</f>
        <v/>
      </c>
      <c r="K81" s="89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>
      <c r="A82" s="94" t="str">
        <f>IFERROR(IF(IFERROR(MATCH(78,'كشف الحساب'!$N$4:$N$203,0),0)=0,"",INDEX('كشف الحساب'!$A$4:$A$203,IFERROR(MATCH(78,'كشف الحساب'!$N$4:$N$203,0),0))),"")</f>
        <v/>
      </c>
      <c r="B82" s="95" t="str">
        <f>IFERROR(IF(IFERROR(MATCH(78,'كشف الحساب'!$N$4:$N$203,0),0)=0,"",INDEX('كشف الحساب'!$B$4:$B$203,IFERROR(MATCH(78,'كشف الحساب'!$N$4:$N$203,0),0))),"")</f>
        <v/>
      </c>
      <c r="C82" s="96" t="str">
        <f>IFERROR(IF(IFERROR(MATCH(78,'كشف الحساب'!$N$4:$N$203,0),0)=0,"",INDEX('كشف الحساب'!$C$4:$C$203,IFERROR(MATCH(78,'كشف الحساب'!$N$4:$N$203,0),0))),"")</f>
        <v/>
      </c>
      <c r="D82" s="97" t="str">
        <f>IFERROR(IF(IFERROR(MATCH(78,'كشف الحساب'!$N$4:$N$203,0),0)=0,"",INDEX('كشف الحساب'!$D$4:$D$203,IFERROR(MATCH(78,'كشف الحساب'!$N$4:$N$203,0),0))),"")</f>
        <v/>
      </c>
      <c r="E82" s="98" t="str">
        <f>IFERROR(IF(IFERROR(MATCH(78,'كشف الحساب'!$N$4:$N$203,0),0)=0,"",INDEX('كشف الحساب'!$E$4:$E$203,IFERROR(MATCH(78,'كشف الحساب'!$N$4:$N$203,0),0))),"")</f>
        <v/>
      </c>
      <c r="F82" s="95" t="str">
        <f>IFERROR(IF(IFERROR(MATCH(78,'كشف الحساب'!$N$4:$N$203,0),0)=0,"",INDEX('كشف الحساب'!$F$4:$F$203,IFERROR(MATCH(78,'كشف الحساب'!$N$4:$N$203,0),0))),"")</f>
        <v/>
      </c>
      <c r="G82" s="95" t="str">
        <f>IFERROR(IF(IFERROR(MATCH(78,'كشف الحساب'!$N$4:$N$203,0),0)=0,"",INDEX('كشف الحساب'!$G$4:$G$203,IFERROR(MATCH(78,'كشف الحساب'!$N$4:$N$203,0),0))),"")</f>
        <v/>
      </c>
      <c r="H82" s="95" t="str">
        <f>IFERROR(IF(IFERROR(MATCH(78,'كشف الحساب'!$N$4:$N$203,0),0)=0,"",INDEX('كشف الحساب'!$H$4:$H$203,IFERROR(MATCH(78,'كشف الحساب'!$N$4:$N$203,0),0))),"")</f>
        <v/>
      </c>
      <c r="I82" s="95" t="str">
        <f>IFERROR(IF(IFERROR(MATCH(78,'كشف الحساب'!$N$4:$N$203,0),0)=0,"",INDEX('كشف الحساب'!$I$4:$I$203,IFERROR(MATCH(78,'كشف الحساب'!$N$4:$N$203,0),0))),"")</f>
        <v/>
      </c>
      <c r="J82" s="99" t="str">
        <f>IFERROR(IF(IFERROR(MATCH(78,'كشف الحساب'!$N$4:$N$203,0),0)=0,"",INDEX('كشف الحساب'!$J$4:$J$203,IFERROR(MATCH(78,'كشف الحساب'!$N$4:$N$203,0),0))),"")</f>
        <v/>
      </c>
      <c r="K82" s="95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>
      <c r="A83" s="88" t="str">
        <f>IFERROR(IF(IFERROR(MATCH(79,'كشف الحساب'!$N$4:$N$203,0),0)=0,"",INDEX('كشف الحساب'!$A$4:$A$203,IFERROR(MATCH(79,'كشف الحساب'!$N$4:$N$203,0),0))),"")</f>
        <v/>
      </c>
      <c r="B83" s="89" t="str">
        <f>IFERROR(IF(IFERROR(MATCH(79,'كشف الحساب'!$N$4:$N$203,0),0)=0,"",INDEX('كشف الحساب'!$B$4:$B$203,IFERROR(MATCH(79,'كشف الحساب'!$N$4:$N$203,0),0))),"")</f>
        <v/>
      </c>
      <c r="C83" s="90" t="str">
        <f>IFERROR(IF(IFERROR(MATCH(79,'كشف الحساب'!$N$4:$N$203,0),0)=0,"",INDEX('كشف الحساب'!$C$4:$C$203,IFERROR(MATCH(79,'كشف الحساب'!$N$4:$N$203,0),0))),"")</f>
        <v/>
      </c>
      <c r="D83" s="91" t="str">
        <f>IFERROR(IF(IFERROR(MATCH(79,'كشف الحساب'!$N$4:$N$203,0),0)=0,"",INDEX('كشف الحساب'!$D$4:$D$203,IFERROR(MATCH(79,'كشف الحساب'!$N$4:$N$203,0),0))),"")</f>
        <v/>
      </c>
      <c r="E83" s="92" t="str">
        <f>IFERROR(IF(IFERROR(MATCH(79,'كشف الحساب'!$N$4:$N$203,0),0)=0,"",INDEX('كشف الحساب'!$E$4:$E$203,IFERROR(MATCH(79,'كشف الحساب'!$N$4:$N$203,0),0))),"")</f>
        <v/>
      </c>
      <c r="F83" s="89" t="str">
        <f>IFERROR(IF(IFERROR(MATCH(79,'كشف الحساب'!$N$4:$N$203,0),0)=0,"",INDEX('كشف الحساب'!$F$4:$F$203,IFERROR(MATCH(79,'كشف الحساب'!$N$4:$N$203,0),0))),"")</f>
        <v/>
      </c>
      <c r="G83" s="89" t="str">
        <f>IFERROR(IF(IFERROR(MATCH(79,'كشف الحساب'!$N$4:$N$203,0),0)=0,"",INDEX('كشف الحساب'!$G$4:$G$203,IFERROR(MATCH(79,'كشف الحساب'!$N$4:$N$203,0),0))),"")</f>
        <v/>
      </c>
      <c r="H83" s="89" t="str">
        <f>IFERROR(IF(IFERROR(MATCH(79,'كشف الحساب'!$N$4:$N$203,0),0)=0,"",INDEX('كشف الحساب'!$H$4:$H$203,IFERROR(MATCH(79,'كشف الحساب'!$N$4:$N$203,0),0))),"")</f>
        <v/>
      </c>
      <c r="I83" s="89" t="str">
        <f>IFERROR(IF(IFERROR(MATCH(79,'كشف الحساب'!$N$4:$N$203,0),0)=0,"",INDEX('كشف الحساب'!$I$4:$I$203,IFERROR(MATCH(79,'كشف الحساب'!$N$4:$N$203,0),0))),"")</f>
        <v/>
      </c>
      <c r="J83" s="93" t="str">
        <f>IFERROR(IF(IFERROR(MATCH(79,'كشف الحساب'!$N$4:$N$203,0),0)=0,"",INDEX('كشف الحساب'!$J$4:$J$203,IFERROR(MATCH(79,'كشف الحساب'!$N$4:$N$203,0),0))),"")</f>
        <v/>
      </c>
      <c r="K83" s="89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>
      <c r="A84" s="94" t="str">
        <f>IFERROR(IF(IFERROR(MATCH(80,'كشف الحساب'!$N$4:$N$203,0),0)=0,"",INDEX('كشف الحساب'!$A$4:$A$203,IFERROR(MATCH(80,'كشف الحساب'!$N$4:$N$203,0),0))),"")</f>
        <v/>
      </c>
      <c r="B84" s="95" t="str">
        <f>IFERROR(IF(IFERROR(MATCH(80,'كشف الحساب'!$N$4:$N$203,0),0)=0,"",INDEX('كشف الحساب'!$B$4:$B$203,IFERROR(MATCH(80,'كشف الحساب'!$N$4:$N$203,0),0))),"")</f>
        <v/>
      </c>
      <c r="C84" s="96" t="str">
        <f>IFERROR(IF(IFERROR(MATCH(80,'كشف الحساب'!$N$4:$N$203,0),0)=0,"",INDEX('كشف الحساب'!$C$4:$C$203,IFERROR(MATCH(80,'كشف الحساب'!$N$4:$N$203,0),0))),"")</f>
        <v/>
      </c>
      <c r="D84" s="97" t="str">
        <f>IFERROR(IF(IFERROR(MATCH(80,'كشف الحساب'!$N$4:$N$203,0),0)=0,"",INDEX('كشف الحساب'!$D$4:$D$203,IFERROR(MATCH(80,'كشف الحساب'!$N$4:$N$203,0),0))),"")</f>
        <v/>
      </c>
      <c r="E84" s="98" t="str">
        <f>IFERROR(IF(IFERROR(MATCH(80,'كشف الحساب'!$N$4:$N$203,0),0)=0,"",INDEX('كشف الحساب'!$E$4:$E$203,IFERROR(MATCH(80,'كشف الحساب'!$N$4:$N$203,0),0))),"")</f>
        <v/>
      </c>
      <c r="F84" s="95" t="str">
        <f>IFERROR(IF(IFERROR(MATCH(80,'كشف الحساب'!$N$4:$N$203,0),0)=0,"",INDEX('كشف الحساب'!$F$4:$F$203,IFERROR(MATCH(80,'كشف الحساب'!$N$4:$N$203,0),0))),"")</f>
        <v/>
      </c>
      <c r="G84" s="95" t="str">
        <f>IFERROR(IF(IFERROR(MATCH(80,'كشف الحساب'!$N$4:$N$203,0),0)=0,"",INDEX('كشف الحساب'!$G$4:$G$203,IFERROR(MATCH(80,'كشف الحساب'!$N$4:$N$203,0),0))),"")</f>
        <v/>
      </c>
      <c r="H84" s="95" t="str">
        <f>IFERROR(IF(IFERROR(MATCH(80,'كشف الحساب'!$N$4:$N$203,0),0)=0,"",INDEX('كشف الحساب'!$H$4:$H$203,IFERROR(MATCH(80,'كشف الحساب'!$N$4:$N$203,0),0))),"")</f>
        <v/>
      </c>
      <c r="I84" s="95" t="str">
        <f>IFERROR(IF(IFERROR(MATCH(80,'كشف الحساب'!$N$4:$N$203,0),0)=0,"",INDEX('كشف الحساب'!$I$4:$I$203,IFERROR(MATCH(80,'كشف الحساب'!$N$4:$N$203,0),0))),"")</f>
        <v/>
      </c>
      <c r="J84" s="99" t="str">
        <f>IFERROR(IF(IFERROR(MATCH(80,'كشف الحساب'!$N$4:$N$203,0),0)=0,"",INDEX('كشف الحساب'!$J$4:$J$203,IFERROR(MATCH(80,'كشف الحساب'!$N$4:$N$203,0),0))),"")</f>
        <v/>
      </c>
      <c r="K84" s="95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>
      <c r="A85" s="88" t="str">
        <f>IFERROR(IF(IFERROR(MATCH(81,'كشف الحساب'!$N$4:$N$203,0),0)=0,"",INDEX('كشف الحساب'!$A$4:$A$203,IFERROR(MATCH(81,'كشف الحساب'!$N$4:$N$203,0),0))),"")</f>
        <v/>
      </c>
      <c r="B85" s="89" t="str">
        <f>IFERROR(IF(IFERROR(MATCH(81,'كشف الحساب'!$N$4:$N$203,0),0)=0,"",INDEX('كشف الحساب'!$B$4:$B$203,IFERROR(MATCH(81,'كشف الحساب'!$N$4:$N$203,0),0))),"")</f>
        <v/>
      </c>
      <c r="C85" s="90" t="str">
        <f>IFERROR(IF(IFERROR(MATCH(81,'كشف الحساب'!$N$4:$N$203,0),0)=0,"",INDEX('كشف الحساب'!$C$4:$C$203,IFERROR(MATCH(81,'كشف الحساب'!$N$4:$N$203,0),0))),"")</f>
        <v/>
      </c>
      <c r="D85" s="91" t="str">
        <f>IFERROR(IF(IFERROR(MATCH(81,'كشف الحساب'!$N$4:$N$203,0),0)=0,"",INDEX('كشف الحساب'!$D$4:$D$203,IFERROR(MATCH(81,'كشف الحساب'!$N$4:$N$203,0),0))),"")</f>
        <v/>
      </c>
      <c r="E85" s="92" t="str">
        <f>IFERROR(IF(IFERROR(MATCH(81,'كشف الحساب'!$N$4:$N$203,0),0)=0,"",INDEX('كشف الحساب'!$E$4:$E$203,IFERROR(MATCH(81,'كشف الحساب'!$N$4:$N$203,0),0))),"")</f>
        <v/>
      </c>
      <c r="F85" s="89" t="str">
        <f>IFERROR(IF(IFERROR(MATCH(81,'كشف الحساب'!$N$4:$N$203,0),0)=0,"",INDEX('كشف الحساب'!$F$4:$F$203,IFERROR(MATCH(81,'كشف الحساب'!$N$4:$N$203,0),0))),"")</f>
        <v/>
      </c>
      <c r="G85" s="89" t="str">
        <f>IFERROR(IF(IFERROR(MATCH(81,'كشف الحساب'!$N$4:$N$203,0),0)=0,"",INDEX('كشف الحساب'!$G$4:$G$203,IFERROR(MATCH(81,'كشف الحساب'!$N$4:$N$203,0),0))),"")</f>
        <v/>
      </c>
      <c r="H85" s="89" t="str">
        <f>IFERROR(IF(IFERROR(MATCH(81,'كشف الحساب'!$N$4:$N$203,0),0)=0,"",INDEX('كشف الحساب'!$H$4:$H$203,IFERROR(MATCH(81,'كشف الحساب'!$N$4:$N$203,0),0))),"")</f>
        <v/>
      </c>
      <c r="I85" s="89" t="str">
        <f>IFERROR(IF(IFERROR(MATCH(81,'كشف الحساب'!$N$4:$N$203,0),0)=0,"",INDEX('كشف الحساب'!$I$4:$I$203,IFERROR(MATCH(81,'كشف الحساب'!$N$4:$N$203,0),0))),"")</f>
        <v/>
      </c>
      <c r="J85" s="93" t="str">
        <f>IFERROR(IF(IFERROR(MATCH(81,'كشف الحساب'!$N$4:$N$203,0),0)=0,"",INDEX('كشف الحساب'!$J$4:$J$203,IFERROR(MATCH(81,'كشف الحساب'!$N$4:$N$203,0),0))),"")</f>
        <v/>
      </c>
      <c r="K85" s="89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>
      <c r="A86" s="94" t="str">
        <f>IFERROR(IF(IFERROR(MATCH(82,'كشف الحساب'!$N$4:$N$203,0),0)=0,"",INDEX('كشف الحساب'!$A$4:$A$203,IFERROR(MATCH(82,'كشف الحساب'!$N$4:$N$203,0),0))),"")</f>
        <v/>
      </c>
      <c r="B86" s="95" t="str">
        <f>IFERROR(IF(IFERROR(MATCH(82,'كشف الحساب'!$N$4:$N$203,0),0)=0,"",INDEX('كشف الحساب'!$B$4:$B$203,IFERROR(MATCH(82,'كشف الحساب'!$N$4:$N$203,0),0))),"")</f>
        <v/>
      </c>
      <c r="C86" s="96" t="str">
        <f>IFERROR(IF(IFERROR(MATCH(82,'كشف الحساب'!$N$4:$N$203,0),0)=0,"",INDEX('كشف الحساب'!$C$4:$C$203,IFERROR(MATCH(82,'كشف الحساب'!$N$4:$N$203,0),0))),"")</f>
        <v/>
      </c>
      <c r="D86" s="97" t="str">
        <f>IFERROR(IF(IFERROR(MATCH(82,'كشف الحساب'!$N$4:$N$203,0),0)=0,"",INDEX('كشف الحساب'!$D$4:$D$203,IFERROR(MATCH(82,'كشف الحساب'!$N$4:$N$203,0),0))),"")</f>
        <v/>
      </c>
      <c r="E86" s="98" t="str">
        <f>IFERROR(IF(IFERROR(MATCH(82,'كشف الحساب'!$N$4:$N$203,0),0)=0,"",INDEX('كشف الحساب'!$E$4:$E$203,IFERROR(MATCH(82,'كشف الحساب'!$N$4:$N$203,0),0))),"")</f>
        <v/>
      </c>
      <c r="F86" s="95" t="str">
        <f>IFERROR(IF(IFERROR(MATCH(82,'كشف الحساب'!$N$4:$N$203,0),0)=0,"",INDEX('كشف الحساب'!$F$4:$F$203,IFERROR(MATCH(82,'كشف الحساب'!$N$4:$N$203,0),0))),"")</f>
        <v/>
      </c>
      <c r="G86" s="95" t="str">
        <f>IFERROR(IF(IFERROR(MATCH(82,'كشف الحساب'!$N$4:$N$203,0),0)=0,"",INDEX('كشف الحساب'!$G$4:$G$203,IFERROR(MATCH(82,'كشف الحساب'!$N$4:$N$203,0),0))),"")</f>
        <v/>
      </c>
      <c r="H86" s="95" t="str">
        <f>IFERROR(IF(IFERROR(MATCH(82,'كشف الحساب'!$N$4:$N$203,0),0)=0,"",INDEX('كشف الحساب'!$H$4:$H$203,IFERROR(MATCH(82,'كشف الحساب'!$N$4:$N$203,0),0))),"")</f>
        <v/>
      </c>
      <c r="I86" s="95" t="str">
        <f>IFERROR(IF(IFERROR(MATCH(82,'كشف الحساب'!$N$4:$N$203,0),0)=0,"",INDEX('كشف الحساب'!$I$4:$I$203,IFERROR(MATCH(82,'كشف الحساب'!$N$4:$N$203,0),0))),"")</f>
        <v/>
      </c>
      <c r="J86" s="99" t="str">
        <f>IFERROR(IF(IFERROR(MATCH(82,'كشف الحساب'!$N$4:$N$203,0),0)=0,"",INDEX('كشف الحساب'!$J$4:$J$203,IFERROR(MATCH(82,'كشف الحساب'!$N$4:$N$203,0),0))),"")</f>
        <v/>
      </c>
      <c r="K86" s="95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>
      <c r="A87" s="88" t="str">
        <f>IFERROR(IF(IFERROR(MATCH(83,'كشف الحساب'!$N$4:$N$203,0),0)=0,"",INDEX('كشف الحساب'!$A$4:$A$203,IFERROR(MATCH(83,'كشف الحساب'!$N$4:$N$203,0),0))),"")</f>
        <v/>
      </c>
      <c r="B87" s="89" t="str">
        <f>IFERROR(IF(IFERROR(MATCH(83,'كشف الحساب'!$N$4:$N$203,0),0)=0,"",INDEX('كشف الحساب'!$B$4:$B$203,IFERROR(MATCH(83,'كشف الحساب'!$N$4:$N$203,0),0))),"")</f>
        <v/>
      </c>
      <c r="C87" s="90" t="str">
        <f>IFERROR(IF(IFERROR(MATCH(83,'كشف الحساب'!$N$4:$N$203,0),0)=0,"",INDEX('كشف الحساب'!$C$4:$C$203,IFERROR(MATCH(83,'كشف الحساب'!$N$4:$N$203,0),0))),"")</f>
        <v/>
      </c>
      <c r="D87" s="91" t="str">
        <f>IFERROR(IF(IFERROR(MATCH(83,'كشف الحساب'!$N$4:$N$203,0),0)=0,"",INDEX('كشف الحساب'!$D$4:$D$203,IFERROR(MATCH(83,'كشف الحساب'!$N$4:$N$203,0),0))),"")</f>
        <v/>
      </c>
      <c r="E87" s="92" t="str">
        <f>IFERROR(IF(IFERROR(MATCH(83,'كشف الحساب'!$N$4:$N$203,0),0)=0,"",INDEX('كشف الحساب'!$E$4:$E$203,IFERROR(MATCH(83,'كشف الحساب'!$N$4:$N$203,0),0))),"")</f>
        <v/>
      </c>
      <c r="F87" s="89" t="str">
        <f>IFERROR(IF(IFERROR(MATCH(83,'كشف الحساب'!$N$4:$N$203,0),0)=0,"",INDEX('كشف الحساب'!$F$4:$F$203,IFERROR(MATCH(83,'كشف الحساب'!$N$4:$N$203,0),0))),"")</f>
        <v/>
      </c>
      <c r="G87" s="89" t="str">
        <f>IFERROR(IF(IFERROR(MATCH(83,'كشف الحساب'!$N$4:$N$203,0),0)=0,"",INDEX('كشف الحساب'!$G$4:$G$203,IFERROR(MATCH(83,'كشف الحساب'!$N$4:$N$203,0),0))),"")</f>
        <v/>
      </c>
      <c r="H87" s="89" t="str">
        <f>IFERROR(IF(IFERROR(MATCH(83,'كشف الحساب'!$N$4:$N$203,0),0)=0,"",INDEX('كشف الحساب'!$H$4:$H$203,IFERROR(MATCH(83,'كشف الحساب'!$N$4:$N$203,0),0))),"")</f>
        <v/>
      </c>
      <c r="I87" s="89" t="str">
        <f>IFERROR(IF(IFERROR(MATCH(83,'كشف الحساب'!$N$4:$N$203,0),0)=0,"",INDEX('كشف الحساب'!$I$4:$I$203,IFERROR(MATCH(83,'كشف الحساب'!$N$4:$N$203,0),0))),"")</f>
        <v/>
      </c>
      <c r="J87" s="93" t="str">
        <f>IFERROR(IF(IFERROR(MATCH(83,'كشف الحساب'!$N$4:$N$203,0),0)=0,"",INDEX('كشف الحساب'!$J$4:$J$203,IFERROR(MATCH(83,'كشف الحساب'!$N$4:$N$203,0),0))),"")</f>
        <v/>
      </c>
      <c r="K87" s="89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>
      <c r="A88" s="94" t="str">
        <f>IFERROR(IF(IFERROR(MATCH(84,'كشف الحساب'!$N$4:$N$203,0),0)=0,"",INDEX('كشف الحساب'!$A$4:$A$203,IFERROR(MATCH(84,'كشف الحساب'!$N$4:$N$203,0),0))),"")</f>
        <v/>
      </c>
      <c r="B88" s="95" t="str">
        <f>IFERROR(IF(IFERROR(MATCH(84,'كشف الحساب'!$N$4:$N$203,0),0)=0,"",INDEX('كشف الحساب'!$B$4:$B$203,IFERROR(MATCH(84,'كشف الحساب'!$N$4:$N$203,0),0))),"")</f>
        <v/>
      </c>
      <c r="C88" s="96" t="str">
        <f>IFERROR(IF(IFERROR(MATCH(84,'كشف الحساب'!$N$4:$N$203,0),0)=0,"",INDEX('كشف الحساب'!$C$4:$C$203,IFERROR(MATCH(84,'كشف الحساب'!$N$4:$N$203,0),0))),"")</f>
        <v/>
      </c>
      <c r="D88" s="97" t="str">
        <f>IFERROR(IF(IFERROR(MATCH(84,'كشف الحساب'!$N$4:$N$203,0),0)=0,"",INDEX('كشف الحساب'!$D$4:$D$203,IFERROR(MATCH(84,'كشف الحساب'!$N$4:$N$203,0),0))),"")</f>
        <v/>
      </c>
      <c r="E88" s="98" t="str">
        <f>IFERROR(IF(IFERROR(MATCH(84,'كشف الحساب'!$N$4:$N$203,0),0)=0,"",INDEX('كشف الحساب'!$E$4:$E$203,IFERROR(MATCH(84,'كشف الحساب'!$N$4:$N$203,0),0))),"")</f>
        <v/>
      </c>
      <c r="F88" s="95" t="str">
        <f>IFERROR(IF(IFERROR(MATCH(84,'كشف الحساب'!$N$4:$N$203,0),0)=0,"",INDEX('كشف الحساب'!$F$4:$F$203,IFERROR(MATCH(84,'كشف الحساب'!$N$4:$N$203,0),0))),"")</f>
        <v/>
      </c>
      <c r="G88" s="95" t="str">
        <f>IFERROR(IF(IFERROR(MATCH(84,'كشف الحساب'!$N$4:$N$203,0),0)=0,"",INDEX('كشف الحساب'!$G$4:$G$203,IFERROR(MATCH(84,'كشف الحساب'!$N$4:$N$203,0),0))),"")</f>
        <v/>
      </c>
      <c r="H88" s="95" t="str">
        <f>IFERROR(IF(IFERROR(MATCH(84,'كشف الحساب'!$N$4:$N$203,0),0)=0,"",INDEX('كشف الحساب'!$H$4:$H$203,IFERROR(MATCH(84,'كشف الحساب'!$N$4:$N$203,0),0))),"")</f>
        <v/>
      </c>
      <c r="I88" s="95" t="str">
        <f>IFERROR(IF(IFERROR(MATCH(84,'كشف الحساب'!$N$4:$N$203,0),0)=0,"",INDEX('كشف الحساب'!$I$4:$I$203,IFERROR(MATCH(84,'كشف الحساب'!$N$4:$N$203,0),0))),"")</f>
        <v/>
      </c>
      <c r="J88" s="99" t="str">
        <f>IFERROR(IF(IFERROR(MATCH(84,'كشف الحساب'!$N$4:$N$203,0),0)=0,"",INDEX('كشف الحساب'!$J$4:$J$203,IFERROR(MATCH(84,'كشف الحساب'!$N$4:$N$203,0),0))),"")</f>
        <v/>
      </c>
      <c r="K88" s="95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>
      <c r="A89" s="88" t="str">
        <f>IFERROR(IF(IFERROR(MATCH(85,'كشف الحساب'!$N$4:$N$203,0),0)=0,"",INDEX('كشف الحساب'!$A$4:$A$203,IFERROR(MATCH(85,'كشف الحساب'!$N$4:$N$203,0),0))),"")</f>
        <v/>
      </c>
      <c r="B89" s="89" t="str">
        <f>IFERROR(IF(IFERROR(MATCH(85,'كشف الحساب'!$N$4:$N$203,0),0)=0,"",INDEX('كشف الحساب'!$B$4:$B$203,IFERROR(MATCH(85,'كشف الحساب'!$N$4:$N$203,0),0))),"")</f>
        <v/>
      </c>
      <c r="C89" s="90" t="str">
        <f>IFERROR(IF(IFERROR(MATCH(85,'كشف الحساب'!$N$4:$N$203,0),0)=0,"",INDEX('كشف الحساب'!$C$4:$C$203,IFERROR(MATCH(85,'كشف الحساب'!$N$4:$N$203,0),0))),"")</f>
        <v/>
      </c>
      <c r="D89" s="91" t="str">
        <f>IFERROR(IF(IFERROR(MATCH(85,'كشف الحساب'!$N$4:$N$203,0),0)=0,"",INDEX('كشف الحساب'!$D$4:$D$203,IFERROR(MATCH(85,'كشف الحساب'!$N$4:$N$203,0),0))),"")</f>
        <v/>
      </c>
      <c r="E89" s="92" t="str">
        <f>IFERROR(IF(IFERROR(MATCH(85,'كشف الحساب'!$N$4:$N$203,0),0)=0,"",INDEX('كشف الحساب'!$E$4:$E$203,IFERROR(MATCH(85,'كشف الحساب'!$N$4:$N$203,0),0))),"")</f>
        <v/>
      </c>
      <c r="F89" s="89" t="str">
        <f>IFERROR(IF(IFERROR(MATCH(85,'كشف الحساب'!$N$4:$N$203,0),0)=0,"",INDEX('كشف الحساب'!$F$4:$F$203,IFERROR(MATCH(85,'كشف الحساب'!$N$4:$N$203,0),0))),"")</f>
        <v/>
      </c>
      <c r="G89" s="89" t="str">
        <f>IFERROR(IF(IFERROR(MATCH(85,'كشف الحساب'!$N$4:$N$203,0),0)=0,"",INDEX('كشف الحساب'!$G$4:$G$203,IFERROR(MATCH(85,'كشف الحساب'!$N$4:$N$203,0),0))),"")</f>
        <v/>
      </c>
      <c r="H89" s="89" t="str">
        <f>IFERROR(IF(IFERROR(MATCH(85,'كشف الحساب'!$N$4:$N$203,0),0)=0,"",INDEX('كشف الحساب'!$H$4:$H$203,IFERROR(MATCH(85,'كشف الحساب'!$N$4:$N$203,0),0))),"")</f>
        <v/>
      </c>
      <c r="I89" s="89" t="str">
        <f>IFERROR(IF(IFERROR(MATCH(85,'كشف الحساب'!$N$4:$N$203,0),0)=0,"",INDEX('كشف الحساب'!$I$4:$I$203,IFERROR(MATCH(85,'كشف الحساب'!$N$4:$N$203,0),0))),"")</f>
        <v/>
      </c>
      <c r="J89" s="93" t="str">
        <f>IFERROR(IF(IFERROR(MATCH(85,'كشف الحساب'!$N$4:$N$203,0),0)=0,"",INDEX('كشف الحساب'!$J$4:$J$203,IFERROR(MATCH(85,'كشف الحساب'!$N$4:$N$203,0),0))),"")</f>
        <v/>
      </c>
      <c r="K89" s="89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>
      <c r="A90" s="94" t="str">
        <f>IFERROR(IF(IFERROR(MATCH(86,'كشف الحساب'!$N$4:$N$203,0),0)=0,"",INDEX('كشف الحساب'!$A$4:$A$203,IFERROR(MATCH(86,'كشف الحساب'!$N$4:$N$203,0),0))),"")</f>
        <v/>
      </c>
      <c r="B90" s="95" t="str">
        <f>IFERROR(IF(IFERROR(MATCH(86,'كشف الحساب'!$N$4:$N$203,0),0)=0,"",INDEX('كشف الحساب'!$B$4:$B$203,IFERROR(MATCH(86,'كشف الحساب'!$N$4:$N$203,0),0))),"")</f>
        <v/>
      </c>
      <c r="C90" s="96" t="str">
        <f>IFERROR(IF(IFERROR(MATCH(86,'كشف الحساب'!$N$4:$N$203,0),0)=0,"",INDEX('كشف الحساب'!$C$4:$C$203,IFERROR(MATCH(86,'كشف الحساب'!$N$4:$N$203,0),0))),"")</f>
        <v/>
      </c>
      <c r="D90" s="97" t="str">
        <f>IFERROR(IF(IFERROR(MATCH(86,'كشف الحساب'!$N$4:$N$203,0),0)=0,"",INDEX('كشف الحساب'!$D$4:$D$203,IFERROR(MATCH(86,'كشف الحساب'!$N$4:$N$203,0),0))),"")</f>
        <v/>
      </c>
      <c r="E90" s="98" t="str">
        <f>IFERROR(IF(IFERROR(MATCH(86,'كشف الحساب'!$N$4:$N$203,0),0)=0,"",INDEX('كشف الحساب'!$E$4:$E$203,IFERROR(MATCH(86,'كشف الحساب'!$N$4:$N$203,0),0))),"")</f>
        <v/>
      </c>
      <c r="F90" s="95" t="str">
        <f>IFERROR(IF(IFERROR(MATCH(86,'كشف الحساب'!$N$4:$N$203,0),0)=0,"",INDEX('كشف الحساب'!$F$4:$F$203,IFERROR(MATCH(86,'كشف الحساب'!$N$4:$N$203,0),0))),"")</f>
        <v/>
      </c>
      <c r="G90" s="95" t="str">
        <f>IFERROR(IF(IFERROR(MATCH(86,'كشف الحساب'!$N$4:$N$203,0),0)=0,"",INDEX('كشف الحساب'!$G$4:$G$203,IFERROR(MATCH(86,'كشف الحساب'!$N$4:$N$203,0),0))),"")</f>
        <v/>
      </c>
      <c r="H90" s="95" t="str">
        <f>IFERROR(IF(IFERROR(MATCH(86,'كشف الحساب'!$N$4:$N$203,0),0)=0,"",INDEX('كشف الحساب'!$H$4:$H$203,IFERROR(MATCH(86,'كشف الحساب'!$N$4:$N$203,0),0))),"")</f>
        <v/>
      </c>
      <c r="I90" s="95" t="str">
        <f>IFERROR(IF(IFERROR(MATCH(86,'كشف الحساب'!$N$4:$N$203,0),0)=0,"",INDEX('كشف الحساب'!$I$4:$I$203,IFERROR(MATCH(86,'كشف الحساب'!$N$4:$N$203,0),0))),"")</f>
        <v/>
      </c>
      <c r="J90" s="99" t="str">
        <f>IFERROR(IF(IFERROR(MATCH(86,'كشف الحساب'!$N$4:$N$203,0),0)=0,"",INDEX('كشف الحساب'!$J$4:$J$203,IFERROR(MATCH(86,'كشف الحساب'!$N$4:$N$203,0),0))),"")</f>
        <v/>
      </c>
      <c r="K90" s="95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>
      <c r="A91" s="88" t="str">
        <f>IFERROR(IF(IFERROR(MATCH(87,'كشف الحساب'!$N$4:$N$203,0),0)=0,"",INDEX('كشف الحساب'!$A$4:$A$203,IFERROR(MATCH(87,'كشف الحساب'!$N$4:$N$203,0),0))),"")</f>
        <v/>
      </c>
      <c r="B91" s="89" t="str">
        <f>IFERROR(IF(IFERROR(MATCH(87,'كشف الحساب'!$N$4:$N$203,0),0)=0,"",INDEX('كشف الحساب'!$B$4:$B$203,IFERROR(MATCH(87,'كشف الحساب'!$N$4:$N$203,0),0))),"")</f>
        <v/>
      </c>
      <c r="C91" s="90" t="str">
        <f>IFERROR(IF(IFERROR(MATCH(87,'كشف الحساب'!$N$4:$N$203,0),0)=0,"",INDEX('كشف الحساب'!$C$4:$C$203,IFERROR(MATCH(87,'كشف الحساب'!$N$4:$N$203,0),0))),"")</f>
        <v/>
      </c>
      <c r="D91" s="91" t="str">
        <f>IFERROR(IF(IFERROR(MATCH(87,'كشف الحساب'!$N$4:$N$203,0),0)=0,"",INDEX('كشف الحساب'!$D$4:$D$203,IFERROR(MATCH(87,'كشف الحساب'!$N$4:$N$203,0),0))),"")</f>
        <v/>
      </c>
      <c r="E91" s="92" t="str">
        <f>IFERROR(IF(IFERROR(MATCH(87,'كشف الحساب'!$N$4:$N$203,0),0)=0,"",INDEX('كشف الحساب'!$E$4:$E$203,IFERROR(MATCH(87,'كشف الحساب'!$N$4:$N$203,0),0))),"")</f>
        <v/>
      </c>
      <c r="F91" s="89" t="str">
        <f>IFERROR(IF(IFERROR(MATCH(87,'كشف الحساب'!$N$4:$N$203,0),0)=0,"",INDEX('كشف الحساب'!$F$4:$F$203,IFERROR(MATCH(87,'كشف الحساب'!$N$4:$N$203,0),0))),"")</f>
        <v/>
      </c>
      <c r="G91" s="89" t="str">
        <f>IFERROR(IF(IFERROR(MATCH(87,'كشف الحساب'!$N$4:$N$203,0),0)=0,"",INDEX('كشف الحساب'!$G$4:$G$203,IFERROR(MATCH(87,'كشف الحساب'!$N$4:$N$203,0),0))),"")</f>
        <v/>
      </c>
      <c r="H91" s="89" t="str">
        <f>IFERROR(IF(IFERROR(MATCH(87,'كشف الحساب'!$N$4:$N$203,0),0)=0,"",INDEX('كشف الحساب'!$H$4:$H$203,IFERROR(MATCH(87,'كشف الحساب'!$N$4:$N$203,0),0))),"")</f>
        <v/>
      </c>
      <c r="I91" s="89" t="str">
        <f>IFERROR(IF(IFERROR(MATCH(87,'كشف الحساب'!$N$4:$N$203,0),0)=0,"",INDEX('كشف الحساب'!$I$4:$I$203,IFERROR(MATCH(87,'كشف الحساب'!$N$4:$N$203,0),0))),"")</f>
        <v/>
      </c>
      <c r="J91" s="93" t="str">
        <f>IFERROR(IF(IFERROR(MATCH(87,'كشف الحساب'!$N$4:$N$203,0),0)=0,"",INDEX('كشف الحساب'!$J$4:$J$203,IFERROR(MATCH(87,'كشف الحساب'!$N$4:$N$203,0),0))),"")</f>
        <v/>
      </c>
      <c r="K91" s="89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>
      <c r="A92" s="94" t="str">
        <f>IFERROR(IF(IFERROR(MATCH(88,'كشف الحساب'!$N$4:$N$203,0),0)=0,"",INDEX('كشف الحساب'!$A$4:$A$203,IFERROR(MATCH(88,'كشف الحساب'!$N$4:$N$203,0),0))),"")</f>
        <v/>
      </c>
      <c r="B92" s="95" t="str">
        <f>IFERROR(IF(IFERROR(MATCH(88,'كشف الحساب'!$N$4:$N$203,0),0)=0,"",INDEX('كشف الحساب'!$B$4:$B$203,IFERROR(MATCH(88,'كشف الحساب'!$N$4:$N$203,0),0))),"")</f>
        <v/>
      </c>
      <c r="C92" s="96" t="str">
        <f>IFERROR(IF(IFERROR(MATCH(88,'كشف الحساب'!$N$4:$N$203,0),0)=0,"",INDEX('كشف الحساب'!$C$4:$C$203,IFERROR(MATCH(88,'كشف الحساب'!$N$4:$N$203,0),0))),"")</f>
        <v/>
      </c>
      <c r="D92" s="97" t="str">
        <f>IFERROR(IF(IFERROR(MATCH(88,'كشف الحساب'!$N$4:$N$203,0),0)=0,"",INDEX('كشف الحساب'!$D$4:$D$203,IFERROR(MATCH(88,'كشف الحساب'!$N$4:$N$203,0),0))),"")</f>
        <v/>
      </c>
      <c r="E92" s="98" t="str">
        <f>IFERROR(IF(IFERROR(MATCH(88,'كشف الحساب'!$N$4:$N$203,0),0)=0,"",INDEX('كشف الحساب'!$E$4:$E$203,IFERROR(MATCH(88,'كشف الحساب'!$N$4:$N$203,0),0))),"")</f>
        <v/>
      </c>
      <c r="F92" s="95" t="str">
        <f>IFERROR(IF(IFERROR(MATCH(88,'كشف الحساب'!$N$4:$N$203,0),0)=0,"",INDEX('كشف الحساب'!$F$4:$F$203,IFERROR(MATCH(88,'كشف الحساب'!$N$4:$N$203,0),0))),"")</f>
        <v/>
      </c>
      <c r="G92" s="95" t="str">
        <f>IFERROR(IF(IFERROR(MATCH(88,'كشف الحساب'!$N$4:$N$203,0),0)=0,"",INDEX('كشف الحساب'!$G$4:$G$203,IFERROR(MATCH(88,'كشف الحساب'!$N$4:$N$203,0),0))),"")</f>
        <v/>
      </c>
      <c r="H92" s="95" t="str">
        <f>IFERROR(IF(IFERROR(MATCH(88,'كشف الحساب'!$N$4:$N$203,0),0)=0,"",INDEX('كشف الحساب'!$H$4:$H$203,IFERROR(MATCH(88,'كشف الحساب'!$N$4:$N$203,0),0))),"")</f>
        <v/>
      </c>
      <c r="I92" s="95" t="str">
        <f>IFERROR(IF(IFERROR(MATCH(88,'كشف الحساب'!$N$4:$N$203,0),0)=0,"",INDEX('كشف الحساب'!$I$4:$I$203,IFERROR(MATCH(88,'كشف الحساب'!$N$4:$N$203,0),0))),"")</f>
        <v/>
      </c>
      <c r="J92" s="99" t="str">
        <f>IFERROR(IF(IFERROR(MATCH(88,'كشف الحساب'!$N$4:$N$203,0),0)=0,"",INDEX('كشف الحساب'!$J$4:$J$203,IFERROR(MATCH(88,'كشف الحساب'!$N$4:$N$203,0),0))),"")</f>
        <v/>
      </c>
      <c r="K92" s="95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>
      <c r="A93" s="88" t="str">
        <f>IFERROR(IF(IFERROR(MATCH(89,'كشف الحساب'!$N$4:$N$203,0),0)=0,"",INDEX('كشف الحساب'!$A$4:$A$203,IFERROR(MATCH(89,'كشف الحساب'!$N$4:$N$203,0),0))),"")</f>
        <v/>
      </c>
      <c r="B93" s="89" t="str">
        <f>IFERROR(IF(IFERROR(MATCH(89,'كشف الحساب'!$N$4:$N$203,0),0)=0,"",INDEX('كشف الحساب'!$B$4:$B$203,IFERROR(MATCH(89,'كشف الحساب'!$N$4:$N$203,0),0))),"")</f>
        <v/>
      </c>
      <c r="C93" s="90" t="str">
        <f>IFERROR(IF(IFERROR(MATCH(89,'كشف الحساب'!$N$4:$N$203,0),0)=0,"",INDEX('كشف الحساب'!$C$4:$C$203,IFERROR(MATCH(89,'كشف الحساب'!$N$4:$N$203,0),0))),"")</f>
        <v/>
      </c>
      <c r="D93" s="91" t="str">
        <f>IFERROR(IF(IFERROR(MATCH(89,'كشف الحساب'!$N$4:$N$203,0),0)=0,"",INDEX('كشف الحساب'!$D$4:$D$203,IFERROR(MATCH(89,'كشف الحساب'!$N$4:$N$203,0),0))),"")</f>
        <v/>
      </c>
      <c r="E93" s="92" t="str">
        <f>IFERROR(IF(IFERROR(MATCH(89,'كشف الحساب'!$N$4:$N$203,0),0)=0,"",INDEX('كشف الحساب'!$E$4:$E$203,IFERROR(MATCH(89,'كشف الحساب'!$N$4:$N$203,0),0))),"")</f>
        <v/>
      </c>
      <c r="F93" s="89" t="str">
        <f>IFERROR(IF(IFERROR(MATCH(89,'كشف الحساب'!$N$4:$N$203,0),0)=0,"",INDEX('كشف الحساب'!$F$4:$F$203,IFERROR(MATCH(89,'كشف الحساب'!$N$4:$N$203,0),0))),"")</f>
        <v/>
      </c>
      <c r="G93" s="89" t="str">
        <f>IFERROR(IF(IFERROR(MATCH(89,'كشف الحساب'!$N$4:$N$203,0),0)=0,"",INDEX('كشف الحساب'!$G$4:$G$203,IFERROR(MATCH(89,'كشف الحساب'!$N$4:$N$203,0),0))),"")</f>
        <v/>
      </c>
      <c r="H93" s="89" t="str">
        <f>IFERROR(IF(IFERROR(MATCH(89,'كشف الحساب'!$N$4:$N$203,0),0)=0,"",INDEX('كشف الحساب'!$H$4:$H$203,IFERROR(MATCH(89,'كشف الحساب'!$N$4:$N$203,0),0))),"")</f>
        <v/>
      </c>
      <c r="I93" s="89" t="str">
        <f>IFERROR(IF(IFERROR(MATCH(89,'كشف الحساب'!$N$4:$N$203,0),0)=0,"",INDEX('كشف الحساب'!$I$4:$I$203,IFERROR(MATCH(89,'كشف الحساب'!$N$4:$N$203,0),0))),"")</f>
        <v/>
      </c>
      <c r="J93" s="93" t="str">
        <f>IFERROR(IF(IFERROR(MATCH(89,'كشف الحساب'!$N$4:$N$203,0),0)=0,"",INDEX('كشف الحساب'!$J$4:$J$203,IFERROR(MATCH(89,'كشف الحساب'!$N$4:$N$203,0),0))),"")</f>
        <v/>
      </c>
      <c r="K93" s="89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>
      <c r="A94" s="94" t="str">
        <f>IFERROR(IF(IFERROR(MATCH(90,'كشف الحساب'!$N$4:$N$203,0),0)=0,"",INDEX('كشف الحساب'!$A$4:$A$203,IFERROR(MATCH(90,'كشف الحساب'!$N$4:$N$203,0),0))),"")</f>
        <v/>
      </c>
      <c r="B94" s="95" t="str">
        <f>IFERROR(IF(IFERROR(MATCH(90,'كشف الحساب'!$N$4:$N$203,0),0)=0,"",INDEX('كشف الحساب'!$B$4:$B$203,IFERROR(MATCH(90,'كشف الحساب'!$N$4:$N$203,0),0))),"")</f>
        <v/>
      </c>
      <c r="C94" s="96" t="str">
        <f>IFERROR(IF(IFERROR(MATCH(90,'كشف الحساب'!$N$4:$N$203,0),0)=0,"",INDEX('كشف الحساب'!$C$4:$C$203,IFERROR(MATCH(90,'كشف الحساب'!$N$4:$N$203,0),0))),"")</f>
        <v/>
      </c>
      <c r="D94" s="97" t="str">
        <f>IFERROR(IF(IFERROR(MATCH(90,'كشف الحساب'!$N$4:$N$203,0),0)=0,"",INDEX('كشف الحساب'!$D$4:$D$203,IFERROR(MATCH(90,'كشف الحساب'!$N$4:$N$203,0),0))),"")</f>
        <v/>
      </c>
      <c r="E94" s="98" t="str">
        <f>IFERROR(IF(IFERROR(MATCH(90,'كشف الحساب'!$N$4:$N$203,0),0)=0,"",INDEX('كشف الحساب'!$E$4:$E$203,IFERROR(MATCH(90,'كشف الحساب'!$N$4:$N$203,0),0))),"")</f>
        <v/>
      </c>
      <c r="F94" s="95" t="str">
        <f>IFERROR(IF(IFERROR(MATCH(90,'كشف الحساب'!$N$4:$N$203,0),0)=0,"",INDEX('كشف الحساب'!$F$4:$F$203,IFERROR(MATCH(90,'كشف الحساب'!$N$4:$N$203,0),0))),"")</f>
        <v/>
      </c>
      <c r="G94" s="95" t="str">
        <f>IFERROR(IF(IFERROR(MATCH(90,'كشف الحساب'!$N$4:$N$203,0),0)=0,"",INDEX('كشف الحساب'!$G$4:$G$203,IFERROR(MATCH(90,'كشف الحساب'!$N$4:$N$203,0),0))),"")</f>
        <v/>
      </c>
      <c r="H94" s="95" t="str">
        <f>IFERROR(IF(IFERROR(MATCH(90,'كشف الحساب'!$N$4:$N$203,0),0)=0,"",INDEX('كشف الحساب'!$H$4:$H$203,IFERROR(MATCH(90,'كشف الحساب'!$N$4:$N$203,0),0))),"")</f>
        <v/>
      </c>
      <c r="I94" s="95" t="str">
        <f>IFERROR(IF(IFERROR(MATCH(90,'كشف الحساب'!$N$4:$N$203,0),0)=0,"",INDEX('كشف الحساب'!$I$4:$I$203,IFERROR(MATCH(90,'كشف الحساب'!$N$4:$N$203,0),0))),"")</f>
        <v/>
      </c>
      <c r="J94" s="99" t="str">
        <f>IFERROR(IF(IFERROR(MATCH(90,'كشف الحساب'!$N$4:$N$203,0),0)=0,"",INDEX('كشف الحساب'!$J$4:$J$203,IFERROR(MATCH(90,'كشف الحساب'!$N$4:$N$203,0),0))),"")</f>
        <v/>
      </c>
      <c r="K94" s="95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>
      <c r="A95" s="88" t="str">
        <f>IFERROR(IF(IFERROR(MATCH(91,'كشف الحساب'!$N$4:$N$203,0),0)=0,"",INDEX('كشف الحساب'!$A$4:$A$203,IFERROR(MATCH(91,'كشف الحساب'!$N$4:$N$203,0),0))),"")</f>
        <v/>
      </c>
      <c r="B95" s="89" t="str">
        <f>IFERROR(IF(IFERROR(MATCH(91,'كشف الحساب'!$N$4:$N$203,0),0)=0,"",INDEX('كشف الحساب'!$B$4:$B$203,IFERROR(MATCH(91,'كشف الحساب'!$N$4:$N$203,0),0))),"")</f>
        <v/>
      </c>
      <c r="C95" s="90" t="str">
        <f>IFERROR(IF(IFERROR(MATCH(91,'كشف الحساب'!$N$4:$N$203,0),0)=0,"",INDEX('كشف الحساب'!$C$4:$C$203,IFERROR(MATCH(91,'كشف الحساب'!$N$4:$N$203,0),0))),"")</f>
        <v/>
      </c>
      <c r="D95" s="91" t="str">
        <f>IFERROR(IF(IFERROR(MATCH(91,'كشف الحساب'!$N$4:$N$203,0),0)=0,"",INDEX('كشف الحساب'!$D$4:$D$203,IFERROR(MATCH(91,'كشف الحساب'!$N$4:$N$203,0),0))),"")</f>
        <v/>
      </c>
      <c r="E95" s="92" t="str">
        <f>IFERROR(IF(IFERROR(MATCH(91,'كشف الحساب'!$N$4:$N$203,0),0)=0,"",INDEX('كشف الحساب'!$E$4:$E$203,IFERROR(MATCH(91,'كشف الحساب'!$N$4:$N$203,0),0))),"")</f>
        <v/>
      </c>
      <c r="F95" s="89" t="str">
        <f>IFERROR(IF(IFERROR(MATCH(91,'كشف الحساب'!$N$4:$N$203,0),0)=0,"",INDEX('كشف الحساب'!$F$4:$F$203,IFERROR(MATCH(91,'كشف الحساب'!$N$4:$N$203,0),0))),"")</f>
        <v/>
      </c>
      <c r="G95" s="89" t="str">
        <f>IFERROR(IF(IFERROR(MATCH(91,'كشف الحساب'!$N$4:$N$203,0),0)=0,"",INDEX('كشف الحساب'!$G$4:$G$203,IFERROR(MATCH(91,'كشف الحساب'!$N$4:$N$203,0),0))),"")</f>
        <v/>
      </c>
      <c r="H95" s="89" t="str">
        <f>IFERROR(IF(IFERROR(MATCH(91,'كشف الحساب'!$N$4:$N$203,0),0)=0,"",INDEX('كشف الحساب'!$H$4:$H$203,IFERROR(MATCH(91,'كشف الحساب'!$N$4:$N$203,0),0))),"")</f>
        <v/>
      </c>
      <c r="I95" s="89" t="str">
        <f>IFERROR(IF(IFERROR(MATCH(91,'كشف الحساب'!$N$4:$N$203,0),0)=0,"",INDEX('كشف الحساب'!$I$4:$I$203,IFERROR(MATCH(91,'كشف الحساب'!$N$4:$N$203,0),0))),"")</f>
        <v/>
      </c>
      <c r="J95" s="93" t="str">
        <f>IFERROR(IF(IFERROR(MATCH(91,'كشف الحساب'!$N$4:$N$203,0),0)=0,"",INDEX('كشف الحساب'!$J$4:$J$203,IFERROR(MATCH(91,'كشف الحساب'!$N$4:$N$203,0),0))),"")</f>
        <v/>
      </c>
      <c r="K95" s="89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>
      <c r="A96" s="94" t="str">
        <f>IFERROR(IF(IFERROR(MATCH(92,'كشف الحساب'!$N$4:$N$203,0),0)=0,"",INDEX('كشف الحساب'!$A$4:$A$203,IFERROR(MATCH(92,'كشف الحساب'!$N$4:$N$203,0),0))),"")</f>
        <v/>
      </c>
      <c r="B96" s="95" t="str">
        <f>IFERROR(IF(IFERROR(MATCH(92,'كشف الحساب'!$N$4:$N$203,0),0)=0,"",INDEX('كشف الحساب'!$B$4:$B$203,IFERROR(MATCH(92,'كشف الحساب'!$N$4:$N$203,0),0))),"")</f>
        <v/>
      </c>
      <c r="C96" s="96" t="str">
        <f>IFERROR(IF(IFERROR(MATCH(92,'كشف الحساب'!$N$4:$N$203,0),0)=0,"",INDEX('كشف الحساب'!$C$4:$C$203,IFERROR(MATCH(92,'كشف الحساب'!$N$4:$N$203,0),0))),"")</f>
        <v/>
      </c>
      <c r="D96" s="97" t="str">
        <f>IFERROR(IF(IFERROR(MATCH(92,'كشف الحساب'!$N$4:$N$203,0),0)=0,"",INDEX('كشف الحساب'!$D$4:$D$203,IFERROR(MATCH(92,'كشف الحساب'!$N$4:$N$203,0),0))),"")</f>
        <v/>
      </c>
      <c r="E96" s="98" t="str">
        <f>IFERROR(IF(IFERROR(MATCH(92,'كشف الحساب'!$N$4:$N$203,0),0)=0,"",INDEX('كشف الحساب'!$E$4:$E$203,IFERROR(MATCH(92,'كشف الحساب'!$N$4:$N$203,0),0))),"")</f>
        <v/>
      </c>
      <c r="F96" s="95" t="str">
        <f>IFERROR(IF(IFERROR(MATCH(92,'كشف الحساب'!$N$4:$N$203,0),0)=0,"",INDEX('كشف الحساب'!$F$4:$F$203,IFERROR(MATCH(92,'كشف الحساب'!$N$4:$N$203,0),0))),"")</f>
        <v/>
      </c>
      <c r="G96" s="95" t="str">
        <f>IFERROR(IF(IFERROR(MATCH(92,'كشف الحساب'!$N$4:$N$203,0),0)=0,"",INDEX('كشف الحساب'!$G$4:$G$203,IFERROR(MATCH(92,'كشف الحساب'!$N$4:$N$203,0),0))),"")</f>
        <v/>
      </c>
      <c r="H96" s="95" t="str">
        <f>IFERROR(IF(IFERROR(MATCH(92,'كشف الحساب'!$N$4:$N$203,0),0)=0,"",INDEX('كشف الحساب'!$H$4:$H$203,IFERROR(MATCH(92,'كشف الحساب'!$N$4:$N$203,0),0))),"")</f>
        <v/>
      </c>
      <c r="I96" s="95" t="str">
        <f>IFERROR(IF(IFERROR(MATCH(92,'كشف الحساب'!$N$4:$N$203,0),0)=0,"",INDEX('كشف الحساب'!$I$4:$I$203,IFERROR(MATCH(92,'كشف الحساب'!$N$4:$N$203,0),0))),"")</f>
        <v/>
      </c>
      <c r="J96" s="99" t="str">
        <f>IFERROR(IF(IFERROR(MATCH(92,'كشف الحساب'!$N$4:$N$203,0),0)=0,"",INDEX('كشف الحساب'!$J$4:$J$203,IFERROR(MATCH(92,'كشف الحساب'!$N$4:$N$203,0),0))),"")</f>
        <v/>
      </c>
      <c r="K96" s="95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>
      <c r="A97" s="88" t="str">
        <f>IFERROR(IF(IFERROR(MATCH(93,'كشف الحساب'!$N$4:$N$203,0),0)=0,"",INDEX('كشف الحساب'!$A$4:$A$203,IFERROR(MATCH(93,'كشف الحساب'!$N$4:$N$203,0),0))),"")</f>
        <v/>
      </c>
      <c r="B97" s="89" t="str">
        <f>IFERROR(IF(IFERROR(MATCH(93,'كشف الحساب'!$N$4:$N$203,0),0)=0,"",INDEX('كشف الحساب'!$B$4:$B$203,IFERROR(MATCH(93,'كشف الحساب'!$N$4:$N$203,0),0))),"")</f>
        <v/>
      </c>
      <c r="C97" s="90" t="str">
        <f>IFERROR(IF(IFERROR(MATCH(93,'كشف الحساب'!$N$4:$N$203,0),0)=0,"",INDEX('كشف الحساب'!$C$4:$C$203,IFERROR(MATCH(93,'كشف الحساب'!$N$4:$N$203,0),0))),"")</f>
        <v/>
      </c>
      <c r="D97" s="91" t="str">
        <f>IFERROR(IF(IFERROR(MATCH(93,'كشف الحساب'!$N$4:$N$203,0),0)=0,"",INDEX('كشف الحساب'!$D$4:$D$203,IFERROR(MATCH(93,'كشف الحساب'!$N$4:$N$203,0),0))),"")</f>
        <v/>
      </c>
      <c r="E97" s="92" t="str">
        <f>IFERROR(IF(IFERROR(MATCH(93,'كشف الحساب'!$N$4:$N$203,0),0)=0,"",INDEX('كشف الحساب'!$E$4:$E$203,IFERROR(MATCH(93,'كشف الحساب'!$N$4:$N$203,0),0))),"")</f>
        <v/>
      </c>
      <c r="F97" s="89" t="str">
        <f>IFERROR(IF(IFERROR(MATCH(93,'كشف الحساب'!$N$4:$N$203,0),0)=0,"",INDEX('كشف الحساب'!$F$4:$F$203,IFERROR(MATCH(93,'كشف الحساب'!$N$4:$N$203,0),0))),"")</f>
        <v/>
      </c>
      <c r="G97" s="89" t="str">
        <f>IFERROR(IF(IFERROR(MATCH(93,'كشف الحساب'!$N$4:$N$203,0),0)=0,"",INDEX('كشف الحساب'!$G$4:$G$203,IFERROR(MATCH(93,'كشف الحساب'!$N$4:$N$203,0),0))),"")</f>
        <v/>
      </c>
      <c r="H97" s="89" t="str">
        <f>IFERROR(IF(IFERROR(MATCH(93,'كشف الحساب'!$N$4:$N$203,0),0)=0,"",INDEX('كشف الحساب'!$H$4:$H$203,IFERROR(MATCH(93,'كشف الحساب'!$N$4:$N$203,0),0))),"")</f>
        <v/>
      </c>
      <c r="I97" s="89" t="str">
        <f>IFERROR(IF(IFERROR(MATCH(93,'كشف الحساب'!$N$4:$N$203,0),0)=0,"",INDEX('كشف الحساب'!$I$4:$I$203,IFERROR(MATCH(93,'كشف الحساب'!$N$4:$N$203,0),0))),"")</f>
        <v/>
      </c>
      <c r="J97" s="93" t="str">
        <f>IFERROR(IF(IFERROR(MATCH(93,'كشف الحساب'!$N$4:$N$203,0),0)=0,"",INDEX('كشف الحساب'!$J$4:$J$203,IFERROR(MATCH(93,'كشف الحساب'!$N$4:$N$203,0),0))),"")</f>
        <v/>
      </c>
      <c r="K97" s="89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>
      <c r="A98" s="94" t="str">
        <f>IFERROR(IF(IFERROR(MATCH(94,'كشف الحساب'!$N$4:$N$203,0),0)=0,"",INDEX('كشف الحساب'!$A$4:$A$203,IFERROR(MATCH(94,'كشف الحساب'!$N$4:$N$203,0),0))),"")</f>
        <v/>
      </c>
      <c r="B98" s="95" t="str">
        <f>IFERROR(IF(IFERROR(MATCH(94,'كشف الحساب'!$N$4:$N$203,0),0)=0,"",INDEX('كشف الحساب'!$B$4:$B$203,IFERROR(MATCH(94,'كشف الحساب'!$N$4:$N$203,0),0))),"")</f>
        <v/>
      </c>
      <c r="C98" s="96" t="str">
        <f>IFERROR(IF(IFERROR(MATCH(94,'كشف الحساب'!$N$4:$N$203,0),0)=0,"",INDEX('كشف الحساب'!$C$4:$C$203,IFERROR(MATCH(94,'كشف الحساب'!$N$4:$N$203,0),0))),"")</f>
        <v/>
      </c>
      <c r="D98" s="97" t="str">
        <f>IFERROR(IF(IFERROR(MATCH(94,'كشف الحساب'!$N$4:$N$203,0),0)=0,"",INDEX('كشف الحساب'!$D$4:$D$203,IFERROR(MATCH(94,'كشف الحساب'!$N$4:$N$203,0),0))),"")</f>
        <v/>
      </c>
      <c r="E98" s="98" t="str">
        <f>IFERROR(IF(IFERROR(MATCH(94,'كشف الحساب'!$N$4:$N$203,0),0)=0,"",INDEX('كشف الحساب'!$E$4:$E$203,IFERROR(MATCH(94,'كشف الحساب'!$N$4:$N$203,0),0))),"")</f>
        <v/>
      </c>
      <c r="F98" s="95" t="str">
        <f>IFERROR(IF(IFERROR(MATCH(94,'كشف الحساب'!$N$4:$N$203,0),0)=0,"",INDEX('كشف الحساب'!$F$4:$F$203,IFERROR(MATCH(94,'كشف الحساب'!$N$4:$N$203,0),0))),"")</f>
        <v/>
      </c>
      <c r="G98" s="95" t="str">
        <f>IFERROR(IF(IFERROR(MATCH(94,'كشف الحساب'!$N$4:$N$203,0),0)=0,"",INDEX('كشف الحساب'!$G$4:$G$203,IFERROR(MATCH(94,'كشف الحساب'!$N$4:$N$203,0),0))),"")</f>
        <v/>
      </c>
      <c r="H98" s="95" t="str">
        <f>IFERROR(IF(IFERROR(MATCH(94,'كشف الحساب'!$N$4:$N$203,0),0)=0,"",INDEX('كشف الحساب'!$H$4:$H$203,IFERROR(MATCH(94,'كشف الحساب'!$N$4:$N$203,0),0))),"")</f>
        <v/>
      </c>
      <c r="I98" s="95" t="str">
        <f>IFERROR(IF(IFERROR(MATCH(94,'كشف الحساب'!$N$4:$N$203,0),0)=0,"",INDEX('كشف الحساب'!$I$4:$I$203,IFERROR(MATCH(94,'كشف الحساب'!$N$4:$N$203,0),0))),"")</f>
        <v/>
      </c>
      <c r="J98" s="99" t="str">
        <f>IFERROR(IF(IFERROR(MATCH(94,'كشف الحساب'!$N$4:$N$203,0),0)=0,"",INDEX('كشف الحساب'!$J$4:$J$203,IFERROR(MATCH(94,'كشف الحساب'!$N$4:$N$203,0),0))),"")</f>
        <v/>
      </c>
      <c r="K98" s="95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>
      <c r="A99" s="88" t="str">
        <f>IFERROR(IF(IFERROR(MATCH(95,'كشف الحساب'!$N$4:$N$203,0),0)=0,"",INDEX('كشف الحساب'!$A$4:$A$203,IFERROR(MATCH(95,'كشف الحساب'!$N$4:$N$203,0),0))),"")</f>
        <v/>
      </c>
      <c r="B99" s="89" t="str">
        <f>IFERROR(IF(IFERROR(MATCH(95,'كشف الحساب'!$N$4:$N$203,0),0)=0,"",INDEX('كشف الحساب'!$B$4:$B$203,IFERROR(MATCH(95,'كشف الحساب'!$N$4:$N$203,0),0))),"")</f>
        <v/>
      </c>
      <c r="C99" s="90" t="str">
        <f>IFERROR(IF(IFERROR(MATCH(95,'كشف الحساب'!$N$4:$N$203,0),0)=0,"",INDEX('كشف الحساب'!$C$4:$C$203,IFERROR(MATCH(95,'كشف الحساب'!$N$4:$N$203,0),0))),"")</f>
        <v/>
      </c>
      <c r="D99" s="91" t="str">
        <f>IFERROR(IF(IFERROR(MATCH(95,'كشف الحساب'!$N$4:$N$203,0),0)=0,"",INDEX('كشف الحساب'!$D$4:$D$203,IFERROR(MATCH(95,'كشف الحساب'!$N$4:$N$203,0),0))),"")</f>
        <v/>
      </c>
      <c r="E99" s="92" t="str">
        <f>IFERROR(IF(IFERROR(MATCH(95,'كشف الحساب'!$N$4:$N$203,0),0)=0,"",INDEX('كشف الحساب'!$E$4:$E$203,IFERROR(MATCH(95,'كشف الحساب'!$N$4:$N$203,0),0))),"")</f>
        <v/>
      </c>
      <c r="F99" s="89" t="str">
        <f>IFERROR(IF(IFERROR(MATCH(95,'كشف الحساب'!$N$4:$N$203,0),0)=0,"",INDEX('كشف الحساب'!$F$4:$F$203,IFERROR(MATCH(95,'كشف الحساب'!$N$4:$N$203,0),0))),"")</f>
        <v/>
      </c>
      <c r="G99" s="89" t="str">
        <f>IFERROR(IF(IFERROR(MATCH(95,'كشف الحساب'!$N$4:$N$203,0),0)=0,"",INDEX('كشف الحساب'!$G$4:$G$203,IFERROR(MATCH(95,'كشف الحساب'!$N$4:$N$203,0),0))),"")</f>
        <v/>
      </c>
      <c r="H99" s="89" t="str">
        <f>IFERROR(IF(IFERROR(MATCH(95,'كشف الحساب'!$N$4:$N$203,0),0)=0,"",INDEX('كشف الحساب'!$H$4:$H$203,IFERROR(MATCH(95,'كشف الحساب'!$N$4:$N$203,0),0))),"")</f>
        <v/>
      </c>
      <c r="I99" s="89" t="str">
        <f>IFERROR(IF(IFERROR(MATCH(95,'كشف الحساب'!$N$4:$N$203,0),0)=0,"",INDEX('كشف الحساب'!$I$4:$I$203,IFERROR(MATCH(95,'كشف الحساب'!$N$4:$N$203,0),0))),"")</f>
        <v/>
      </c>
      <c r="J99" s="93" t="str">
        <f>IFERROR(IF(IFERROR(MATCH(95,'كشف الحساب'!$N$4:$N$203,0),0)=0,"",INDEX('كشف الحساب'!$J$4:$J$203,IFERROR(MATCH(95,'كشف الحساب'!$N$4:$N$203,0),0))),"")</f>
        <v/>
      </c>
      <c r="K99" s="89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>
      <c r="A100" s="94" t="str">
        <f>IFERROR(IF(IFERROR(MATCH(96,'كشف الحساب'!$N$4:$N$203,0),0)=0,"",INDEX('كشف الحساب'!$A$4:$A$203,IFERROR(MATCH(96,'كشف الحساب'!$N$4:$N$203,0),0))),"")</f>
        <v/>
      </c>
      <c r="B100" s="95" t="str">
        <f>IFERROR(IF(IFERROR(MATCH(96,'كشف الحساب'!$N$4:$N$203,0),0)=0,"",INDEX('كشف الحساب'!$B$4:$B$203,IFERROR(MATCH(96,'كشف الحساب'!$N$4:$N$203,0),0))),"")</f>
        <v/>
      </c>
      <c r="C100" s="96" t="str">
        <f>IFERROR(IF(IFERROR(MATCH(96,'كشف الحساب'!$N$4:$N$203,0),0)=0,"",INDEX('كشف الحساب'!$C$4:$C$203,IFERROR(MATCH(96,'كشف الحساب'!$N$4:$N$203,0),0))),"")</f>
        <v/>
      </c>
      <c r="D100" s="97" t="str">
        <f>IFERROR(IF(IFERROR(MATCH(96,'كشف الحساب'!$N$4:$N$203,0),0)=0,"",INDEX('كشف الحساب'!$D$4:$D$203,IFERROR(MATCH(96,'كشف الحساب'!$N$4:$N$203,0),0))),"")</f>
        <v/>
      </c>
      <c r="E100" s="98" t="str">
        <f>IFERROR(IF(IFERROR(MATCH(96,'كشف الحساب'!$N$4:$N$203,0),0)=0,"",INDEX('كشف الحساب'!$E$4:$E$203,IFERROR(MATCH(96,'كشف الحساب'!$N$4:$N$203,0),0))),"")</f>
        <v/>
      </c>
      <c r="F100" s="95" t="str">
        <f>IFERROR(IF(IFERROR(MATCH(96,'كشف الحساب'!$N$4:$N$203,0),0)=0,"",INDEX('كشف الحساب'!$F$4:$F$203,IFERROR(MATCH(96,'كشف الحساب'!$N$4:$N$203,0),0))),"")</f>
        <v/>
      </c>
      <c r="G100" s="95" t="str">
        <f>IFERROR(IF(IFERROR(MATCH(96,'كشف الحساب'!$N$4:$N$203,0),0)=0,"",INDEX('كشف الحساب'!$G$4:$G$203,IFERROR(MATCH(96,'كشف الحساب'!$N$4:$N$203,0),0))),"")</f>
        <v/>
      </c>
      <c r="H100" s="95" t="str">
        <f>IFERROR(IF(IFERROR(MATCH(96,'كشف الحساب'!$N$4:$N$203,0),0)=0,"",INDEX('كشف الحساب'!$H$4:$H$203,IFERROR(MATCH(96,'كشف الحساب'!$N$4:$N$203,0),0))),"")</f>
        <v/>
      </c>
      <c r="I100" s="95" t="str">
        <f>IFERROR(IF(IFERROR(MATCH(96,'كشف الحساب'!$N$4:$N$203,0),0)=0,"",INDEX('كشف الحساب'!$I$4:$I$203,IFERROR(MATCH(96,'كشف الحساب'!$N$4:$N$203,0),0))),"")</f>
        <v/>
      </c>
      <c r="J100" s="99" t="str">
        <f>IFERROR(IF(IFERROR(MATCH(96,'كشف الحساب'!$N$4:$N$203,0),0)=0,"",INDEX('كشف الحساب'!$J$4:$J$203,IFERROR(MATCH(96,'كشف الحساب'!$N$4:$N$203,0),0))),"")</f>
        <v/>
      </c>
      <c r="K100" s="95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>
      <c r="A101" s="88" t="str">
        <f>IFERROR(IF(IFERROR(MATCH(97,'كشف الحساب'!$N$4:$N$203,0),0)=0,"",INDEX('كشف الحساب'!$A$4:$A$203,IFERROR(MATCH(97,'كشف الحساب'!$N$4:$N$203,0),0))),"")</f>
        <v/>
      </c>
      <c r="B101" s="89" t="str">
        <f>IFERROR(IF(IFERROR(MATCH(97,'كشف الحساب'!$N$4:$N$203,0),0)=0,"",INDEX('كشف الحساب'!$B$4:$B$203,IFERROR(MATCH(97,'كشف الحساب'!$N$4:$N$203,0),0))),"")</f>
        <v/>
      </c>
      <c r="C101" s="90" t="str">
        <f>IFERROR(IF(IFERROR(MATCH(97,'كشف الحساب'!$N$4:$N$203,0),0)=0,"",INDEX('كشف الحساب'!$C$4:$C$203,IFERROR(MATCH(97,'كشف الحساب'!$N$4:$N$203,0),0))),"")</f>
        <v/>
      </c>
      <c r="D101" s="91" t="str">
        <f>IFERROR(IF(IFERROR(MATCH(97,'كشف الحساب'!$N$4:$N$203,0),0)=0,"",INDEX('كشف الحساب'!$D$4:$D$203,IFERROR(MATCH(97,'كشف الحساب'!$N$4:$N$203,0),0))),"")</f>
        <v/>
      </c>
      <c r="E101" s="92" t="str">
        <f>IFERROR(IF(IFERROR(MATCH(97,'كشف الحساب'!$N$4:$N$203,0),0)=0,"",INDEX('كشف الحساب'!$E$4:$E$203,IFERROR(MATCH(97,'كشف الحساب'!$N$4:$N$203,0),0))),"")</f>
        <v/>
      </c>
      <c r="F101" s="89" t="str">
        <f>IFERROR(IF(IFERROR(MATCH(97,'كشف الحساب'!$N$4:$N$203,0),0)=0,"",INDEX('كشف الحساب'!$F$4:$F$203,IFERROR(MATCH(97,'كشف الحساب'!$N$4:$N$203,0),0))),"")</f>
        <v/>
      </c>
      <c r="G101" s="89" t="str">
        <f>IFERROR(IF(IFERROR(MATCH(97,'كشف الحساب'!$N$4:$N$203,0),0)=0,"",INDEX('كشف الحساب'!$G$4:$G$203,IFERROR(MATCH(97,'كشف الحساب'!$N$4:$N$203,0),0))),"")</f>
        <v/>
      </c>
      <c r="H101" s="89" t="str">
        <f>IFERROR(IF(IFERROR(MATCH(97,'كشف الحساب'!$N$4:$N$203,0),0)=0,"",INDEX('كشف الحساب'!$H$4:$H$203,IFERROR(MATCH(97,'كشف الحساب'!$N$4:$N$203,0),0))),"")</f>
        <v/>
      </c>
      <c r="I101" s="89" t="str">
        <f>IFERROR(IF(IFERROR(MATCH(97,'كشف الحساب'!$N$4:$N$203,0),0)=0,"",INDEX('كشف الحساب'!$I$4:$I$203,IFERROR(MATCH(97,'كشف الحساب'!$N$4:$N$203,0),0))),"")</f>
        <v/>
      </c>
      <c r="J101" s="93" t="str">
        <f>IFERROR(IF(IFERROR(MATCH(97,'كشف الحساب'!$N$4:$N$203,0),0)=0,"",INDEX('كشف الحساب'!$J$4:$J$203,IFERROR(MATCH(97,'كشف الحساب'!$N$4:$N$203,0),0))),"")</f>
        <v/>
      </c>
      <c r="K101" s="89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>
      <c r="A102" s="94" t="str">
        <f>IFERROR(IF(IFERROR(MATCH(98,'كشف الحساب'!$N$4:$N$203,0),0)=0,"",INDEX('كشف الحساب'!$A$4:$A$203,IFERROR(MATCH(98,'كشف الحساب'!$N$4:$N$203,0),0))),"")</f>
        <v/>
      </c>
      <c r="B102" s="95" t="str">
        <f>IFERROR(IF(IFERROR(MATCH(98,'كشف الحساب'!$N$4:$N$203,0),0)=0,"",INDEX('كشف الحساب'!$B$4:$B$203,IFERROR(MATCH(98,'كشف الحساب'!$N$4:$N$203,0),0))),"")</f>
        <v/>
      </c>
      <c r="C102" s="96" t="str">
        <f>IFERROR(IF(IFERROR(MATCH(98,'كشف الحساب'!$N$4:$N$203,0),0)=0,"",INDEX('كشف الحساب'!$C$4:$C$203,IFERROR(MATCH(98,'كشف الحساب'!$N$4:$N$203,0),0))),"")</f>
        <v/>
      </c>
      <c r="D102" s="97" t="str">
        <f>IFERROR(IF(IFERROR(MATCH(98,'كشف الحساب'!$N$4:$N$203,0),0)=0,"",INDEX('كشف الحساب'!$D$4:$D$203,IFERROR(MATCH(98,'كشف الحساب'!$N$4:$N$203,0),0))),"")</f>
        <v/>
      </c>
      <c r="E102" s="98" t="str">
        <f>IFERROR(IF(IFERROR(MATCH(98,'كشف الحساب'!$N$4:$N$203,0),0)=0,"",INDEX('كشف الحساب'!$E$4:$E$203,IFERROR(MATCH(98,'كشف الحساب'!$N$4:$N$203,0),0))),"")</f>
        <v/>
      </c>
      <c r="F102" s="95" t="str">
        <f>IFERROR(IF(IFERROR(MATCH(98,'كشف الحساب'!$N$4:$N$203,0),0)=0,"",INDEX('كشف الحساب'!$F$4:$F$203,IFERROR(MATCH(98,'كشف الحساب'!$N$4:$N$203,0),0))),"")</f>
        <v/>
      </c>
      <c r="G102" s="95" t="str">
        <f>IFERROR(IF(IFERROR(MATCH(98,'كشف الحساب'!$N$4:$N$203,0),0)=0,"",INDEX('كشف الحساب'!$G$4:$G$203,IFERROR(MATCH(98,'كشف الحساب'!$N$4:$N$203,0),0))),"")</f>
        <v/>
      </c>
      <c r="H102" s="95" t="str">
        <f>IFERROR(IF(IFERROR(MATCH(98,'كشف الحساب'!$N$4:$N$203,0),0)=0,"",INDEX('كشف الحساب'!$H$4:$H$203,IFERROR(MATCH(98,'كشف الحساب'!$N$4:$N$203,0),0))),"")</f>
        <v/>
      </c>
      <c r="I102" s="95" t="str">
        <f>IFERROR(IF(IFERROR(MATCH(98,'كشف الحساب'!$N$4:$N$203,0),0)=0,"",INDEX('كشف الحساب'!$I$4:$I$203,IFERROR(MATCH(98,'كشف الحساب'!$N$4:$N$203,0),0))),"")</f>
        <v/>
      </c>
      <c r="J102" s="99" t="str">
        <f>IFERROR(IF(IFERROR(MATCH(98,'كشف الحساب'!$N$4:$N$203,0),0)=0,"",INDEX('كشف الحساب'!$J$4:$J$203,IFERROR(MATCH(98,'كشف الحساب'!$N$4:$N$203,0),0))),"")</f>
        <v/>
      </c>
      <c r="K102" s="95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>
      <c r="A103" s="88" t="str">
        <f>IFERROR(IF(IFERROR(MATCH(99,'كشف الحساب'!$N$4:$N$203,0),0)=0,"",INDEX('كشف الحساب'!$A$4:$A$203,IFERROR(MATCH(99,'كشف الحساب'!$N$4:$N$203,0),0))),"")</f>
        <v/>
      </c>
      <c r="B103" s="89" t="str">
        <f>IFERROR(IF(IFERROR(MATCH(99,'كشف الحساب'!$N$4:$N$203,0),0)=0,"",INDEX('كشف الحساب'!$B$4:$B$203,IFERROR(MATCH(99,'كشف الحساب'!$N$4:$N$203,0),0))),"")</f>
        <v/>
      </c>
      <c r="C103" s="90" t="str">
        <f>IFERROR(IF(IFERROR(MATCH(99,'كشف الحساب'!$N$4:$N$203,0),0)=0,"",INDEX('كشف الحساب'!$C$4:$C$203,IFERROR(MATCH(99,'كشف الحساب'!$N$4:$N$203,0),0))),"")</f>
        <v/>
      </c>
      <c r="D103" s="91" t="str">
        <f>IFERROR(IF(IFERROR(MATCH(99,'كشف الحساب'!$N$4:$N$203,0),0)=0,"",INDEX('كشف الحساب'!$D$4:$D$203,IFERROR(MATCH(99,'كشف الحساب'!$N$4:$N$203,0),0))),"")</f>
        <v/>
      </c>
      <c r="E103" s="92" t="str">
        <f>IFERROR(IF(IFERROR(MATCH(99,'كشف الحساب'!$N$4:$N$203,0),0)=0,"",INDEX('كشف الحساب'!$E$4:$E$203,IFERROR(MATCH(99,'كشف الحساب'!$N$4:$N$203,0),0))),"")</f>
        <v/>
      </c>
      <c r="F103" s="89" t="str">
        <f>IFERROR(IF(IFERROR(MATCH(99,'كشف الحساب'!$N$4:$N$203,0),0)=0,"",INDEX('كشف الحساب'!$F$4:$F$203,IFERROR(MATCH(99,'كشف الحساب'!$N$4:$N$203,0),0))),"")</f>
        <v/>
      </c>
      <c r="G103" s="89" t="str">
        <f>IFERROR(IF(IFERROR(MATCH(99,'كشف الحساب'!$N$4:$N$203,0),0)=0,"",INDEX('كشف الحساب'!$G$4:$G$203,IFERROR(MATCH(99,'كشف الحساب'!$N$4:$N$203,0),0))),"")</f>
        <v/>
      </c>
      <c r="H103" s="89" t="str">
        <f>IFERROR(IF(IFERROR(MATCH(99,'كشف الحساب'!$N$4:$N$203,0),0)=0,"",INDEX('كشف الحساب'!$H$4:$H$203,IFERROR(MATCH(99,'كشف الحساب'!$N$4:$N$203,0),0))),"")</f>
        <v/>
      </c>
      <c r="I103" s="89" t="str">
        <f>IFERROR(IF(IFERROR(MATCH(99,'كشف الحساب'!$N$4:$N$203,0),0)=0,"",INDEX('كشف الحساب'!$I$4:$I$203,IFERROR(MATCH(99,'كشف الحساب'!$N$4:$N$203,0),0))),"")</f>
        <v/>
      </c>
      <c r="J103" s="93" t="str">
        <f>IFERROR(IF(IFERROR(MATCH(99,'كشف الحساب'!$N$4:$N$203,0),0)=0,"",INDEX('كشف الحساب'!$J$4:$J$203,IFERROR(MATCH(99,'كشف الحساب'!$N$4:$N$203,0),0))),"")</f>
        <v/>
      </c>
      <c r="K103" s="89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>
      <c r="A104" s="94" t="str">
        <f>IFERROR(IF(IFERROR(MATCH(100,'كشف الحساب'!$N$4:$N$203,0),0)=0,"",INDEX('كشف الحساب'!$A$4:$A$203,IFERROR(MATCH(100,'كشف الحساب'!$N$4:$N$203,0),0))),"")</f>
        <v/>
      </c>
      <c r="B104" s="95" t="str">
        <f>IFERROR(IF(IFERROR(MATCH(100,'كشف الحساب'!$N$4:$N$203,0),0)=0,"",INDEX('كشف الحساب'!$B$4:$B$203,IFERROR(MATCH(100,'كشف الحساب'!$N$4:$N$203,0),0))),"")</f>
        <v/>
      </c>
      <c r="C104" s="96" t="str">
        <f>IFERROR(IF(IFERROR(MATCH(100,'كشف الحساب'!$N$4:$N$203,0),0)=0,"",INDEX('كشف الحساب'!$C$4:$C$203,IFERROR(MATCH(100,'كشف الحساب'!$N$4:$N$203,0),0))),"")</f>
        <v/>
      </c>
      <c r="D104" s="97" t="str">
        <f>IFERROR(IF(IFERROR(MATCH(100,'كشف الحساب'!$N$4:$N$203,0),0)=0,"",INDEX('كشف الحساب'!$D$4:$D$203,IFERROR(MATCH(100,'كشف الحساب'!$N$4:$N$203,0),0))),"")</f>
        <v/>
      </c>
      <c r="E104" s="98" t="str">
        <f>IFERROR(IF(IFERROR(MATCH(100,'كشف الحساب'!$N$4:$N$203,0),0)=0,"",INDEX('كشف الحساب'!$E$4:$E$203,IFERROR(MATCH(100,'كشف الحساب'!$N$4:$N$203,0),0))),"")</f>
        <v/>
      </c>
      <c r="F104" s="95" t="str">
        <f>IFERROR(IF(IFERROR(MATCH(100,'كشف الحساب'!$N$4:$N$203,0),0)=0,"",INDEX('كشف الحساب'!$F$4:$F$203,IFERROR(MATCH(100,'كشف الحساب'!$N$4:$N$203,0),0))),"")</f>
        <v/>
      </c>
      <c r="G104" s="95" t="str">
        <f>IFERROR(IF(IFERROR(MATCH(100,'كشف الحساب'!$N$4:$N$203,0),0)=0,"",INDEX('كشف الحساب'!$G$4:$G$203,IFERROR(MATCH(100,'كشف الحساب'!$N$4:$N$203,0),0))),"")</f>
        <v/>
      </c>
      <c r="H104" s="95" t="str">
        <f>IFERROR(IF(IFERROR(MATCH(100,'كشف الحساب'!$N$4:$N$203,0),0)=0,"",INDEX('كشف الحساب'!$H$4:$H$203,IFERROR(MATCH(100,'كشف الحساب'!$N$4:$N$203,0),0))),"")</f>
        <v/>
      </c>
      <c r="I104" s="95" t="str">
        <f>IFERROR(IF(IFERROR(MATCH(100,'كشف الحساب'!$N$4:$N$203,0),0)=0,"",INDEX('كشف الحساب'!$I$4:$I$203,IFERROR(MATCH(100,'كشف الحساب'!$N$4:$N$203,0),0))),"")</f>
        <v/>
      </c>
      <c r="J104" s="99" t="str">
        <f>IFERROR(IF(IFERROR(MATCH(100,'كشف الحساب'!$N$4:$N$203,0),0)=0,"",INDEX('كشف الحساب'!$J$4:$J$203,IFERROR(MATCH(100,'كشف الحساب'!$N$4:$N$203,0),0))),"")</f>
        <v/>
      </c>
      <c r="K104" s="95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>
      <c r="A105" s="88" t="str">
        <f>IFERROR(IF(IFERROR(MATCH(101,'كشف الحساب'!$N$4:$N$203,0),0)=0,"",INDEX('كشف الحساب'!$A$4:$A$203,IFERROR(MATCH(101,'كشف الحساب'!$N$4:$N$203,0),0))),"")</f>
        <v/>
      </c>
      <c r="B105" s="89" t="str">
        <f>IFERROR(IF(IFERROR(MATCH(101,'كشف الحساب'!$N$4:$N$203,0),0)=0,"",INDEX('كشف الحساب'!$B$4:$B$203,IFERROR(MATCH(101,'كشف الحساب'!$N$4:$N$203,0),0))),"")</f>
        <v/>
      </c>
      <c r="C105" s="90" t="str">
        <f>IFERROR(IF(IFERROR(MATCH(101,'كشف الحساب'!$N$4:$N$203,0),0)=0,"",INDEX('كشف الحساب'!$C$4:$C$203,IFERROR(MATCH(101,'كشف الحساب'!$N$4:$N$203,0),0))),"")</f>
        <v/>
      </c>
      <c r="D105" s="91" t="str">
        <f>IFERROR(IF(IFERROR(MATCH(101,'كشف الحساب'!$N$4:$N$203,0),0)=0,"",INDEX('كشف الحساب'!$D$4:$D$203,IFERROR(MATCH(101,'كشف الحساب'!$N$4:$N$203,0),0))),"")</f>
        <v/>
      </c>
      <c r="E105" s="92" t="str">
        <f>IFERROR(IF(IFERROR(MATCH(101,'كشف الحساب'!$N$4:$N$203,0),0)=0,"",INDEX('كشف الحساب'!$E$4:$E$203,IFERROR(MATCH(101,'كشف الحساب'!$N$4:$N$203,0),0))),"")</f>
        <v/>
      </c>
      <c r="F105" s="89" t="str">
        <f>IFERROR(IF(IFERROR(MATCH(101,'كشف الحساب'!$N$4:$N$203,0),0)=0,"",INDEX('كشف الحساب'!$F$4:$F$203,IFERROR(MATCH(101,'كشف الحساب'!$N$4:$N$203,0),0))),"")</f>
        <v/>
      </c>
      <c r="G105" s="89" t="str">
        <f>IFERROR(IF(IFERROR(MATCH(101,'كشف الحساب'!$N$4:$N$203,0),0)=0,"",INDEX('كشف الحساب'!$G$4:$G$203,IFERROR(MATCH(101,'كشف الحساب'!$N$4:$N$203,0),0))),"")</f>
        <v/>
      </c>
      <c r="H105" s="89" t="str">
        <f>IFERROR(IF(IFERROR(MATCH(101,'كشف الحساب'!$N$4:$N$203,0),0)=0,"",INDEX('كشف الحساب'!$H$4:$H$203,IFERROR(MATCH(101,'كشف الحساب'!$N$4:$N$203,0),0))),"")</f>
        <v/>
      </c>
      <c r="I105" s="89" t="str">
        <f>IFERROR(IF(IFERROR(MATCH(101,'كشف الحساب'!$N$4:$N$203,0),0)=0,"",INDEX('كشف الحساب'!$I$4:$I$203,IFERROR(MATCH(101,'كشف الحساب'!$N$4:$N$203,0),0))),"")</f>
        <v/>
      </c>
      <c r="J105" s="93" t="str">
        <f>IFERROR(IF(IFERROR(MATCH(101,'كشف الحساب'!$N$4:$N$203,0),0)=0,"",INDEX('كشف الحساب'!$J$4:$J$203,IFERROR(MATCH(101,'كشف الحساب'!$N$4:$N$203,0),0))),"")</f>
        <v/>
      </c>
      <c r="K105" s="89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>
      <c r="A106" s="94" t="str">
        <f>IFERROR(IF(IFERROR(MATCH(102,'كشف الحساب'!$N$4:$N$203,0),0)=0,"",INDEX('كشف الحساب'!$A$4:$A$203,IFERROR(MATCH(102,'كشف الحساب'!$N$4:$N$203,0),0))),"")</f>
        <v/>
      </c>
      <c r="B106" s="95" t="str">
        <f>IFERROR(IF(IFERROR(MATCH(102,'كشف الحساب'!$N$4:$N$203,0),0)=0,"",INDEX('كشف الحساب'!$B$4:$B$203,IFERROR(MATCH(102,'كشف الحساب'!$N$4:$N$203,0),0))),"")</f>
        <v/>
      </c>
      <c r="C106" s="96" t="str">
        <f>IFERROR(IF(IFERROR(MATCH(102,'كشف الحساب'!$N$4:$N$203,0),0)=0,"",INDEX('كشف الحساب'!$C$4:$C$203,IFERROR(MATCH(102,'كشف الحساب'!$N$4:$N$203,0),0))),"")</f>
        <v/>
      </c>
      <c r="D106" s="97" t="str">
        <f>IFERROR(IF(IFERROR(MATCH(102,'كشف الحساب'!$N$4:$N$203,0),0)=0,"",INDEX('كشف الحساب'!$D$4:$D$203,IFERROR(MATCH(102,'كشف الحساب'!$N$4:$N$203,0),0))),"")</f>
        <v/>
      </c>
      <c r="E106" s="98" t="str">
        <f>IFERROR(IF(IFERROR(MATCH(102,'كشف الحساب'!$N$4:$N$203,0),0)=0,"",INDEX('كشف الحساب'!$E$4:$E$203,IFERROR(MATCH(102,'كشف الحساب'!$N$4:$N$203,0),0))),"")</f>
        <v/>
      </c>
      <c r="F106" s="95" t="str">
        <f>IFERROR(IF(IFERROR(MATCH(102,'كشف الحساب'!$N$4:$N$203,0),0)=0,"",INDEX('كشف الحساب'!$F$4:$F$203,IFERROR(MATCH(102,'كشف الحساب'!$N$4:$N$203,0),0))),"")</f>
        <v/>
      </c>
      <c r="G106" s="95" t="str">
        <f>IFERROR(IF(IFERROR(MATCH(102,'كشف الحساب'!$N$4:$N$203,0),0)=0,"",INDEX('كشف الحساب'!$G$4:$G$203,IFERROR(MATCH(102,'كشف الحساب'!$N$4:$N$203,0),0))),"")</f>
        <v/>
      </c>
      <c r="H106" s="95" t="str">
        <f>IFERROR(IF(IFERROR(MATCH(102,'كشف الحساب'!$N$4:$N$203,0),0)=0,"",INDEX('كشف الحساب'!$H$4:$H$203,IFERROR(MATCH(102,'كشف الحساب'!$N$4:$N$203,0),0))),"")</f>
        <v/>
      </c>
      <c r="I106" s="95" t="str">
        <f>IFERROR(IF(IFERROR(MATCH(102,'كشف الحساب'!$N$4:$N$203,0),0)=0,"",INDEX('كشف الحساب'!$I$4:$I$203,IFERROR(MATCH(102,'كشف الحساب'!$N$4:$N$203,0),0))),"")</f>
        <v/>
      </c>
      <c r="J106" s="99" t="str">
        <f>IFERROR(IF(IFERROR(MATCH(102,'كشف الحساب'!$N$4:$N$203,0),0)=0,"",INDEX('كشف الحساب'!$J$4:$J$203,IFERROR(MATCH(102,'كشف الحساب'!$N$4:$N$203,0),0))),"")</f>
        <v/>
      </c>
      <c r="K106" s="95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>
      <c r="A107" s="88" t="str">
        <f>IFERROR(IF(IFERROR(MATCH(103,'كشف الحساب'!$N$4:$N$203,0),0)=0,"",INDEX('كشف الحساب'!$A$4:$A$203,IFERROR(MATCH(103,'كشف الحساب'!$N$4:$N$203,0),0))),"")</f>
        <v/>
      </c>
      <c r="B107" s="89" t="str">
        <f>IFERROR(IF(IFERROR(MATCH(103,'كشف الحساب'!$N$4:$N$203,0),0)=0,"",INDEX('كشف الحساب'!$B$4:$B$203,IFERROR(MATCH(103,'كشف الحساب'!$N$4:$N$203,0),0))),"")</f>
        <v/>
      </c>
      <c r="C107" s="90" t="str">
        <f>IFERROR(IF(IFERROR(MATCH(103,'كشف الحساب'!$N$4:$N$203,0),0)=0,"",INDEX('كشف الحساب'!$C$4:$C$203,IFERROR(MATCH(103,'كشف الحساب'!$N$4:$N$203,0),0))),"")</f>
        <v/>
      </c>
      <c r="D107" s="91" t="str">
        <f>IFERROR(IF(IFERROR(MATCH(103,'كشف الحساب'!$N$4:$N$203,0),0)=0,"",INDEX('كشف الحساب'!$D$4:$D$203,IFERROR(MATCH(103,'كشف الحساب'!$N$4:$N$203,0),0))),"")</f>
        <v/>
      </c>
      <c r="E107" s="92" t="str">
        <f>IFERROR(IF(IFERROR(MATCH(103,'كشف الحساب'!$N$4:$N$203,0),0)=0,"",INDEX('كشف الحساب'!$E$4:$E$203,IFERROR(MATCH(103,'كشف الحساب'!$N$4:$N$203,0),0))),"")</f>
        <v/>
      </c>
      <c r="F107" s="89" t="str">
        <f>IFERROR(IF(IFERROR(MATCH(103,'كشف الحساب'!$N$4:$N$203,0),0)=0,"",INDEX('كشف الحساب'!$F$4:$F$203,IFERROR(MATCH(103,'كشف الحساب'!$N$4:$N$203,0),0))),"")</f>
        <v/>
      </c>
      <c r="G107" s="89" t="str">
        <f>IFERROR(IF(IFERROR(MATCH(103,'كشف الحساب'!$N$4:$N$203,0),0)=0,"",INDEX('كشف الحساب'!$G$4:$G$203,IFERROR(MATCH(103,'كشف الحساب'!$N$4:$N$203,0),0))),"")</f>
        <v/>
      </c>
      <c r="H107" s="89" t="str">
        <f>IFERROR(IF(IFERROR(MATCH(103,'كشف الحساب'!$N$4:$N$203,0),0)=0,"",INDEX('كشف الحساب'!$H$4:$H$203,IFERROR(MATCH(103,'كشف الحساب'!$N$4:$N$203,0),0))),"")</f>
        <v/>
      </c>
      <c r="I107" s="89" t="str">
        <f>IFERROR(IF(IFERROR(MATCH(103,'كشف الحساب'!$N$4:$N$203,0),0)=0,"",INDEX('كشف الحساب'!$I$4:$I$203,IFERROR(MATCH(103,'كشف الحساب'!$N$4:$N$203,0),0))),"")</f>
        <v/>
      </c>
      <c r="J107" s="93" t="str">
        <f>IFERROR(IF(IFERROR(MATCH(103,'كشف الحساب'!$N$4:$N$203,0),0)=0,"",INDEX('كشف الحساب'!$J$4:$J$203,IFERROR(MATCH(103,'كشف الحساب'!$N$4:$N$203,0),0))),"")</f>
        <v/>
      </c>
      <c r="K107" s="89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>
      <c r="A108" s="94" t="str">
        <f>IFERROR(IF(IFERROR(MATCH(104,'كشف الحساب'!$N$4:$N$203,0),0)=0,"",INDEX('كشف الحساب'!$A$4:$A$203,IFERROR(MATCH(104,'كشف الحساب'!$N$4:$N$203,0),0))),"")</f>
        <v/>
      </c>
      <c r="B108" s="95" t="str">
        <f>IFERROR(IF(IFERROR(MATCH(104,'كشف الحساب'!$N$4:$N$203,0),0)=0,"",INDEX('كشف الحساب'!$B$4:$B$203,IFERROR(MATCH(104,'كشف الحساب'!$N$4:$N$203,0),0))),"")</f>
        <v/>
      </c>
      <c r="C108" s="96" t="str">
        <f>IFERROR(IF(IFERROR(MATCH(104,'كشف الحساب'!$N$4:$N$203,0),0)=0,"",INDEX('كشف الحساب'!$C$4:$C$203,IFERROR(MATCH(104,'كشف الحساب'!$N$4:$N$203,0),0))),"")</f>
        <v/>
      </c>
      <c r="D108" s="97" t="str">
        <f>IFERROR(IF(IFERROR(MATCH(104,'كشف الحساب'!$N$4:$N$203,0),0)=0,"",INDEX('كشف الحساب'!$D$4:$D$203,IFERROR(MATCH(104,'كشف الحساب'!$N$4:$N$203,0),0))),"")</f>
        <v/>
      </c>
      <c r="E108" s="98" t="str">
        <f>IFERROR(IF(IFERROR(MATCH(104,'كشف الحساب'!$N$4:$N$203,0),0)=0,"",INDEX('كشف الحساب'!$E$4:$E$203,IFERROR(MATCH(104,'كشف الحساب'!$N$4:$N$203,0),0))),"")</f>
        <v/>
      </c>
      <c r="F108" s="95" t="str">
        <f>IFERROR(IF(IFERROR(MATCH(104,'كشف الحساب'!$N$4:$N$203,0),0)=0,"",INDEX('كشف الحساب'!$F$4:$F$203,IFERROR(MATCH(104,'كشف الحساب'!$N$4:$N$203,0),0))),"")</f>
        <v/>
      </c>
      <c r="G108" s="95" t="str">
        <f>IFERROR(IF(IFERROR(MATCH(104,'كشف الحساب'!$N$4:$N$203,0),0)=0,"",INDEX('كشف الحساب'!$G$4:$G$203,IFERROR(MATCH(104,'كشف الحساب'!$N$4:$N$203,0),0))),"")</f>
        <v/>
      </c>
      <c r="H108" s="95" t="str">
        <f>IFERROR(IF(IFERROR(MATCH(104,'كشف الحساب'!$N$4:$N$203,0),0)=0,"",INDEX('كشف الحساب'!$H$4:$H$203,IFERROR(MATCH(104,'كشف الحساب'!$N$4:$N$203,0),0))),"")</f>
        <v/>
      </c>
      <c r="I108" s="95" t="str">
        <f>IFERROR(IF(IFERROR(MATCH(104,'كشف الحساب'!$N$4:$N$203,0),0)=0,"",INDEX('كشف الحساب'!$I$4:$I$203,IFERROR(MATCH(104,'كشف الحساب'!$N$4:$N$203,0),0))),"")</f>
        <v/>
      </c>
      <c r="J108" s="99" t="str">
        <f>IFERROR(IF(IFERROR(MATCH(104,'كشف الحساب'!$N$4:$N$203,0),0)=0,"",INDEX('كشف الحساب'!$J$4:$J$203,IFERROR(MATCH(104,'كشف الحساب'!$N$4:$N$203,0),0))),"")</f>
        <v/>
      </c>
      <c r="K108" s="95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>
      <c r="A109" s="88" t="str">
        <f>IFERROR(IF(IFERROR(MATCH(105,'كشف الحساب'!$N$4:$N$203,0),0)=0,"",INDEX('كشف الحساب'!$A$4:$A$203,IFERROR(MATCH(105,'كشف الحساب'!$N$4:$N$203,0),0))),"")</f>
        <v/>
      </c>
      <c r="B109" s="89" t="str">
        <f>IFERROR(IF(IFERROR(MATCH(105,'كشف الحساب'!$N$4:$N$203,0),0)=0,"",INDEX('كشف الحساب'!$B$4:$B$203,IFERROR(MATCH(105,'كشف الحساب'!$N$4:$N$203,0),0))),"")</f>
        <v/>
      </c>
      <c r="C109" s="90" t="str">
        <f>IFERROR(IF(IFERROR(MATCH(105,'كشف الحساب'!$N$4:$N$203,0),0)=0,"",INDEX('كشف الحساب'!$C$4:$C$203,IFERROR(MATCH(105,'كشف الحساب'!$N$4:$N$203,0),0))),"")</f>
        <v/>
      </c>
      <c r="D109" s="91" t="str">
        <f>IFERROR(IF(IFERROR(MATCH(105,'كشف الحساب'!$N$4:$N$203,0),0)=0,"",INDEX('كشف الحساب'!$D$4:$D$203,IFERROR(MATCH(105,'كشف الحساب'!$N$4:$N$203,0),0))),"")</f>
        <v/>
      </c>
      <c r="E109" s="92" t="str">
        <f>IFERROR(IF(IFERROR(MATCH(105,'كشف الحساب'!$N$4:$N$203,0),0)=0,"",INDEX('كشف الحساب'!$E$4:$E$203,IFERROR(MATCH(105,'كشف الحساب'!$N$4:$N$203,0),0))),"")</f>
        <v/>
      </c>
      <c r="F109" s="89" t="str">
        <f>IFERROR(IF(IFERROR(MATCH(105,'كشف الحساب'!$N$4:$N$203,0),0)=0,"",INDEX('كشف الحساب'!$F$4:$F$203,IFERROR(MATCH(105,'كشف الحساب'!$N$4:$N$203,0),0))),"")</f>
        <v/>
      </c>
      <c r="G109" s="89" t="str">
        <f>IFERROR(IF(IFERROR(MATCH(105,'كشف الحساب'!$N$4:$N$203,0),0)=0,"",INDEX('كشف الحساب'!$G$4:$G$203,IFERROR(MATCH(105,'كشف الحساب'!$N$4:$N$203,0),0))),"")</f>
        <v/>
      </c>
      <c r="H109" s="89" t="str">
        <f>IFERROR(IF(IFERROR(MATCH(105,'كشف الحساب'!$N$4:$N$203,0),0)=0,"",INDEX('كشف الحساب'!$H$4:$H$203,IFERROR(MATCH(105,'كشف الحساب'!$N$4:$N$203,0),0))),"")</f>
        <v/>
      </c>
      <c r="I109" s="89" t="str">
        <f>IFERROR(IF(IFERROR(MATCH(105,'كشف الحساب'!$N$4:$N$203,0),0)=0,"",INDEX('كشف الحساب'!$I$4:$I$203,IFERROR(MATCH(105,'كشف الحساب'!$N$4:$N$203,0),0))),"")</f>
        <v/>
      </c>
      <c r="J109" s="93" t="str">
        <f>IFERROR(IF(IFERROR(MATCH(105,'كشف الحساب'!$N$4:$N$203,0),0)=0,"",INDEX('كشف الحساب'!$J$4:$J$203,IFERROR(MATCH(105,'كشف الحساب'!$N$4:$N$203,0),0))),"")</f>
        <v/>
      </c>
      <c r="K109" s="89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>
      <c r="A110" s="94" t="str">
        <f>IFERROR(IF(IFERROR(MATCH(106,'كشف الحساب'!$N$4:$N$203,0),0)=0,"",INDEX('كشف الحساب'!$A$4:$A$203,IFERROR(MATCH(106,'كشف الحساب'!$N$4:$N$203,0),0))),"")</f>
        <v/>
      </c>
      <c r="B110" s="95" t="str">
        <f>IFERROR(IF(IFERROR(MATCH(106,'كشف الحساب'!$N$4:$N$203,0),0)=0,"",INDEX('كشف الحساب'!$B$4:$B$203,IFERROR(MATCH(106,'كشف الحساب'!$N$4:$N$203,0),0))),"")</f>
        <v/>
      </c>
      <c r="C110" s="96" t="str">
        <f>IFERROR(IF(IFERROR(MATCH(106,'كشف الحساب'!$N$4:$N$203,0),0)=0,"",INDEX('كشف الحساب'!$C$4:$C$203,IFERROR(MATCH(106,'كشف الحساب'!$N$4:$N$203,0),0))),"")</f>
        <v/>
      </c>
      <c r="D110" s="97" t="str">
        <f>IFERROR(IF(IFERROR(MATCH(106,'كشف الحساب'!$N$4:$N$203,0),0)=0,"",INDEX('كشف الحساب'!$D$4:$D$203,IFERROR(MATCH(106,'كشف الحساب'!$N$4:$N$203,0),0))),"")</f>
        <v/>
      </c>
      <c r="E110" s="98" t="str">
        <f>IFERROR(IF(IFERROR(MATCH(106,'كشف الحساب'!$N$4:$N$203,0),0)=0,"",INDEX('كشف الحساب'!$E$4:$E$203,IFERROR(MATCH(106,'كشف الحساب'!$N$4:$N$203,0),0))),"")</f>
        <v/>
      </c>
      <c r="F110" s="95" t="str">
        <f>IFERROR(IF(IFERROR(MATCH(106,'كشف الحساب'!$N$4:$N$203,0),0)=0,"",INDEX('كشف الحساب'!$F$4:$F$203,IFERROR(MATCH(106,'كشف الحساب'!$N$4:$N$203,0),0))),"")</f>
        <v/>
      </c>
      <c r="G110" s="95" t="str">
        <f>IFERROR(IF(IFERROR(MATCH(106,'كشف الحساب'!$N$4:$N$203,0),0)=0,"",INDEX('كشف الحساب'!$G$4:$G$203,IFERROR(MATCH(106,'كشف الحساب'!$N$4:$N$203,0),0))),"")</f>
        <v/>
      </c>
      <c r="H110" s="95" t="str">
        <f>IFERROR(IF(IFERROR(MATCH(106,'كشف الحساب'!$N$4:$N$203,0),0)=0,"",INDEX('كشف الحساب'!$H$4:$H$203,IFERROR(MATCH(106,'كشف الحساب'!$N$4:$N$203,0),0))),"")</f>
        <v/>
      </c>
      <c r="I110" s="95" t="str">
        <f>IFERROR(IF(IFERROR(MATCH(106,'كشف الحساب'!$N$4:$N$203,0),0)=0,"",INDEX('كشف الحساب'!$I$4:$I$203,IFERROR(MATCH(106,'كشف الحساب'!$N$4:$N$203,0),0))),"")</f>
        <v/>
      </c>
      <c r="J110" s="99" t="str">
        <f>IFERROR(IF(IFERROR(MATCH(106,'كشف الحساب'!$N$4:$N$203,0),0)=0,"",INDEX('كشف الحساب'!$J$4:$J$203,IFERROR(MATCH(106,'كشف الحساب'!$N$4:$N$203,0),0))),"")</f>
        <v/>
      </c>
      <c r="K110" s="95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>
      <c r="A111" s="88" t="str">
        <f>IFERROR(IF(IFERROR(MATCH(107,'كشف الحساب'!$N$4:$N$203,0),0)=0,"",INDEX('كشف الحساب'!$A$4:$A$203,IFERROR(MATCH(107,'كشف الحساب'!$N$4:$N$203,0),0))),"")</f>
        <v/>
      </c>
      <c r="B111" s="89" t="str">
        <f>IFERROR(IF(IFERROR(MATCH(107,'كشف الحساب'!$N$4:$N$203,0),0)=0,"",INDEX('كشف الحساب'!$B$4:$B$203,IFERROR(MATCH(107,'كشف الحساب'!$N$4:$N$203,0),0))),"")</f>
        <v/>
      </c>
      <c r="C111" s="90" t="str">
        <f>IFERROR(IF(IFERROR(MATCH(107,'كشف الحساب'!$N$4:$N$203,0),0)=0,"",INDEX('كشف الحساب'!$C$4:$C$203,IFERROR(MATCH(107,'كشف الحساب'!$N$4:$N$203,0),0))),"")</f>
        <v/>
      </c>
      <c r="D111" s="91" t="str">
        <f>IFERROR(IF(IFERROR(MATCH(107,'كشف الحساب'!$N$4:$N$203,0),0)=0,"",INDEX('كشف الحساب'!$D$4:$D$203,IFERROR(MATCH(107,'كشف الحساب'!$N$4:$N$203,0),0))),"")</f>
        <v/>
      </c>
      <c r="E111" s="92" t="str">
        <f>IFERROR(IF(IFERROR(MATCH(107,'كشف الحساب'!$N$4:$N$203,0),0)=0,"",INDEX('كشف الحساب'!$E$4:$E$203,IFERROR(MATCH(107,'كشف الحساب'!$N$4:$N$203,0),0))),"")</f>
        <v/>
      </c>
      <c r="F111" s="89" t="str">
        <f>IFERROR(IF(IFERROR(MATCH(107,'كشف الحساب'!$N$4:$N$203,0),0)=0,"",INDEX('كشف الحساب'!$F$4:$F$203,IFERROR(MATCH(107,'كشف الحساب'!$N$4:$N$203,0),0))),"")</f>
        <v/>
      </c>
      <c r="G111" s="89" t="str">
        <f>IFERROR(IF(IFERROR(MATCH(107,'كشف الحساب'!$N$4:$N$203,0),0)=0,"",INDEX('كشف الحساب'!$G$4:$G$203,IFERROR(MATCH(107,'كشف الحساب'!$N$4:$N$203,0),0))),"")</f>
        <v/>
      </c>
      <c r="H111" s="89" t="str">
        <f>IFERROR(IF(IFERROR(MATCH(107,'كشف الحساب'!$N$4:$N$203,0),0)=0,"",INDEX('كشف الحساب'!$H$4:$H$203,IFERROR(MATCH(107,'كشف الحساب'!$N$4:$N$203,0),0))),"")</f>
        <v/>
      </c>
      <c r="I111" s="89" t="str">
        <f>IFERROR(IF(IFERROR(MATCH(107,'كشف الحساب'!$N$4:$N$203,0),0)=0,"",INDEX('كشف الحساب'!$I$4:$I$203,IFERROR(MATCH(107,'كشف الحساب'!$N$4:$N$203,0),0))),"")</f>
        <v/>
      </c>
      <c r="J111" s="93" t="str">
        <f>IFERROR(IF(IFERROR(MATCH(107,'كشف الحساب'!$N$4:$N$203,0),0)=0,"",INDEX('كشف الحساب'!$J$4:$J$203,IFERROR(MATCH(107,'كشف الحساب'!$N$4:$N$203,0),0))),"")</f>
        <v/>
      </c>
      <c r="K111" s="89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>
      <c r="A112" s="94" t="str">
        <f>IFERROR(IF(IFERROR(MATCH(108,'كشف الحساب'!$N$4:$N$203,0),0)=0,"",INDEX('كشف الحساب'!$A$4:$A$203,IFERROR(MATCH(108,'كشف الحساب'!$N$4:$N$203,0),0))),"")</f>
        <v/>
      </c>
      <c r="B112" s="95" t="str">
        <f>IFERROR(IF(IFERROR(MATCH(108,'كشف الحساب'!$N$4:$N$203,0),0)=0,"",INDEX('كشف الحساب'!$B$4:$B$203,IFERROR(MATCH(108,'كشف الحساب'!$N$4:$N$203,0),0))),"")</f>
        <v/>
      </c>
      <c r="C112" s="96" t="str">
        <f>IFERROR(IF(IFERROR(MATCH(108,'كشف الحساب'!$N$4:$N$203,0),0)=0,"",INDEX('كشف الحساب'!$C$4:$C$203,IFERROR(MATCH(108,'كشف الحساب'!$N$4:$N$203,0),0))),"")</f>
        <v/>
      </c>
      <c r="D112" s="97" t="str">
        <f>IFERROR(IF(IFERROR(MATCH(108,'كشف الحساب'!$N$4:$N$203,0),0)=0,"",INDEX('كشف الحساب'!$D$4:$D$203,IFERROR(MATCH(108,'كشف الحساب'!$N$4:$N$203,0),0))),"")</f>
        <v/>
      </c>
      <c r="E112" s="98" t="str">
        <f>IFERROR(IF(IFERROR(MATCH(108,'كشف الحساب'!$N$4:$N$203,0),0)=0,"",INDEX('كشف الحساب'!$E$4:$E$203,IFERROR(MATCH(108,'كشف الحساب'!$N$4:$N$203,0),0))),"")</f>
        <v/>
      </c>
      <c r="F112" s="95" t="str">
        <f>IFERROR(IF(IFERROR(MATCH(108,'كشف الحساب'!$N$4:$N$203,0),0)=0,"",INDEX('كشف الحساب'!$F$4:$F$203,IFERROR(MATCH(108,'كشف الحساب'!$N$4:$N$203,0),0))),"")</f>
        <v/>
      </c>
      <c r="G112" s="95" t="str">
        <f>IFERROR(IF(IFERROR(MATCH(108,'كشف الحساب'!$N$4:$N$203,0),0)=0,"",INDEX('كشف الحساب'!$G$4:$G$203,IFERROR(MATCH(108,'كشف الحساب'!$N$4:$N$203,0),0))),"")</f>
        <v/>
      </c>
      <c r="H112" s="95" t="str">
        <f>IFERROR(IF(IFERROR(MATCH(108,'كشف الحساب'!$N$4:$N$203,0),0)=0,"",INDEX('كشف الحساب'!$H$4:$H$203,IFERROR(MATCH(108,'كشف الحساب'!$N$4:$N$203,0),0))),"")</f>
        <v/>
      </c>
      <c r="I112" s="95" t="str">
        <f>IFERROR(IF(IFERROR(MATCH(108,'كشف الحساب'!$N$4:$N$203,0),0)=0,"",INDEX('كشف الحساب'!$I$4:$I$203,IFERROR(MATCH(108,'كشف الحساب'!$N$4:$N$203,0),0))),"")</f>
        <v/>
      </c>
      <c r="J112" s="99" t="str">
        <f>IFERROR(IF(IFERROR(MATCH(108,'كشف الحساب'!$N$4:$N$203,0),0)=0,"",INDEX('كشف الحساب'!$J$4:$J$203,IFERROR(MATCH(108,'كشف الحساب'!$N$4:$N$203,0),0))),"")</f>
        <v/>
      </c>
      <c r="K112" s="95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>
      <c r="A113" s="88" t="str">
        <f>IFERROR(IF(IFERROR(MATCH(109,'كشف الحساب'!$N$4:$N$203,0),0)=0,"",INDEX('كشف الحساب'!$A$4:$A$203,IFERROR(MATCH(109,'كشف الحساب'!$N$4:$N$203,0),0))),"")</f>
        <v/>
      </c>
      <c r="B113" s="89" t="str">
        <f>IFERROR(IF(IFERROR(MATCH(109,'كشف الحساب'!$N$4:$N$203,0),0)=0,"",INDEX('كشف الحساب'!$B$4:$B$203,IFERROR(MATCH(109,'كشف الحساب'!$N$4:$N$203,0),0))),"")</f>
        <v/>
      </c>
      <c r="C113" s="90" t="str">
        <f>IFERROR(IF(IFERROR(MATCH(109,'كشف الحساب'!$N$4:$N$203,0),0)=0,"",INDEX('كشف الحساب'!$C$4:$C$203,IFERROR(MATCH(109,'كشف الحساب'!$N$4:$N$203,0),0))),"")</f>
        <v/>
      </c>
      <c r="D113" s="91" t="str">
        <f>IFERROR(IF(IFERROR(MATCH(109,'كشف الحساب'!$N$4:$N$203,0),0)=0,"",INDEX('كشف الحساب'!$D$4:$D$203,IFERROR(MATCH(109,'كشف الحساب'!$N$4:$N$203,0),0))),"")</f>
        <v/>
      </c>
      <c r="E113" s="92" t="str">
        <f>IFERROR(IF(IFERROR(MATCH(109,'كشف الحساب'!$N$4:$N$203,0),0)=0,"",INDEX('كشف الحساب'!$E$4:$E$203,IFERROR(MATCH(109,'كشف الحساب'!$N$4:$N$203,0),0))),"")</f>
        <v/>
      </c>
      <c r="F113" s="89" t="str">
        <f>IFERROR(IF(IFERROR(MATCH(109,'كشف الحساب'!$N$4:$N$203,0),0)=0,"",INDEX('كشف الحساب'!$F$4:$F$203,IFERROR(MATCH(109,'كشف الحساب'!$N$4:$N$203,0),0))),"")</f>
        <v/>
      </c>
      <c r="G113" s="89" t="str">
        <f>IFERROR(IF(IFERROR(MATCH(109,'كشف الحساب'!$N$4:$N$203,0),0)=0,"",INDEX('كشف الحساب'!$G$4:$G$203,IFERROR(MATCH(109,'كشف الحساب'!$N$4:$N$203,0),0))),"")</f>
        <v/>
      </c>
      <c r="H113" s="89" t="str">
        <f>IFERROR(IF(IFERROR(MATCH(109,'كشف الحساب'!$N$4:$N$203,0),0)=0,"",INDEX('كشف الحساب'!$H$4:$H$203,IFERROR(MATCH(109,'كشف الحساب'!$N$4:$N$203,0),0))),"")</f>
        <v/>
      </c>
      <c r="I113" s="89" t="str">
        <f>IFERROR(IF(IFERROR(MATCH(109,'كشف الحساب'!$N$4:$N$203,0),0)=0,"",INDEX('كشف الحساب'!$I$4:$I$203,IFERROR(MATCH(109,'كشف الحساب'!$N$4:$N$203,0),0))),"")</f>
        <v/>
      </c>
      <c r="J113" s="93" t="str">
        <f>IFERROR(IF(IFERROR(MATCH(109,'كشف الحساب'!$N$4:$N$203,0),0)=0,"",INDEX('كشف الحساب'!$J$4:$J$203,IFERROR(MATCH(109,'كشف الحساب'!$N$4:$N$203,0),0))),"")</f>
        <v/>
      </c>
      <c r="K113" s="89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>
      <c r="A114" s="94" t="str">
        <f>IFERROR(IF(IFERROR(MATCH(110,'كشف الحساب'!$N$4:$N$203,0),0)=0,"",INDEX('كشف الحساب'!$A$4:$A$203,IFERROR(MATCH(110,'كشف الحساب'!$N$4:$N$203,0),0))),"")</f>
        <v/>
      </c>
      <c r="B114" s="95" t="str">
        <f>IFERROR(IF(IFERROR(MATCH(110,'كشف الحساب'!$N$4:$N$203,0),0)=0,"",INDEX('كشف الحساب'!$B$4:$B$203,IFERROR(MATCH(110,'كشف الحساب'!$N$4:$N$203,0),0))),"")</f>
        <v/>
      </c>
      <c r="C114" s="96" t="str">
        <f>IFERROR(IF(IFERROR(MATCH(110,'كشف الحساب'!$N$4:$N$203,0),0)=0,"",INDEX('كشف الحساب'!$C$4:$C$203,IFERROR(MATCH(110,'كشف الحساب'!$N$4:$N$203,0),0))),"")</f>
        <v/>
      </c>
      <c r="D114" s="97" t="str">
        <f>IFERROR(IF(IFERROR(MATCH(110,'كشف الحساب'!$N$4:$N$203,0),0)=0,"",INDEX('كشف الحساب'!$D$4:$D$203,IFERROR(MATCH(110,'كشف الحساب'!$N$4:$N$203,0),0))),"")</f>
        <v/>
      </c>
      <c r="E114" s="98" t="str">
        <f>IFERROR(IF(IFERROR(MATCH(110,'كشف الحساب'!$N$4:$N$203,0),0)=0,"",INDEX('كشف الحساب'!$E$4:$E$203,IFERROR(MATCH(110,'كشف الحساب'!$N$4:$N$203,0),0))),"")</f>
        <v/>
      </c>
      <c r="F114" s="95" t="str">
        <f>IFERROR(IF(IFERROR(MATCH(110,'كشف الحساب'!$N$4:$N$203,0),0)=0,"",INDEX('كشف الحساب'!$F$4:$F$203,IFERROR(MATCH(110,'كشف الحساب'!$N$4:$N$203,0),0))),"")</f>
        <v/>
      </c>
      <c r="G114" s="95" t="str">
        <f>IFERROR(IF(IFERROR(MATCH(110,'كشف الحساب'!$N$4:$N$203,0),0)=0,"",INDEX('كشف الحساب'!$G$4:$G$203,IFERROR(MATCH(110,'كشف الحساب'!$N$4:$N$203,0),0))),"")</f>
        <v/>
      </c>
      <c r="H114" s="95" t="str">
        <f>IFERROR(IF(IFERROR(MATCH(110,'كشف الحساب'!$N$4:$N$203,0),0)=0,"",INDEX('كشف الحساب'!$H$4:$H$203,IFERROR(MATCH(110,'كشف الحساب'!$N$4:$N$203,0),0))),"")</f>
        <v/>
      </c>
      <c r="I114" s="95" t="str">
        <f>IFERROR(IF(IFERROR(MATCH(110,'كشف الحساب'!$N$4:$N$203,0),0)=0,"",INDEX('كشف الحساب'!$I$4:$I$203,IFERROR(MATCH(110,'كشف الحساب'!$N$4:$N$203,0),0))),"")</f>
        <v/>
      </c>
      <c r="J114" s="99" t="str">
        <f>IFERROR(IF(IFERROR(MATCH(110,'كشف الحساب'!$N$4:$N$203,0),0)=0,"",INDEX('كشف الحساب'!$J$4:$J$203,IFERROR(MATCH(110,'كشف الحساب'!$N$4:$N$203,0),0))),"")</f>
        <v/>
      </c>
      <c r="K114" s="95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>
      <c r="A115" s="88" t="str">
        <f>IFERROR(IF(IFERROR(MATCH(111,'كشف الحساب'!$N$4:$N$203,0),0)=0,"",INDEX('كشف الحساب'!$A$4:$A$203,IFERROR(MATCH(111,'كشف الحساب'!$N$4:$N$203,0),0))),"")</f>
        <v/>
      </c>
      <c r="B115" s="89" t="str">
        <f>IFERROR(IF(IFERROR(MATCH(111,'كشف الحساب'!$N$4:$N$203,0),0)=0,"",INDEX('كشف الحساب'!$B$4:$B$203,IFERROR(MATCH(111,'كشف الحساب'!$N$4:$N$203,0),0))),"")</f>
        <v/>
      </c>
      <c r="C115" s="90" t="str">
        <f>IFERROR(IF(IFERROR(MATCH(111,'كشف الحساب'!$N$4:$N$203,0),0)=0,"",INDEX('كشف الحساب'!$C$4:$C$203,IFERROR(MATCH(111,'كشف الحساب'!$N$4:$N$203,0),0))),"")</f>
        <v/>
      </c>
      <c r="D115" s="91" t="str">
        <f>IFERROR(IF(IFERROR(MATCH(111,'كشف الحساب'!$N$4:$N$203,0),0)=0,"",INDEX('كشف الحساب'!$D$4:$D$203,IFERROR(MATCH(111,'كشف الحساب'!$N$4:$N$203,0),0))),"")</f>
        <v/>
      </c>
      <c r="E115" s="92" t="str">
        <f>IFERROR(IF(IFERROR(MATCH(111,'كشف الحساب'!$N$4:$N$203,0),0)=0,"",INDEX('كشف الحساب'!$E$4:$E$203,IFERROR(MATCH(111,'كشف الحساب'!$N$4:$N$203,0),0))),"")</f>
        <v/>
      </c>
      <c r="F115" s="89" t="str">
        <f>IFERROR(IF(IFERROR(MATCH(111,'كشف الحساب'!$N$4:$N$203,0),0)=0,"",INDEX('كشف الحساب'!$F$4:$F$203,IFERROR(MATCH(111,'كشف الحساب'!$N$4:$N$203,0),0))),"")</f>
        <v/>
      </c>
      <c r="G115" s="89" t="str">
        <f>IFERROR(IF(IFERROR(MATCH(111,'كشف الحساب'!$N$4:$N$203,0),0)=0,"",INDEX('كشف الحساب'!$G$4:$G$203,IFERROR(MATCH(111,'كشف الحساب'!$N$4:$N$203,0),0))),"")</f>
        <v/>
      </c>
      <c r="H115" s="89" t="str">
        <f>IFERROR(IF(IFERROR(MATCH(111,'كشف الحساب'!$N$4:$N$203,0),0)=0,"",INDEX('كشف الحساب'!$H$4:$H$203,IFERROR(MATCH(111,'كشف الحساب'!$N$4:$N$203,0),0))),"")</f>
        <v/>
      </c>
      <c r="I115" s="89" t="str">
        <f>IFERROR(IF(IFERROR(MATCH(111,'كشف الحساب'!$N$4:$N$203,0),0)=0,"",INDEX('كشف الحساب'!$I$4:$I$203,IFERROR(MATCH(111,'كشف الحساب'!$N$4:$N$203,0),0))),"")</f>
        <v/>
      </c>
      <c r="J115" s="93" t="str">
        <f>IFERROR(IF(IFERROR(MATCH(111,'كشف الحساب'!$N$4:$N$203,0),0)=0,"",INDEX('كشف الحساب'!$J$4:$J$203,IFERROR(MATCH(111,'كشف الحساب'!$N$4:$N$203,0),0))),"")</f>
        <v/>
      </c>
      <c r="K115" s="89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>
      <c r="A116" s="94" t="str">
        <f>IFERROR(IF(IFERROR(MATCH(112,'كشف الحساب'!$N$4:$N$203,0),0)=0,"",INDEX('كشف الحساب'!$A$4:$A$203,IFERROR(MATCH(112,'كشف الحساب'!$N$4:$N$203,0),0))),"")</f>
        <v/>
      </c>
      <c r="B116" s="95" t="str">
        <f>IFERROR(IF(IFERROR(MATCH(112,'كشف الحساب'!$N$4:$N$203,0),0)=0,"",INDEX('كشف الحساب'!$B$4:$B$203,IFERROR(MATCH(112,'كشف الحساب'!$N$4:$N$203,0),0))),"")</f>
        <v/>
      </c>
      <c r="C116" s="96" t="str">
        <f>IFERROR(IF(IFERROR(MATCH(112,'كشف الحساب'!$N$4:$N$203,0),0)=0,"",INDEX('كشف الحساب'!$C$4:$C$203,IFERROR(MATCH(112,'كشف الحساب'!$N$4:$N$203,0),0))),"")</f>
        <v/>
      </c>
      <c r="D116" s="97" t="str">
        <f>IFERROR(IF(IFERROR(MATCH(112,'كشف الحساب'!$N$4:$N$203,0),0)=0,"",INDEX('كشف الحساب'!$D$4:$D$203,IFERROR(MATCH(112,'كشف الحساب'!$N$4:$N$203,0),0))),"")</f>
        <v/>
      </c>
      <c r="E116" s="98" t="str">
        <f>IFERROR(IF(IFERROR(MATCH(112,'كشف الحساب'!$N$4:$N$203,0),0)=0,"",INDEX('كشف الحساب'!$E$4:$E$203,IFERROR(MATCH(112,'كشف الحساب'!$N$4:$N$203,0),0))),"")</f>
        <v/>
      </c>
      <c r="F116" s="95" t="str">
        <f>IFERROR(IF(IFERROR(MATCH(112,'كشف الحساب'!$N$4:$N$203,0),0)=0,"",INDEX('كشف الحساب'!$F$4:$F$203,IFERROR(MATCH(112,'كشف الحساب'!$N$4:$N$203,0),0))),"")</f>
        <v/>
      </c>
      <c r="G116" s="95" t="str">
        <f>IFERROR(IF(IFERROR(MATCH(112,'كشف الحساب'!$N$4:$N$203,0),0)=0,"",INDEX('كشف الحساب'!$G$4:$G$203,IFERROR(MATCH(112,'كشف الحساب'!$N$4:$N$203,0),0))),"")</f>
        <v/>
      </c>
      <c r="H116" s="95" t="str">
        <f>IFERROR(IF(IFERROR(MATCH(112,'كشف الحساب'!$N$4:$N$203,0),0)=0,"",INDEX('كشف الحساب'!$H$4:$H$203,IFERROR(MATCH(112,'كشف الحساب'!$N$4:$N$203,0),0))),"")</f>
        <v/>
      </c>
      <c r="I116" s="95" t="str">
        <f>IFERROR(IF(IFERROR(MATCH(112,'كشف الحساب'!$N$4:$N$203,0),0)=0,"",INDEX('كشف الحساب'!$I$4:$I$203,IFERROR(MATCH(112,'كشف الحساب'!$N$4:$N$203,0),0))),"")</f>
        <v/>
      </c>
      <c r="J116" s="99" t="str">
        <f>IFERROR(IF(IFERROR(MATCH(112,'كشف الحساب'!$N$4:$N$203,0),0)=0,"",INDEX('كشف الحساب'!$J$4:$J$203,IFERROR(MATCH(112,'كشف الحساب'!$N$4:$N$203,0),0))),"")</f>
        <v/>
      </c>
      <c r="K116" s="95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>
      <c r="A117" s="88" t="str">
        <f>IFERROR(IF(IFERROR(MATCH(113,'كشف الحساب'!$N$4:$N$203,0),0)=0,"",INDEX('كشف الحساب'!$A$4:$A$203,IFERROR(MATCH(113,'كشف الحساب'!$N$4:$N$203,0),0))),"")</f>
        <v/>
      </c>
      <c r="B117" s="89" t="str">
        <f>IFERROR(IF(IFERROR(MATCH(113,'كشف الحساب'!$N$4:$N$203,0),0)=0,"",INDEX('كشف الحساب'!$B$4:$B$203,IFERROR(MATCH(113,'كشف الحساب'!$N$4:$N$203,0),0))),"")</f>
        <v/>
      </c>
      <c r="C117" s="90" t="str">
        <f>IFERROR(IF(IFERROR(MATCH(113,'كشف الحساب'!$N$4:$N$203,0),0)=0,"",INDEX('كشف الحساب'!$C$4:$C$203,IFERROR(MATCH(113,'كشف الحساب'!$N$4:$N$203,0),0))),"")</f>
        <v/>
      </c>
      <c r="D117" s="91" t="str">
        <f>IFERROR(IF(IFERROR(MATCH(113,'كشف الحساب'!$N$4:$N$203,0),0)=0,"",INDEX('كشف الحساب'!$D$4:$D$203,IFERROR(MATCH(113,'كشف الحساب'!$N$4:$N$203,0),0))),"")</f>
        <v/>
      </c>
      <c r="E117" s="92" t="str">
        <f>IFERROR(IF(IFERROR(MATCH(113,'كشف الحساب'!$N$4:$N$203,0),0)=0,"",INDEX('كشف الحساب'!$E$4:$E$203,IFERROR(MATCH(113,'كشف الحساب'!$N$4:$N$203,0),0))),"")</f>
        <v/>
      </c>
      <c r="F117" s="89" t="str">
        <f>IFERROR(IF(IFERROR(MATCH(113,'كشف الحساب'!$N$4:$N$203,0),0)=0,"",INDEX('كشف الحساب'!$F$4:$F$203,IFERROR(MATCH(113,'كشف الحساب'!$N$4:$N$203,0),0))),"")</f>
        <v/>
      </c>
      <c r="G117" s="89" t="str">
        <f>IFERROR(IF(IFERROR(MATCH(113,'كشف الحساب'!$N$4:$N$203,0),0)=0,"",INDEX('كشف الحساب'!$G$4:$G$203,IFERROR(MATCH(113,'كشف الحساب'!$N$4:$N$203,0),0))),"")</f>
        <v/>
      </c>
      <c r="H117" s="89" t="str">
        <f>IFERROR(IF(IFERROR(MATCH(113,'كشف الحساب'!$N$4:$N$203,0),0)=0,"",INDEX('كشف الحساب'!$H$4:$H$203,IFERROR(MATCH(113,'كشف الحساب'!$N$4:$N$203,0),0))),"")</f>
        <v/>
      </c>
      <c r="I117" s="89" t="str">
        <f>IFERROR(IF(IFERROR(MATCH(113,'كشف الحساب'!$N$4:$N$203,0),0)=0,"",INDEX('كشف الحساب'!$I$4:$I$203,IFERROR(MATCH(113,'كشف الحساب'!$N$4:$N$203,0),0))),"")</f>
        <v/>
      </c>
      <c r="J117" s="93" t="str">
        <f>IFERROR(IF(IFERROR(MATCH(113,'كشف الحساب'!$N$4:$N$203,0),0)=0,"",INDEX('كشف الحساب'!$J$4:$J$203,IFERROR(MATCH(113,'كشف الحساب'!$N$4:$N$203,0),0))),"")</f>
        <v/>
      </c>
      <c r="K117" s="89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>
      <c r="A118" s="94" t="str">
        <f>IFERROR(IF(IFERROR(MATCH(114,'كشف الحساب'!$N$4:$N$203,0),0)=0,"",INDEX('كشف الحساب'!$A$4:$A$203,IFERROR(MATCH(114,'كشف الحساب'!$N$4:$N$203,0),0))),"")</f>
        <v/>
      </c>
      <c r="B118" s="95" t="str">
        <f>IFERROR(IF(IFERROR(MATCH(114,'كشف الحساب'!$N$4:$N$203,0),0)=0,"",INDEX('كشف الحساب'!$B$4:$B$203,IFERROR(MATCH(114,'كشف الحساب'!$N$4:$N$203,0),0))),"")</f>
        <v/>
      </c>
      <c r="C118" s="96" t="str">
        <f>IFERROR(IF(IFERROR(MATCH(114,'كشف الحساب'!$N$4:$N$203,0),0)=0,"",INDEX('كشف الحساب'!$C$4:$C$203,IFERROR(MATCH(114,'كشف الحساب'!$N$4:$N$203,0),0))),"")</f>
        <v/>
      </c>
      <c r="D118" s="97" t="str">
        <f>IFERROR(IF(IFERROR(MATCH(114,'كشف الحساب'!$N$4:$N$203,0),0)=0,"",INDEX('كشف الحساب'!$D$4:$D$203,IFERROR(MATCH(114,'كشف الحساب'!$N$4:$N$203,0),0))),"")</f>
        <v/>
      </c>
      <c r="E118" s="98" t="str">
        <f>IFERROR(IF(IFERROR(MATCH(114,'كشف الحساب'!$N$4:$N$203,0),0)=0,"",INDEX('كشف الحساب'!$E$4:$E$203,IFERROR(MATCH(114,'كشف الحساب'!$N$4:$N$203,0),0))),"")</f>
        <v/>
      </c>
      <c r="F118" s="95" t="str">
        <f>IFERROR(IF(IFERROR(MATCH(114,'كشف الحساب'!$N$4:$N$203,0),0)=0,"",INDEX('كشف الحساب'!$F$4:$F$203,IFERROR(MATCH(114,'كشف الحساب'!$N$4:$N$203,0),0))),"")</f>
        <v/>
      </c>
      <c r="G118" s="95" t="str">
        <f>IFERROR(IF(IFERROR(MATCH(114,'كشف الحساب'!$N$4:$N$203,0),0)=0,"",INDEX('كشف الحساب'!$G$4:$G$203,IFERROR(MATCH(114,'كشف الحساب'!$N$4:$N$203,0),0))),"")</f>
        <v/>
      </c>
      <c r="H118" s="95" t="str">
        <f>IFERROR(IF(IFERROR(MATCH(114,'كشف الحساب'!$N$4:$N$203,0),0)=0,"",INDEX('كشف الحساب'!$H$4:$H$203,IFERROR(MATCH(114,'كشف الحساب'!$N$4:$N$203,0),0))),"")</f>
        <v/>
      </c>
      <c r="I118" s="95" t="str">
        <f>IFERROR(IF(IFERROR(MATCH(114,'كشف الحساب'!$N$4:$N$203,0),0)=0,"",INDEX('كشف الحساب'!$I$4:$I$203,IFERROR(MATCH(114,'كشف الحساب'!$N$4:$N$203,0),0))),"")</f>
        <v/>
      </c>
      <c r="J118" s="99" t="str">
        <f>IFERROR(IF(IFERROR(MATCH(114,'كشف الحساب'!$N$4:$N$203,0),0)=0,"",INDEX('كشف الحساب'!$J$4:$J$203,IFERROR(MATCH(114,'كشف الحساب'!$N$4:$N$203,0),0))),"")</f>
        <v/>
      </c>
      <c r="K118" s="95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>
      <c r="A119" s="88" t="str">
        <f>IFERROR(IF(IFERROR(MATCH(115,'كشف الحساب'!$N$4:$N$203,0),0)=0,"",INDEX('كشف الحساب'!$A$4:$A$203,IFERROR(MATCH(115,'كشف الحساب'!$N$4:$N$203,0),0))),"")</f>
        <v/>
      </c>
      <c r="B119" s="89" t="str">
        <f>IFERROR(IF(IFERROR(MATCH(115,'كشف الحساب'!$N$4:$N$203,0),0)=0,"",INDEX('كشف الحساب'!$B$4:$B$203,IFERROR(MATCH(115,'كشف الحساب'!$N$4:$N$203,0),0))),"")</f>
        <v/>
      </c>
      <c r="C119" s="90" t="str">
        <f>IFERROR(IF(IFERROR(MATCH(115,'كشف الحساب'!$N$4:$N$203,0),0)=0,"",INDEX('كشف الحساب'!$C$4:$C$203,IFERROR(MATCH(115,'كشف الحساب'!$N$4:$N$203,0),0))),"")</f>
        <v/>
      </c>
      <c r="D119" s="91" t="str">
        <f>IFERROR(IF(IFERROR(MATCH(115,'كشف الحساب'!$N$4:$N$203,0),0)=0,"",INDEX('كشف الحساب'!$D$4:$D$203,IFERROR(MATCH(115,'كشف الحساب'!$N$4:$N$203,0),0))),"")</f>
        <v/>
      </c>
      <c r="E119" s="92" t="str">
        <f>IFERROR(IF(IFERROR(MATCH(115,'كشف الحساب'!$N$4:$N$203,0),0)=0,"",INDEX('كشف الحساب'!$E$4:$E$203,IFERROR(MATCH(115,'كشف الحساب'!$N$4:$N$203,0),0))),"")</f>
        <v/>
      </c>
      <c r="F119" s="89" t="str">
        <f>IFERROR(IF(IFERROR(MATCH(115,'كشف الحساب'!$N$4:$N$203,0),0)=0,"",INDEX('كشف الحساب'!$F$4:$F$203,IFERROR(MATCH(115,'كشف الحساب'!$N$4:$N$203,0),0))),"")</f>
        <v/>
      </c>
      <c r="G119" s="89" t="str">
        <f>IFERROR(IF(IFERROR(MATCH(115,'كشف الحساب'!$N$4:$N$203,0),0)=0,"",INDEX('كشف الحساب'!$G$4:$G$203,IFERROR(MATCH(115,'كشف الحساب'!$N$4:$N$203,0),0))),"")</f>
        <v/>
      </c>
      <c r="H119" s="89" t="str">
        <f>IFERROR(IF(IFERROR(MATCH(115,'كشف الحساب'!$N$4:$N$203,0),0)=0,"",INDEX('كشف الحساب'!$H$4:$H$203,IFERROR(MATCH(115,'كشف الحساب'!$N$4:$N$203,0),0))),"")</f>
        <v/>
      </c>
      <c r="I119" s="89" t="str">
        <f>IFERROR(IF(IFERROR(MATCH(115,'كشف الحساب'!$N$4:$N$203,0),0)=0,"",INDEX('كشف الحساب'!$I$4:$I$203,IFERROR(MATCH(115,'كشف الحساب'!$N$4:$N$203,0),0))),"")</f>
        <v/>
      </c>
      <c r="J119" s="93" t="str">
        <f>IFERROR(IF(IFERROR(MATCH(115,'كشف الحساب'!$N$4:$N$203,0),0)=0,"",INDEX('كشف الحساب'!$J$4:$J$203,IFERROR(MATCH(115,'كشف الحساب'!$N$4:$N$203,0),0))),"")</f>
        <v/>
      </c>
      <c r="K119" s="89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>
      <c r="A120" s="94" t="str">
        <f>IFERROR(IF(IFERROR(MATCH(116,'كشف الحساب'!$N$4:$N$203,0),0)=0,"",INDEX('كشف الحساب'!$A$4:$A$203,IFERROR(MATCH(116,'كشف الحساب'!$N$4:$N$203,0),0))),"")</f>
        <v/>
      </c>
      <c r="B120" s="95" t="str">
        <f>IFERROR(IF(IFERROR(MATCH(116,'كشف الحساب'!$N$4:$N$203,0),0)=0,"",INDEX('كشف الحساب'!$B$4:$B$203,IFERROR(MATCH(116,'كشف الحساب'!$N$4:$N$203,0),0))),"")</f>
        <v/>
      </c>
      <c r="C120" s="96" t="str">
        <f>IFERROR(IF(IFERROR(MATCH(116,'كشف الحساب'!$N$4:$N$203,0),0)=0,"",INDEX('كشف الحساب'!$C$4:$C$203,IFERROR(MATCH(116,'كشف الحساب'!$N$4:$N$203,0),0))),"")</f>
        <v/>
      </c>
      <c r="D120" s="97" t="str">
        <f>IFERROR(IF(IFERROR(MATCH(116,'كشف الحساب'!$N$4:$N$203,0),0)=0,"",INDEX('كشف الحساب'!$D$4:$D$203,IFERROR(MATCH(116,'كشف الحساب'!$N$4:$N$203,0),0))),"")</f>
        <v/>
      </c>
      <c r="E120" s="98" t="str">
        <f>IFERROR(IF(IFERROR(MATCH(116,'كشف الحساب'!$N$4:$N$203,0),0)=0,"",INDEX('كشف الحساب'!$E$4:$E$203,IFERROR(MATCH(116,'كشف الحساب'!$N$4:$N$203,0),0))),"")</f>
        <v/>
      </c>
      <c r="F120" s="95" t="str">
        <f>IFERROR(IF(IFERROR(MATCH(116,'كشف الحساب'!$N$4:$N$203,0),0)=0,"",INDEX('كشف الحساب'!$F$4:$F$203,IFERROR(MATCH(116,'كشف الحساب'!$N$4:$N$203,0),0))),"")</f>
        <v/>
      </c>
      <c r="G120" s="95" t="str">
        <f>IFERROR(IF(IFERROR(MATCH(116,'كشف الحساب'!$N$4:$N$203,0),0)=0,"",INDEX('كشف الحساب'!$G$4:$G$203,IFERROR(MATCH(116,'كشف الحساب'!$N$4:$N$203,0),0))),"")</f>
        <v/>
      </c>
      <c r="H120" s="95" t="str">
        <f>IFERROR(IF(IFERROR(MATCH(116,'كشف الحساب'!$N$4:$N$203,0),0)=0,"",INDEX('كشف الحساب'!$H$4:$H$203,IFERROR(MATCH(116,'كشف الحساب'!$N$4:$N$203,0),0))),"")</f>
        <v/>
      </c>
      <c r="I120" s="95" t="str">
        <f>IFERROR(IF(IFERROR(MATCH(116,'كشف الحساب'!$N$4:$N$203,0),0)=0,"",INDEX('كشف الحساب'!$I$4:$I$203,IFERROR(MATCH(116,'كشف الحساب'!$N$4:$N$203,0),0))),"")</f>
        <v/>
      </c>
      <c r="J120" s="99" t="str">
        <f>IFERROR(IF(IFERROR(MATCH(116,'كشف الحساب'!$N$4:$N$203,0),0)=0,"",INDEX('كشف الحساب'!$J$4:$J$203,IFERROR(MATCH(116,'كشف الحساب'!$N$4:$N$203,0),0))),"")</f>
        <v/>
      </c>
      <c r="K120" s="95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>
      <c r="A121" s="88" t="str">
        <f>IFERROR(IF(IFERROR(MATCH(117,'كشف الحساب'!$N$4:$N$203,0),0)=0,"",INDEX('كشف الحساب'!$A$4:$A$203,IFERROR(MATCH(117,'كشف الحساب'!$N$4:$N$203,0),0))),"")</f>
        <v/>
      </c>
      <c r="B121" s="89" t="str">
        <f>IFERROR(IF(IFERROR(MATCH(117,'كشف الحساب'!$N$4:$N$203,0),0)=0,"",INDEX('كشف الحساب'!$B$4:$B$203,IFERROR(MATCH(117,'كشف الحساب'!$N$4:$N$203,0),0))),"")</f>
        <v/>
      </c>
      <c r="C121" s="90" t="str">
        <f>IFERROR(IF(IFERROR(MATCH(117,'كشف الحساب'!$N$4:$N$203,0),0)=0,"",INDEX('كشف الحساب'!$C$4:$C$203,IFERROR(MATCH(117,'كشف الحساب'!$N$4:$N$203,0),0))),"")</f>
        <v/>
      </c>
      <c r="D121" s="91" t="str">
        <f>IFERROR(IF(IFERROR(MATCH(117,'كشف الحساب'!$N$4:$N$203,0),0)=0,"",INDEX('كشف الحساب'!$D$4:$D$203,IFERROR(MATCH(117,'كشف الحساب'!$N$4:$N$203,0),0))),"")</f>
        <v/>
      </c>
      <c r="E121" s="92" t="str">
        <f>IFERROR(IF(IFERROR(MATCH(117,'كشف الحساب'!$N$4:$N$203,0),0)=0,"",INDEX('كشف الحساب'!$E$4:$E$203,IFERROR(MATCH(117,'كشف الحساب'!$N$4:$N$203,0),0))),"")</f>
        <v/>
      </c>
      <c r="F121" s="89" t="str">
        <f>IFERROR(IF(IFERROR(MATCH(117,'كشف الحساب'!$N$4:$N$203,0),0)=0,"",INDEX('كشف الحساب'!$F$4:$F$203,IFERROR(MATCH(117,'كشف الحساب'!$N$4:$N$203,0),0))),"")</f>
        <v/>
      </c>
      <c r="G121" s="89" t="str">
        <f>IFERROR(IF(IFERROR(MATCH(117,'كشف الحساب'!$N$4:$N$203,0),0)=0,"",INDEX('كشف الحساب'!$G$4:$G$203,IFERROR(MATCH(117,'كشف الحساب'!$N$4:$N$203,0),0))),"")</f>
        <v/>
      </c>
      <c r="H121" s="89" t="str">
        <f>IFERROR(IF(IFERROR(MATCH(117,'كشف الحساب'!$N$4:$N$203,0),0)=0,"",INDEX('كشف الحساب'!$H$4:$H$203,IFERROR(MATCH(117,'كشف الحساب'!$N$4:$N$203,0),0))),"")</f>
        <v/>
      </c>
      <c r="I121" s="89" t="str">
        <f>IFERROR(IF(IFERROR(MATCH(117,'كشف الحساب'!$N$4:$N$203,0),0)=0,"",INDEX('كشف الحساب'!$I$4:$I$203,IFERROR(MATCH(117,'كشف الحساب'!$N$4:$N$203,0),0))),"")</f>
        <v/>
      </c>
      <c r="J121" s="93" t="str">
        <f>IFERROR(IF(IFERROR(MATCH(117,'كشف الحساب'!$N$4:$N$203,0),0)=0,"",INDEX('كشف الحساب'!$J$4:$J$203,IFERROR(MATCH(117,'كشف الحساب'!$N$4:$N$203,0),0))),"")</f>
        <v/>
      </c>
      <c r="K121" s="89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>
      <c r="A122" s="94" t="str">
        <f>IFERROR(IF(IFERROR(MATCH(118,'كشف الحساب'!$N$4:$N$203,0),0)=0,"",INDEX('كشف الحساب'!$A$4:$A$203,IFERROR(MATCH(118,'كشف الحساب'!$N$4:$N$203,0),0))),"")</f>
        <v/>
      </c>
      <c r="B122" s="95" t="str">
        <f>IFERROR(IF(IFERROR(MATCH(118,'كشف الحساب'!$N$4:$N$203,0),0)=0,"",INDEX('كشف الحساب'!$B$4:$B$203,IFERROR(MATCH(118,'كشف الحساب'!$N$4:$N$203,0),0))),"")</f>
        <v/>
      </c>
      <c r="C122" s="96" t="str">
        <f>IFERROR(IF(IFERROR(MATCH(118,'كشف الحساب'!$N$4:$N$203,0),0)=0,"",INDEX('كشف الحساب'!$C$4:$C$203,IFERROR(MATCH(118,'كشف الحساب'!$N$4:$N$203,0),0))),"")</f>
        <v/>
      </c>
      <c r="D122" s="97" t="str">
        <f>IFERROR(IF(IFERROR(MATCH(118,'كشف الحساب'!$N$4:$N$203,0),0)=0,"",INDEX('كشف الحساب'!$D$4:$D$203,IFERROR(MATCH(118,'كشف الحساب'!$N$4:$N$203,0),0))),"")</f>
        <v/>
      </c>
      <c r="E122" s="98" t="str">
        <f>IFERROR(IF(IFERROR(MATCH(118,'كشف الحساب'!$N$4:$N$203,0),0)=0,"",INDEX('كشف الحساب'!$E$4:$E$203,IFERROR(MATCH(118,'كشف الحساب'!$N$4:$N$203,0),0))),"")</f>
        <v/>
      </c>
      <c r="F122" s="95" t="str">
        <f>IFERROR(IF(IFERROR(MATCH(118,'كشف الحساب'!$N$4:$N$203,0),0)=0,"",INDEX('كشف الحساب'!$F$4:$F$203,IFERROR(MATCH(118,'كشف الحساب'!$N$4:$N$203,0),0))),"")</f>
        <v/>
      </c>
      <c r="G122" s="95" t="str">
        <f>IFERROR(IF(IFERROR(MATCH(118,'كشف الحساب'!$N$4:$N$203,0),0)=0,"",INDEX('كشف الحساب'!$G$4:$G$203,IFERROR(MATCH(118,'كشف الحساب'!$N$4:$N$203,0),0))),"")</f>
        <v/>
      </c>
      <c r="H122" s="95" t="str">
        <f>IFERROR(IF(IFERROR(MATCH(118,'كشف الحساب'!$N$4:$N$203,0),0)=0,"",INDEX('كشف الحساب'!$H$4:$H$203,IFERROR(MATCH(118,'كشف الحساب'!$N$4:$N$203,0),0))),"")</f>
        <v/>
      </c>
      <c r="I122" s="95" t="str">
        <f>IFERROR(IF(IFERROR(MATCH(118,'كشف الحساب'!$N$4:$N$203,0),0)=0,"",INDEX('كشف الحساب'!$I$4:$I$203,IFERROR(MATCH(118,'كشف الحساب'!$N$4:$N$203,0),0))),"")</f>
        <v/>
      </c>
      <c r="J122" s="99" t="str">
        <f>IFERROR(IF(IFERROR(MATCH(118,'كشف الحساب'!$N$4:$N$203,0),0)=0,"",INDEX('كشف الحساب'!$J$4:$J$203,IFERROR(MATCH(118,'كشف الحساب'!$N$4:$N$203,0),0))),"")</f>
        <v/>
      </c>
      <c r="K122" s="95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>
      <c r="A123" s="88" t="str">
        <f>IFERROR(IF(IFERROR(MATCH(119,'كشف الحساب'!$N$4:$N$203,0),0)=0,"",INDEX('كشف الحساب'!$A$4:$A$203,IFERROR(MATCH(119,'كشف الحساب'!$N$4:$N$203,0),0))),"")</f>
        <v/>
      </c>
      <c r="B123" s="89" t="str">
        <f>IFERROR(IF(IFERROR(MATCH(119,'كشف الحساب'!$N$4:$N$203,0),0)=0,"",INDEX('كشف الحساب'!$B$4:$B$203,IFERROR(MATCH(119,'كشف الحساب'!$N$4:$N$203,0),0))),"")</f>
        <v/>
      </c>
      <c r="C123" s="90" t="str">
        <f>IFERROR(IF(IFERROR(MATCH(119,'كشف الحساب'!$N$4:$N$203,0),0)=0,"",INDEX('كشف الحساب'!$C$4:$C$203,IFERROR(MATCH(119,'كشف الحساب'!$N$4:$N$203,0),0))),"")</f>
        <v/>
      </c>
      <c r="D123" s="91" t="str">
        <f>IFERROR(IF(IFERROR(MATCH(119,'كشف الحساب'!$N$4:$N$203,0),0)=0,"",INDEX('كشف الحساب'!$D$4:$D$203,IFERROR(MATCH(119,'كشف الحساب'!$N$4:$N$203,0),0))),"")</f>
        <v/>
      </c>
      <c r="E123" s="92" t="str">
        <f>IFERROR(IF(IFERROR(MATCH(119,'كشف الحساب'!$N$4:$N$203,0),0)=0,"",INDEX('كشف الحساب'!$E$4:$E$203,IFERROR(MATCH(119,'كشف الحساب'!$N$4:$N$203,0),0))),"")</f>
        <v/>
      </c>
      <c r="F123" s="89" t="str">
        <f>IFERROR(IF(IFERROR(MATCH(119,'كشف الحساب'!$N$4:$N$203,0),0)=0,"",INDEX('كشف الحساب'!$F$4:$F$203,IFERROR(MATCH(119,'كشف الحساب'!$N$4:$N$203,0),0))),"")</f>
        <v/>
      </c>
      <c r="G123" s="89" t="str">
        <f>IFERROR(IF(IFERROR(MATCH(119,'كشف الحساب'!$N$4:$N$203,0),0)=0,"",INDEX('كشف الحساب'!$G$4:$G$203,IFERROR(MATCH(119,'كشف الحساب'!$N$4:$N$203,0),0))),"")</f>
        <v/>
      </c>
      <c r="H123" s="89" t="str">
        <f>IFERROR(IF(IFERROR(MATCH(119,'كشف الحساب'!$N$4:$N$203,0),0)=0,"",INDEX('كشف الحساب'!$H$4:$H$203,IFERROR(MATCH(119,'كشف الحساب'!$N$4:$N$203,0),0))),"")</f>
        <v/>
      </c>
      <c r="I123" s="89" t="str">
        <f>IFERROR(IF(IFERROR(MATCH(119,'كشف الحساب'!$N$4:$N$203,0),0)=0,"",INDEX('كشف الحساب'!$I$4:$I$203,IFERROR(MATCH(119,'كشف الحساب'!$N$4:$N$203,0),0))),"")</f>
        <v/>
      </c>
      <c r="J123" s="93" t="str">
        <f>IFERROR(IF(IFERROR(MATCH(119,'كشف الحساب'!$N$4:$N$203,0),0)=0,"",INDEX('كشف الحساب'!$J$4:$J$203,IFERROR(MATCH(119,'كشف الحساب'!$N$4:$N$203,0),0))),"")</f>
        <v/>
      </c>
      <c r="K123" s="89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>
      <c r="A124" s="94" t="str">
        <f>IFERROR(IF(IFERROR(MATCH(120,'كشف الحساب'!$N$4:$N$203,0),0)=0,"",INDEX('كشف الحساب'!$A$4:$A$203,IFERROR(MATCH(120,'كشف الحساب'!$N$4:$N$203,0),0))),"")</f>
        <v/>
      </c>
      <c r="B124" s="95" t="str">
        <f>IFERROR(IF(IFERROR(MATCH(120,'كشف الحساب'!$N$4:$N$203,0),0)=0,"",INDEX('كشف الحساب'!$B$4:$B$203,IFERROR(MATCH(120,'كشف الحساب'!$N$4:$N$203,0),0))),"")</f>
        <v/>
      </c>
      <c r="C124" s="96" t="str">
        <f>IFERROR(IF(IFERROR(MATCH(120,'كشف الحساب'!$N$4:$N$203,0),0)=0,"",INDEX('كشف الحساب'!$C$4:$C$203,IFERROR(MATCH(120,'كشف الحساب'!$N$4:$N$203,0),0))),"")</f>
        <v/>
      </c>
      <c r="D124" s="97" t="str">
        <f>IFERROR(IF(IFERROR(MATCH(120,'كشف الحساب'!$N$4:$N$203,0),0)=0,"",INDEX('كشف الحساب'!$D$4:$D$203,IFERROR(MATCH(120,'كشف الحساب'!$N$4:$N$203,0),0))),"")</f>
        <v/>
      </c>
      <c r="E124" s="98" t="str">
        <f>IFERROR(IF(IFERROR(MATCH(120,'كشف الحساب'!$N$4:$N$203,0),0)=0,"",INDEX('كشف الحساب'!$E$4:$E$203,IFERROR(MATCH(120,'كشف الحساب'!$N$4:$N$203,0),0))),"")</f>
        <v/>
      </c>
      <c r="F124" s="95" t="str">
        <f>IFERROR(IF(IFERROR(MATCH(120,'كشف الحساب'!$N$4:$N$203,0),0)=0,"",INDEX('كشف الحساب'!$F$4:$F$203,IFERROR(MATCH(120,'كشف الحساب'!$N$4:$N$203,0),0))),"")</f>
        <v/>
      </c>
      <c r="G124" s="95" t="str">
        <f>IFERROR(IF(IFERROR(MATCH(120,'كشف الحساب'!$N$4:$N$203,0),0)=0,"",INDEX('كشف الحساب'!$G$4:$G$203,IFERROR(MATCH(120,'كشف الحساب'!$N$4:$N$203,0),0))),"")</f>
        <v/>
      </c>
      <c r="H124" s="95" t="str">
        <f>IFERROR(IF(IFERROR(MATCH(120,'كشف الحساب'!$N$4:$N$203,0),0)=0,"",INDEX('كشف الحساب'!$H$4:$H$203,IFERROR(MATCH(120,'كشف الحساب'!$N$4:$N$203,0),0))),"")</f>
        <v/>
      </c>
      <c r="I124" s="95" t="str">
        <f>IFERROR(IF(IFERROR(MATCH(120,'كشف الحساب'!$N$4:$N$203,0),0)=0,"",INDEX('كشف الحساب'!$I$4:$I$203,IFERROR(MATCH(120,'كشف الحساب'!$N$4:$N$203,0),0))),"")</f>
        <v/>
      </c>
      <c r="J124" s="99" t="str">
        <f>IFERROR(IF(IFERROR(MATCH(120,'كشف الحساب'!$N$4:$N$203,0),0)=0,"",INDEX('كشف الحساب'!$J$4:$J$203,IFERROR(MATCH(120,'كشف الحساب'!$N$4:$N$203,0),0))),"")</f>
        <v/>
      </c>
      <c r="K124" s="95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>
      <c r="A125" s="88" t="str">
        <f>IFERROR(IF(IFERROR(MATCH(121,'كشف الحساب'!$N$4:$N$203,0),0)=0,"",INDEX('كشف الحساب'!$A$4:$A$203,IFERROR(MATCH(121,'كشف الحساب'!$N$4:$N$203,0),0))),"")</f>
        <v/>
      </c>
      <c r="B125" s="89" t="str">
        <f>IFERROR(IF(IFERROR(MATCH(121,'كشف الحساب'!$N$4:$N$203,0),0)=0,"",INDEX('كشف الحساب'!$B$4:$B$203,IFERROR(MATCH(121,'كشف الحساب'!$N$4:$N$203,0),0))),"")</f>
        <v/>
      </c>
      <c r="C125" s="90" t="str">
        <f>IFERROR(IF(IFERROR(MATCH(121,'كشف الحساب'!$N$4:$N$203,0),0)=0,"",INDEX('كشف الحساب'!$C$4:$C$203,IFERROR(MATCH(121,'كشف الحساب'!$N$4:$N$203,0),0))),"")</f>
        <v/>
      </c>
      <c r="D125" s="91" t="str">
        <f>IFERROR(IF(IFERROR(MATCH(121,'كشف الحساب'!$N$4:$N$203,0),0)=0,"",INDEX('كشف الحساب'!$D$4:$D$203,IFERROR(MATCH(121,'كشف الحساب'!$N$4:$N$203,0),0))),"")</f>
        <v/>
      </c>
      <c r="E125" s="92" t="str">
        <f>IFERROR(IF(IFERROR(MATCH(121,'كشف الحساب'!$N$4:$N$203,0),0)=0,"",INDEX('كشف الحساب'!$E$4:$E$203,IFERROR(MATCH(121,'كشف الحساب'!$N$4:$N$203,0),0))),"")</f>
        <v/>
      </c>
      <c r="F125" s="89" t="str">
        <f>IFERROR(IF(IFERROR(MATCH(121,'كشف الحساب'!$N$4:$N$203,0),0)=0,"",INDEX('كشف الحساب'!$F$4:$F$203,IFERROR(MATCH(121,'كشف الحساب'!$N$4:$N$203,0),0))),"")</f>
        <v/>
      </c>
      <c r="G125" s="89" t="str">
        <f>IFERROR(IF(IFERROR(MATCH(121,'كشف الحساب'!$N$4:$N$203,0),0)=0,"",INDEX('كشف الحساب'!$G$4:$G$203,IFERROR(MATCH(121,'كشف الحساب'!$N$4:$N$203,0),0))),"")</f>
        <v/>
      </c>
      <c r="H125" s="89" t="str">
        <f>IFERROR(IF(IFERROR(MATCH(121,'كشف الحساب'!$N$4:$N$203,0),0)=0,"",INDEX('كشف الحساب'!$H$4:$H$203,IFERROR(MATCH(121,'كشف الحساب'!$N$4:$N$203,0),0))),"")</f>
        <v/>
      </c>
      <c r="I125" s="89" t="str">
        <f>IFERROR(IF(IFERROR(MATCH(121,'كشف الحساب'!$N$4:$N$203,0),0)=0,"",INDEX('كشف الحساب'!$I$4:$I$203,IFERROR(MATCH(121,'كشف الحساب'!$N$4:$N$203,0),0))),"")</f>
        <v/>
      </c>
      <c r="J125" s="93" t="str">
        <f>IFERROR(IF(IFERROR(MATCH(121,'كشف الحساب'!$N$4:$N$203,0),0)=0,"",INDEX('كشف الحساب'!$J$4:$J$203,IFERROR(MATCH(121,'كشف الحساب'!$N$4:$N$203,0),0))),"")</f>
        <v/>
      </c>
      <c r="K125" s="89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>
      <c r="A126" s="94" t="str">
        <f>IFERROR(IF(IFERROR(MATCH(122,'كشف الحساب'!$N$4:$N$203,0),0)=0,"",INDEX('كشف الحساب'!$A$4:$A$203,IFERROR(MATCH(122,'كشف الحساب'!$N$4:$N$203,0),0))),"")</f>
        <v/>
      </c>
      <c r="B126" s="95" t="str">
        <f>IFERROR(IF(IFERROR(MATCH(122,'كشف الحساب'!$N$4:$N$203,0),0)=0,"",INDEX('كشف الحساب'!$B$4:$B$203,IFERROR(MATCH(122,'كشف الحساب'!$N$4:$N$203,0),0))),"")</f>
        <v/>
      </c>
      <c r="C126" s="96" t="str">
        <f>IFERROR(IF(IFERROR(MATCH(122,'كشف الحساب'!$N$4:$N$203,0),0)=0,"",INDEX('كشف الحساب'!$C$4:$C$203,IFERROR(MATCH(122,'كشف الحساب'!$N$4:$N$203,0),0))),"")</f>
        <v/>
      </c>
      <c r="D126" s="97" t="str">
        <f>IFERROR(IF(IFERROR(MATCH(122,'كشف الحساب'!$N$4:$N$203,0),0)=0,"",INDEX('كشف الحساب'!$D$4:$D$203,IFERROR(MATCH(122,'كشف الحساب'!$N$4:$N$203,0),0))),"")</f>
        <v/>
      </c>
      <c r="E126" s="98" t="str">
        <f>IFERROR(IF(IFERROR(MATCH(122,'كشف الحساب'!$N$4:$N$203,0),0)=0,"",INDEX('كشف الحساب'!$E$4:$E$203,IFERROR(MATCH(122,'كشف الحساب'!$N$4:$N$203,0),0))),"")</f>
        <v/>
      </c>
      <c r="F126" s="95" t="str">
        <f>IFERROR(IF(IFERROR(MATCH(122,'كشف الحساب'!$N$4:$N$203,0),0)=0,"",INDEX('كشف الحساب'!$F$4:$F$203,IFERROR(MATCH(122,'كشف الحساب'!$N$4:$N$203,0),0))),"")</f>
        <v/>
      </c>
      <c r="G126" s="95" t="str">
        <f>IFERROR(IF(IFERROR(MATCH(122,'كشف الحساب'!$N$4:$N$203,0),0)=0,"",INDEX('كشف الحساب'!$G$4:$G$203,IFERROR(MATCH(122,'كشف الحساب'!$N$4:$N$203,0),0))),"")</f>
        <v/>
      </c>
      <c r="H126" s="95" t="str">
        <f>IFERROR(IF(IFERROR(MATCH(122,'كشف الحساب'!$N$4:$N$203,0),0)=0,"",INDEX('كشف الحساب'!$H$4:$H$203,IFERROR(MATCH(122,'كشف الحساب'!$N$4:$N$203,0),0))),"")</f>
        <v/>
      </c>
      <c r="I126" s="95" t="str">
        <f>IFERROR(IF(IFERROR(MATCH(122,'كشف الحساب'!$N$4:$N$203,0),0)=0,"",INDEX('كشف الحساب'!$I$4:$I$203,IFERROR(MATCH(122,'كشف الحساب'!$N$4:$N$203,0),0))),"")</f>
        <v/>
      </c>
      <c r="J126" s="99" t="str">
        <f>IFERROR(IF(IFERROR(MATCH(122,'كشف الحساب'!$N$4:$N$203,0),0)=0,"",INDEX('كشف الحساب'!$J$4:$J$203,IFERROR(MATCH(122,'كشف الحساب'!$N$4:$N$203,0),0))),"")</f>
        <v/>
      </c>
      <c r="K126" s="95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>
      <c r="A127" s="88" t="str">
        <f>IFERROR(IF(IFERROR(MATCH(123,'كشف الحساب'!$N$4:$N$203,0),0)=0,"",INDEX('كشف الحساب'!$A$4:$A$203,IFERROR(MATCH(123,'كشف الحساب'!$N$4:$N$203,0),0))),"")</f>
        <v/>
      </c>
      <c r="B127" s="89" t="str">
        <f>IFERROR(IF(IFERROR(MATCH(123,'كشف الحساب'!$N$4:$N$203,0),0)=0,"",INDEX('كشف الحساب'!$B$4:$B$203,IFERROR(MATCH(123,'كشف الحساب'!$N$4:$N$203,0),0))),"")</f>
        <v/>
      </c>
      <c r="C127" s="90" t="str">
        <f>IFERROR(IF(IFERROR(MATCH(123,'كشف الحساب'!$N$4:$N$203,0),0)=0,"",INDEX('كشف الحساب'!$C$4:$C$203,IFERROR(MATCH(123,'كشف الحساب'!$N$4:$N$203,0),0))),"")</f>
        <v/>
      </c>
      <c r="D127" s="91" t="str">
        <f>IFERROR(IF(IFERROR(MATCH(123,'كشف الحساب'!$N$4:$N$203,0),0)=0,"",INDEX('كشف الحساب'!$D$4:$D$203,IFERROR(MATCH(123,'كشف الحساب'!$N$4:$N$203,0),0))),"")</f>
        <v/>
      </c>
      <c r="E127" s="92" t="str">
        <f>IFERROR(IF(IFERROR(MATCH(123,'كشف الحساب'!$N$4:$N$203,0),0)=0,"",INDEX('كشف الحساب'!$E$4:$E$203,IFERROR(MATCH(123,'كشف الحساب'!$N$4:$N$203,0),0))),"")</f>
        <v/>
      </c>
      <c r="F127" s="89" t="str">
        <f>IFERROR(IF(IFERROR(MATCH(123,'كشف الحساب'!$N$4:$N$203,0),0)=0,"",INDEX('كشف الحساب'!$F$4:$F$203,IFERROR(MATCH(123,'كشف الحساب'!$N$4:$N$203,0),0))),"")</f>
        <v/>
      </c>
      <c r="G127" s="89" t="str">
        <f>IFERROR(IF(IFERROR(MATCH(123,'كشف الحساب'!$N$4:$N$203,0),0)=0,"",INDEX('كشف الحساب'!$G$4:$G$203,IFERROR(MATCH(123,'كشف الحساب'!$N$4:$N$203,0),0))),"")</f>
        <v/>
      </c>
      <c r="H127" s="89" t="str">
        <f>IFERROR(IF(IFERROR(MATCH(123,'كشف الحساب'!$N$4:$N$203,0),0)=0,"",INDEX('كشف الحساب'!$H$4:$H$203,IFERROR(MATCH(123,'كشف الحساب'!$N$4:$N$203,0),0))),"")</f>
        <v/>
      </c>
      <c r="I127" s="89" t="str">
        <f>IFERROR(IF(IFERROR(MATCH(123,'كشف الحساب'!$N$4:$N$203,0),0)=0,"",INDEX('كشف الحساب'!$I$4:$I$203,IFERROR(MATCH(123,'كشف الحساب'!$N$4:$N$203,0),0))),"")</f>
        <v/>
      </c>
      <c r="J127" s="93" t="str">
        <f>IFERROR(IF(IFERROR(MATCH(123,'كشف الحساب'!$N$4:$N$203,0),0)=0,"",INDEX('كشف الحساب'!$J$4:$J$203,IFERROR(MATCH(123,'كشف الحساب'!$N$4:$N$203,0),0))),"")</f>
        <v/>
      </c>
      <c r="K127" s="89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>
      <c r="A128" s="94" t="str">
        <f>IFERROR(IF(IFERROR(MATCH(124,'كشف الحساب'!$N$4:$N$203,0),0)=0,"",INDEX('كشف الحساب'!$A$4:$A$203,IFERROR(MATCH(124,'كشف الحساب'!$N$4:$N$203,0),0))),"")</f>
        <v/>
      </c>
      <c r="B128" s="95" t="str">
        <f>IFERROR(IF(IFERROR(MATCH(124,'كشف الحساب'!$N$4:$N$203,0),0)=0,"",INDEX('كشف الحساب'!$B$4:$B$203,IFERROR(MATCH(124,'كشف الحساب'!$N$4:$N$203,0),0))),"")</f>
        <v/>
      </c>
      <c r="C128" s="96" t="str">
        <f>IFERROR(IF(IFERROR(MATCH(124,'كشف الحساب'!$N$4:$N$203,0),0)=0,"",INDEX('كشف الحساب'!$C$4:$C$203,IFERROR(MATCH(124,'كشف الحساب'!$N$4:$N$203,0),0))),"")</f>
        <v/>
      </c>
      <c r="D128" s="97" t="str">
        <f>IFERROR(IF(IFERROR(MATCH(124,'كشف الحساب'!$N$4:$N$203,0),0)=0,"",INDEX('كشف الحساب'!$D$4:$D$203,IFERROR(MATCH(124,'كشف الحساب'!$N$4:$N$203,0),0))),"")</f>
        <v/>
      </c>
      <c r="E128" s="98" t="str">
        <f>IFERROR(IF(IFERROR(MATCH(124,'كشف الحساب'!$N$4:$N$203,0),0)=0,"",INDEX('كشف الحساب'!$E$4:$E$203,IFERROR(MATCH(124,'كشف الحساب'!$N$4:$N$203,0),0))),"")</f>
        <v/>
      </c>
      <c r="F128" s="95" t="str">
        <f>IFERROR(IF(IFERROR(MATCH(124,'كشف الحساب'!$N$4:$N$203,0),0)=0,"",INDEX('كشف الحساب'!$F$4:$F$203,IFERROR(MATCH(124,'كشف الحساب'!$N$4:$N$203,0),0))),"")</f>
        <v/>
      </c>
      <c r="G128" s="95" t="str">
        <f>IFERROR(IF(IFERROR(MATCH(124,'كشف الحساب'!$N$4:$N$203,0),0)=0,"",INDEX('كشف الحساب'!$G$4:$G$203,IFERROR(MATCH(124,'كشف الحساب'!$N$4:$N$203,0),0))),"")</f>
        <v/>
      </c>
      <c r="H128" s="95" t="str">
        <f>IFERROR(IF(IFERROR(MATCH(124,'كشف الحساب'!$N$4:$N$203,0),0)=0,"",INDEX('كشف الحساب'!$H$4:$H$203,IFERROR(MATCH(124,'كشف الحساب'!$N$4:$N$203,0),0))),"")</f>
        <v/>
      </c>
      <c r="I128" s="95" t="str">
        <f>IFERROR(IF(IFERROR(MATCH(124,'كشف الحساب'!$N$4:$N$203,0),0)=0,"",INDEX('كشف الحساب'!$I$4:$I$203,IFERROR(MATCH(124,'كشف الحساب'!$N$4:$N$203,0),0))),"")</f>
        <v/>
      </c>
      <c r="J128" s="99" t="str">
        <f>IFERROR(IF(IFERROR(MATCH(124,'كشف الحساب'!$N$4:$N$203,0),0)=0,"",INDEX('كشف الحساب'!$J$4:$J$203,IFERROR(MATCH(124,'كشف الحساب'!$N$4:$N$203,0),0))),"")</f>
        <v/>
      </c>
      <c r="K128" s="95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>
      <c r="A129" s="88" t="str">
        <f>IFERROR(IF(IFERROR(MATCH(125,'كشف الحساب'!$N$4:$N$203,0),0)=0,"",INDEX('كشف الحساب'!$A$4:$A$203,IFERROR(MATCH(125,'كشف الحساب'!$N$4:$N$203,0),0))),"")</f>
        <v/>
      </c>
      <c r="B129" s="89" t="str">
        <f>IFERROR(IF(IFERROR(MATCH(125,'كشف الحساب'!$N$4:$N$203,0),0)=0,"",INDEX('كشف الحساب'!$B$4:$B$203,IFERROR(MATCH(125,'كشف الحساب'!$N$4:$N$203,0),0))),"")</f>
        <v/>
      </c>
      <c r="C129" s="90" t="str">
        <f>IFERROR(IF(IFERROR(MATCH(125,'كشف الحساب'!$N$4:$N$203,0),0)=0,"",INDEX('كشف الحساب'!$C$4:$C$203,IFERROR(MATCH(125,'كشف الحساب'!$N$4:$N$203,0),0))),"")</f>
        <v/>
      </c>
      <c r="D129" s="91" t="str">
        <f>IFERROR(IF(IFERROR(MATCH(125,'كشف الحساب'!$N$4:$N$203,0),0)=0,"",INDEX('كشف الحساب'!$D$4:$D$203,IFERROR(MATCH(125,'كشف الحساب'!$N$4:$N$203,0),0))),"")</f>
        <v/>
      </c>
      <c r="E129" s="92" t="str">
        <f>IFERROR(IF(IFERROR(MATCH(125,'كشف الحساب'!$N$4:$N$203,0),0)=0,"",INDEX('كشف الحساب'!$E$4:$E$203,IFERROR(MATCH(125,'كشف الحساب'!$N$4:$N$203,0),0))),"")</f>
        <v/>
      </c>
      <c r="F129" s="89" t="str">
        <f>IFERROR(IF(IFERROR(MATCH(125,'كشف الحساب'!$N$4:$N$203,0),0)=0,"",INDEX('كشف الحساب'!$F$4:$F$203,IFERROR(MATCH(125,'كشف الحساب'!$N$4:$N$203,0),0))),"")</f>
        <v/>
      </c>
      <c r="G129" s="89" t="str">
        <f>IFERROR(IF(IFERROR(MATCH(125,'كشف الحساب'!$N$4:$N$203,0),0)=0,"",INDEX('كشف الحساب'!$G$4:$G$203,IFERROR(MATCH(125,'كشف الحساب'!$N$4:$N$203,0),0))),"")</f>
        <v/>
      </c>
      <c r="H129" s="89" t="str">
        <f>IFERROR(IF(IFERROR(MATCH(125,'كشف الحساب'!$N$4:$N$203,0),0)=0,"",INDEX('كشف الحساب'!$H$4:$H$203,IFERROR(MATCH(125,'كشف الحساب'!$N$4:$N$203,0),0))),"")</f>
        <v/>
      </c>
      <c r="I129" s="89" t="str">
        <f>IFERROR(IF(IFERROR(MATCH(125,'كشف الحساب'!$N$4:$N$203,0),0)=0,"",INDEX('كشف الحساب'!$I$4:$I$203,IFERROR(MATCH(125,'كشف الحساب'!$N$4:$N$203,0),0))),"")</f>
        <v/>
      </c>
      <c r="J129" s="93" t="str">
        <f>IFERROR(IF(IFERROR(MATCH(125,'كشف الحساب'!$N$4:$N$203,0),0)=0,"",INDEX('كشف الحساب'!$J$4:$J$203,IFERROR(MATCH(125,'كشف الحساب'!$N$4:$N$203,0),0))),"")</f>
        <v/>
      </c>
      <c r="K129" s="89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>
      <c r="A130" s="94" t="str">
        <f>IFERROR(IF(IFERROR(MATCH(126,'كشف الحساب'!$N$4:$N$203,0),0)=0,"",INDEX('كشف الحساب'!$A$4:$A$203,IFERROR(MATCH(126,'كشف الحساب'!$N$4:$N$203,0),0))),"")</f>
        <v/>
      </c>
      <c r="B130" s="95" t="str">
        <f>IFERROR(IF(IFERROR(MATCH(126,'كشف الحساب'!$N$4:$N$203,0),0)=0,"",INDEX('كشف الحساب'!$B$4:$B$203,IFERROR(MATCH(126,'كشف الحساب'!$N$4:$N$203,0),0))),"")</f>
        <v/>
      </c>
      <c r="C130" s="96" t="str">
        <f>IFERROR(IF(IFERROR(MATCH(126,'كشف الحساب'!$N$4:$N$203,0),0)=0,"",INDEX('كشف الحساب'!$C$4:$C$203,IFERROR(MATCH(126,'كشف الحساب'!$N$4:$N$203,0),0))),"")</f>
        <v/>
      </c>
      <c r="D130" s="97" t="str">
        <f>IFERROR(IF(IFERROR(MATCH(126,'كشف الحساب'!$N$4:$N$203,0),0)=0,"",INDEX('كشف الحساب'!$D$4:$D$203,IFERROR(MATCH(126,'كشف الحساب'!$N$4:$N$203,0),0))),"")</f>
        <v/>
      </c>
      <c r="E130" s="98" t="str">
        <f>IFERROR(IF(IFERROR(MATCH(126,'كشف الحساب'!$N$4:$N$203,0),0)=0,"",INDEX('كشف الحساب'!$E$4:$E$203,IFERROR(MATCH(126,'كشف الحساب'!$N$4:$N$203,0),0))),"")</f>
        <v/>
      </c>
      <c r="F130" s="95" t="str">
        <f>IFERROR(IF(IFERROR(MATCH(126,'كشف الحساب'!$N$4:$N$203,0),0)=0,"",INDEX('كشف الحساب'!$F$4:$F$203,IFERROR(MATCH(126,'كشف الحساب'!$N$4:$N$203,0),0))),"")</f>
        <v/>
      </c>
      <c r="G130" s="95" t="str">
        <f>IFERROR(IF(IFERROR(MATCH(126,'كشف الحساب'!$N$4:$N$203,0),0)=0,"",INDEX('كشف الحساب'!$G$4:$G$203,IFERROR(MATCH(126,'كشف الحساب'!$N$4:$N$203,0),0))),"")</f>
        <v/>
      </c>
      <c r="H130" s="95" t="str">
        <f>IFERROR(IF(IFERROR(MATCH(126,'كشف الحساب'!$N$4:$N$203,0),0)=0,"",INDEX('كشف الحساب'!$H$4:$H$203,IFERROR(MATCH(126,'كشف الحساب'!$N$4:$N$203,0),0))),"")</f>
        <v/>
      </c>
      <c r="I130" s="95" t="str">
        <f>IFERROR(IF(IFERROR(MATCH(126,'كشف الحساب'!$N$4:$N$203,0),0)=0,"",INDEX('كشف الحساب'!$I$4:$I$203,IFERROR(MATCH(126,'كشف الحساب'!$N$4:$N$203,0),0))),"")</f>
        <v/>
      </c>
      <c r="J130" s="99" t="str">
        <f>IFERROR(IF(IFERROR(MATCH(126,'كشف الحساب'!$N$4:$N$203,0),0)=0,"",INDEX('كشف الحساب'!$J$4:$J$203,IFERROR(MATCH(126,'كشف الحساب'!$N$4:$N$203,0),0))),"")</f>
        <v/>
      </c>
      <c r="K130" s="95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>
      <c r="A131" s="88" t="str">
        <f>IFERROR(IF(IFERROR(MATCH(127,'كشف الحساب'!$N$4:$N$203,0),0)=0,"",INDEX('كشف الحساب'!$A$4:$A$203,IFERROR(MATCH(127,'كشف الحساب'!$N$4:$N$203,0),0))),"")</f>
        <v/>
      </c>
      <c r="B131" s="89" t="str">
        <f>IFERROR(IF(IFERROR(MATCH(127,'كشف الحساب'!$N$4:$N$203,0),0)=0,"",INDEX('كشف الحساب'!$B$4:$B$203,IFERROR(MATCH(127,'كشف الحساب'!$N$4:$N$203,0),0))),"")</f>
        <v/>
      </c>
      <c r="C131" s="90" t="str">
        <f>IFERROR(IF(IFERROR(MATCH(127,'كشف الحساب'!$N$4:$N$203,0),0)=0,"",INDEX('كشف الحساب'!$C$4:$C$203,IFERROR(MATCH(127,'كشف الحساب'!$N$4:$N$203,0),0))),"")</f>
        <v/>
      </c>
      <c r="D131" s="91" t="str">
        <f>IFERROR(IF(IFERROR(MATCH(127,'كشف الحساب'!$N$4:$N$203,0),0)=0,"",INDEX('كشف الحساب'!$D$4:$D$203,IFERROR(MATCH(127,'كشف الحساب'!$N$4:$N$203,0),0))),"")</f>
        <v/>
      </c>
      <c r="E131" s="92" t="str">
        <f>IFERROR(IF(IFERROR(MATCH(127,'كشف الحساب'!$N$4:$N$203,0),0)=0,"",INDEX('كشف الحساب'!$E$4:$E$203,IFERROR(MATCH(127,'كشف الحساب'!$N$4:$N$203,0),0))),"")</f>
        <v/>
      </c>
      <c r="F131" s="89" t="str">
        <f>IFERROR(IF(IFERROR(MATCH(127,'كشف الحساب'!$N$4:$N$203,0),0)=0,"",INDEX('كشف الحساب'!$F$4:$F$203,IFERROR(MATCH(127,'كشف الحساب'!$N$4:$N$203,0),0))),"")</f>
        <v/>
      </c>
      <c r="G131" s="89" t="str">
        <f>IFERROR(IF(IFERROR(MATCH(127,'كشف الحساب'!$N$4:$N$203,0),0)=0,"",INDEX('كشف الحساب'!$G$4:$G$203,IFERROR(MATCH(127,'كشف الحساب'!$N$4:$N$203,0),0))),"")</f>
        <v/>
      </c>
      <c r="H131" s="89" t="str">
        <f>IFERROR(IF(IFERROR(MATCH(127,'كشف الحساب'!$N$4:$N$203,0),0)=0,"",INDEX('كشف الحساب'!$H$4:$H$203,IFERROR(MATCH(127,'كشف الحساب'!$N$4:$N$203,0),0))),"")</f>
        <v/>
      </c>
      <c r="I131" s="89" t="str">
        <f>IFERROR(IF(IFERROR(MATCH(127,'كشف الحساب'!$N$4:$N$203,0),0)=0,"",INDEX('كشف الحساب'!$I$4:$I$203,IFERROR(MATCH(127,'كشف الحساب'!$N$4:$N$203,0),0))),"")</f>
        <v/>
      </c>
      <c r="J131" s="93" t="str">
        <f>IFERROR(IF(IFERROR(MATCH(127,'كشف الحساب'!$N$4:$N$203,0),0)=0,"",INDEX('كشف الحساب'!$J$4:$J$203,IFERROR(MATCH(127,'كشف الحساب'!$N$4:$N$203,0),0))),"")</f>
        <v/>
      </c>
      <c r="K131" s="89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>
      <c r="A132" s="94" t="str">
        <f>IFERROR(IF(IFERROR(MATCH(128,'كشف الحساب'!$N$4:$N$203,0),0)=0,"",INDEX('كشف الحساب'!$A$4:$A$203,IFERROR(MATCH(128,'كشف الحساب'!$N$4:$N$203,0),0))),"")</f>
        <v/>
      </c>
      <c r="B132" s="95" t="str">
        <f>IFERROR(IF(IFERROR(MATCH(128,'كشف الحساب'!$N$4:$N$203,0),0)=0,"",INDEX('كشف الحساب'!$B$4:$B$203,IFERROR(MATCH(128,'كشف الحساب'!$N$4:$N$203,0),0))),"")</f>
        <v/>
      </c>
      <c r="C132" s="96" t="str">
        <f>IFERROR(IF(IFERROR(MATCH(128,'كشف الحساب'!$N$4:$N$203,0),0)=0,"",INDEX('كشف الحساب'!$C$4:$C$203,IFERROR(MATCH(128,'كشف الحساب'!$N$4:$N$203,0),0))),"")</f>
        <v/>
      </c>
      <c r="D132" s="97" t="str">
        <f>IFERROR(IF(IFERROR(MATCH(128,'كشف الحساب'!$N$4:$N$203,0),0)=0,"",INDEX('كشف الحساب'!$D$4:$D$203,IFERROR(MATCH(128,'كشف الحساب'!$N$4:$N$203,0),0))),"")</f>
        <v/>
      </c>
      <c r="E132" s="98" t="str">
        <f>IFERROR(IF(IFERROR(MATCH(128,'كشف الحساب'!$N$4:$N$203,0),0)=0,"",INDEX('كشف الحساب'!$E$4:$E$203,IFERROR(MATCH(128,'كشف الحساب'!$N$4:$N$203,0),0))),"")</f>
        <v/>
      </c>
      <c r="F132" s="95" t="str">
        <f>IFERROR(IF(IFERROR(MATCH(128,'كشف الحساب'!$N$4:$N$203,0),0)=0,"",INDEX('كشف الحساب'!$F$4:$F$203,IFERROR(MATCH(128,'كشف الحساب'!$N$4:$N$203,0),0))),"")</f>
        <v/>
      </c>
      <c r="G132" s="95" t="str">
        <f>IFERROR(IF(IFERROR(MATCH(128,'كشف الحساب'!$N$4:$N$203,0),0)=0,"",INDEX('كشف الحساب'!$G$4:$G$203,IFERROR(MATCH(128,'كشف الحساب'!$N$4:$N$203,0),0))),"")</f>
        <v/>
      </c>
      <c r="H132" s="95" t="str">
        <f>IFERROR(IF(IFERROR(MATCH(128,'كشف الحساب'!$N$4:$N$203,0),0)=0,"",INDEX('كشف الحساب'!$H$4:$H$203,IFERROR(MATCH(128,'كشف الحساب'!$N$4:$N$203,0),0))),"")</f>
        <v/>
      </c>
      <c r="I132" s="95" t="str">
        <f>IFERROR(IF(IFERROR(MATCH(128,'كشف الحساب'!$N$4:$N$203,0),0)=0,"",INDEX('كشف الحساب'!$I$4:$I$203,IFERROR(MATCH(128,'كشف الحساب'!$N$4:$N$203,0),0))),"")</f>
        <v/>
      </c>
      <c r="J132" s="99" t="str">
        <f>IFERROR(IF(IFERROR(MATCH(128,'كشف الحساب'!$N$4:$N$203,0),0)=0,"",INDEX('كشف الحساب'!$J$4:$J$203,IFERROR(MATCH(128,'كشف الحساب'!$N$4:$N$203,0),0))),"")</f>
        <v/>
      </c>
      <c r="K132" s="95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>
      <c r="A133" s="88" t="str">
        <f>IFERROR(IF(IFERROR(MATCH(129,'كشف الحساب'!$N$4:$N$203,0),0)=0,"",INDEX('كشف الحساب'!$A$4:$A$203,IFERROR(MATCH(129,'كشف الحساب'!$N$4:$N$203,0),0))),"")</f>
        <v/>
      </c>
      <c r="B133" s="89" t="str">
        <f>IFERROR(IF(IFERROR(MATCH(129,'كشف الحساب'!$N$4:$N$203,0),0)=0,"",INDEX('كشف الحساب'!$B$4:$B$203,IFERROR(MATCH(129,'كشف الحساب'!$N$4:$N$203,0),0))),"")</f>
        <v/>
      </c>
      <c r="C133" s="90" t="str">
        <f>IFERROR(IF(IFERROR(MATCH(129,'كشف الحساب'!$N$4:$N$203,0),0)=0,"",INDEX('كشف الحساب'!$C$4:$C$203,IFERROR(MATCH(129,'كشف الحساب'!$N$4:$N$203,0),0))),"")</f>
        <v/>
      </c>
      <c r="D133" s="91" t="str">
        <f>IFERROR(IF(IFERROR(MATCH(129,'كشف الحساب'!$N$4:$N$203,0),0)=0,"",INDEX('كشف الحساب'!$D$4:$D$203,IFERROR(MATCH(129,'كشف الحساب'!$N$4:$N$203,0),0))),"")</f>
        <v/>
      </c>
      <c r="E133" s="92" t="str">
        <f>IFERROR(IF(IFERROR(MATCH(129,'كشف الحساب'!$N$4:$N$203,0),0)=0,"",INDEX('كشف الحساب'!$E$4:$E$203,IFERROR(MATCH(129,'كشف الحساب'!$N$4:$N$203,0),0))),"")</f>
        <v/>
      </c>
      <c r="F133" s="89" t="str">
        <f>IFERROR(IF(IFERROR(MATCH(129,'كشف الحساب'!$N$4:$N$203,0),0)=0,"",INDEX('كشف الحساب'!$F$4:$F$203,IFERROR(MATCH(129,'كشف الحساب'!$N$4:$N$203,0),0))),"")</f>
        <v/>
      </c>
      <c r="G133" s="89" t="str">
        <f>IFERROR(IF(IFERROR(MATCH(129,'كشف الحساب'!$N$4:$N$203,0),0)=0,"",INDEX('كشف الحساب'!$G$4:$G$203,IFERROR(MATCH(129,'كشف الحساب'!$N$4:$N$203,0),0))),"")</f>
        <v/>
      </c>
      <c r="H133" s="89" t="str">
        <f>IFERROR(IF(IFERROR(MATCH(129,'كشف الحساب'!$N$4:$N$203,0),0)=0,"",INDEX('كشف الحساب'!$H$4:$H$203,IFERROR(MATCH(129,'كشف الحساب'!$N$4:$N$203,0),0))),"")</f>
        <v/>
      </c>
      <c r="I133" s="89" t="str">
        <f>IFERROR(IF(IFERROR(MATCH(129,'كشف الحساب'!$N$4:$N$203,0),0)=0,"",INDEX('كشف الحساب'!$I$4:$I$203,IFERROR(MATCH(129,'كشف الحساب'!$N$4:$N$203,0),0))),"")</f>
        <v/>
      </c>
      <c r="J133" s="93" t="str">
        <f>IFERROR(IF(IFERROR(MATCH(129,'كشف الحساب'!$N$4:$N$203,0),0)=0,"",INDEX('كشف الحساب'!$J$4:$J$203,IFERROR(MATCH(129,'كشف الحساب'!$N$4:$N$203,0),0))),"")</f>
        <v/>
      </c>
      <c r="K133" s="89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>
      <c r="A134" s="94" t="str">
        <f>IFERROR(IF(IFERROR(MATCH(130,'كشف الحساب'!$N$4:$N$203,0),0)=0,"",INDEX('كشف الحساب'!$A$4:$A$203,IFERROR(MATCH(130,'كشف الحساب'!$N$4:$N$203,0),0))),"")</f>
        <v/>
      </c>
      <c r="B134" s="95" t="str">
        <f>IFERROR(IF(IFERROR(MATCH(130,'كشف الحساب'!$N$4:$N$203,0),0)=0,"",INDEX('كشف الحساب'!$B$4:$B$203,IFERROR(MATCH(130,'كشف الحساب'!$N$4:$N$203,0),0))),"")</f>
        <v/>
      </c>
      <c r="C134" s="96" t="str">
        <f>IFERROR(IF(IFERROR(MATCH(130,'كشف الحساب'!$N$4:$N$203,0),0)=0,"",INDEX('كشف الحساب'!$C$4:$C$203,IFERROR(MATCH(130,'كشف الحساب'!$N$4:$N$203,0),0))),"")</f>
        <v/>
      </c>
      <c r="D134" s="97" t="str">
        <f>IFERROR(IF(IFERROR(MATCH(130,'كشف الحساب'!$N$4:$N$203,0),0)=0,"",INDEX('كشف الحساب'!$D$4:$D$203,IFERROR(MATCH(130,'كشف الحساب'!$N$4:$N$203,0),0))),"")</f>
        <v/>
      </c>
      <c r="E134" s="98" t="str">
        <f>IFERROR(IF(IFERROR(MATCH(130,'كشف الحساب'!$N$4:$N$203,0),0)=0,"",INDEX('كشف الحساب'!$E$4:$E$203,IFERROR(MATCH(130,'كشف الحساب'!$N$4:$N$203,0),0))),"")</f>
        <v/>
      </c>
      <c r="F134" s="95" t="str">
        <f>IFERROR(IF(IFERROR(MATCH(130,'كشف الحساب'!$N$4:$N$203,0),0)=0,"",INDEX('كشف الحساب'!$F$4:$F$203,IFERROR(MATCH(130,'كشف الحساب'!$N$4:$N$203,0),0))),"")</f>
        <v/>
      </c>
      <c r="G134" s="95" t="str">
        <f>IFERROR(IF(IFERROR(MATCH(130,'كشف الحساب'!$N$4:$N$203,0),0)=0,"",INDEX('كشف الحساب'!$G$4:$G$203,IFERROR(MATCH(130,'كشف الحساب'!$N$4:$N$203,0),0))),"")</f>
        <v/>
      </c>
      <c r="H134" s="95" t="str">
        <f>IFERROR(IF(IFERROR(MATCH(130,'كشف الحساب'!$N$4:$N$203,0),0)=0,"",INDEX('كشف الحساب'!$H$4:$H$203,IFERROR(MATCH(130,'كشف الحساب'!$N$4:$N$203,0),0))),"")</f>
        <v/>
      </c>
      <c r="I134" s="95" t="str">
        <f>IFERROR(IF(IFERROR(MATCH(130,'كشف الحساب'!$N$4:$N$203,0),0)=0,"",INDEX('كشف الحساب'!$I$4:$I$203,IFERROR(MATCH(130,'كشف الحساب'!$N$4:$N$203,0),0))),"")</f>
        <v/>
      </c>
      <c r="J134" s="99" t="str">
        <f>IFERROR(IF(IFERROR(MATCH(130,'كشف الحساب'!$N$4:$N$203,0),0)=0,"",INDEX('كشف الحساب'!$J$4:$J$203,IFERROR(MATCH(130,'كشف الحساب'!$N$4:$N$203,0),0))),"")</f>
        <v/>
      </c>
      <c r="K134" s="95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>
      <c r="A135" s="88" t="str">
        <f>IFERROR(IF(IFERROR(MATCH(131,'كشف الحساب'!$N$4:$N$203,0),0)=0,"",INDEX('كشف الحساب'!$A$4:$A$203,IFERROR(MATCH(131,'كشف الحساب'!$N$4:$N$203,0),0))),"")</f>
        <v/>
      </c>
      <c r="B135" s="89" t="str">
        <f>IFERROR(IF(IFERROR(MATCH(131,'كشف الحساب'!$N$4:$N$203,0),0)=0,"",INDEX('كشف الحساب'!$B$4:$B$203,IFERROR(MATCH(131,'كشف الحساب'!$N$4:$N$203,0),0))),"")</f>
        <v/>
      </c>
      <c r="C135" s="90" t="str">
        <f>IFERROR(IF(IFERROR(MATCH(131,'كشف الحساب'!$N$4:$N$203,0),0)=0,"",INDEX('كشف الحساب'!$C$4:$C$203,IFERROR(MATCH(131,'كشف الحساب'!$N$4:$N$203,0),0))),"")</f>
        <v/>
      </c>
      <c r="D135" s="91" t="str">
        <f>IFERROR(IF(IFERROR(MATCH(131,'كشف الحساب'!$N$4:$N$203,0),0)=0,"",INDEX('كشف الحساب'!$D$4:$D$203,IFERROR(MATCH(131,'كشف الحساب'!$N$4:$N$203,0),0))),"")</f>
        <v/>
      </c>
      <c r="E135" s="92" t="str">
        <f>IFERROR(IF(IFERROR(MATCH(131,'كشف الحساب'!$N$4:$N$203,0),0)=0,"",INDEX('كشف الحساب'!$E$4:$E$203,IFERROR(MATCH(131,'كشف الحساب'!$N$4:$N$203,0),0))),"")</f>
        <v/>
      </c>
      <c r="F135" s="89" t="str">
        <f>IFERROR(IF(IFERROR(MATCH(131,'كشف الحساب'!$N$4:$N$203,0),0)=0,"",INDEX('كشف الحساب'!$F$4:$F$203,IFERROR(MATCH(131,'كشف الحساب'!$N$4:$N$203,0),0))),"")</f>
        <v/>
      </c>
      <c r="G135" s="89" t="str">
        <f>IFERROR(IF(IFERROR(MATCH(131,'كشف الحساب'!$N$4:$N$203,0),0)=0,"",INDEX('كشف الحساب'!$G$4:$G$203,IFERROR(MATCH(131,'كشف الحساب'!$N$4:$N$203,0),0))),"")</f>
        <v/>
      </c>
      <c r="H135" s="89" t="str">
        <f>IFERROR(IF(IFERROR(MATCH(131,'كشف الحساب'!$N$4:$N$203,0),0)=0,"",INDEX('كشف الحساب'!$H$4:$H$203,IFERROR(MATCH(131,'كشف الحساب'!$N$4:$N$203,0),0))),"")</f>
        <v/>
      </c>
      <c r="I135" s="89" t="str">
        <f>IFERROR(IF(IFERROR(MATCH(131,'كشف الحساب'!$N$4:$N$203,0),0)=0,"",INDEX('كشف الحساب'!$I$4:$I$203,IFERROR(MATCH(131,'كشف الحساب'!$N$4:$N$203,0),0))),"")</f>
        <v/>
      </c>
      <c r="J135" s="93" t="str">
        <f>IFERROR(IF(IFERROR(MATCH(131,'كشف الحساب'!$N$4:$N$203,0),0)=0,"",INDEX('كشف الحساب'!$J$4:$J$203,IFERROR(MATCH(131,'كشف الحساب'!$N$4:$N$203,0),0))),"")</f>
        <v/>
      </c>
      <c r="K135" s="89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>
      <c r="A136" s="94" t="str">
        <f>IFERROR(IF(IFERROR(MATCH(132,'كشف الحساب'!$N$4:$N$203,0),0)=0,"",INDEX('كشف الحساب'!$A$4:$A$203,IFERROR(MATCH(132,'كشف الحساب'!$N$4:$N$203,0),0))),"")</f>
        <v/>
      </c>
      <c r="B136" s="95" t="str">
        <f>IFERROR(IF(IFERROR(MATCH(132,'كشف الحساب'!$N$4:$N$203,0),0)=0,"",INDEX('كشف الحساب'!$B$4:$B$203,IFERROR(MATCH(132,'كشف الحساب'!$N$4:$N$203,0),0))),"")</f>
        <v/>
      </c>
      <c r="C136" s="96" t="str">
        <f>IFERROR(IF(IFERROR(MATCH(132,'كشف الحساب'!$N$4:$N$203,0),0)=0,"",INDEX('كشف الحساب'!$C$4:$C$203,IFERROR(MATCH(132,'كشف الحساب'!$N$4:$N$203,0),0))),"")</f>
        <v/>
      </c>
      <c r="D136" s="97" t="str">
        <f>IFERROR(IF(IFERROR(MATCH(132,'كشف الحساب'!$N$4:$N$203,0),0)=0,"",INDEX('كشف الحساب'!$D$4:$D$203,IFERROR(MATCH(132,'كشف الحساب'!$N$4:$N$203,0),0))),"")</f>
        <v/>
      </c>
      <c r="E136" s="98" t="str">
        <f>IFERROR(IF(IFERROR(MATCH(132,'كشف الحساب'!$N$4:$N$203,0),0)=0,"",INDEX('كشف الحساب'!$E$4:$E$203,IFERROR(MATCH(132,'كشف الحساب'!$N$4:$N$203,0),0))),"")</f>
        <v/>
      </c>
      <c r="F136" s="95" t="str">
        <f>IFERROR(IF(IFERROR(MATCH(132,'كشف الحساب'!$N$4:$N$203,0),0)=0,"",INDEX('كشف الحساب'!$F$4:$F$203,IFERROR(MATCH(132,'كشف الحساب'!$N$4:$N$203,0),0))),"")</f>
        <v/>
      </c>
      <c r="G136" s="95" t="str">
        <f>IFERROR(IF(IFERROR(MATCH(132,'كشف الحساب'!$N$4:$N$203,0),0)=0,"",INDEX('كشف الحساب'!$G$4:$G$203,IFERROR(MATCH(132,'كشف الحساب'!$N$4:$N$203,0),0))),"")</f>
        <v/>
      </c>
      <c r="H136" s="95" t="str">
        <f>IFERROR(IF(IFERROR(MATCH(132,'كشف الحساب'!$N$4:$N$203,0),0)=0,"",INDEX('كشف الحساب'!$H$4:$H$203,IFERROR(MATCH(132,'كشف الحساب'!$N$4:$N$203,0),0))),"")</f>
        <v/>
      </c>
      <c r="I136" s="95" t="str">
        <f>IFERROR(IF(IFERROR(MATCH(132,'كشف الحساب'!$N$4:$N$203,0),0)=0,"",INDEX('كشف الحساب'!$I$4:$I$203,IFERROR(MATCH(132,'كشف الحساب'!$N$4:$N$203,0),0))),"")</f>
        <v/>
      </c>
      <c r="J136" s="99" t="str">
        <f>IFERROR(IF(IFERROR(MATCH(132,'كشف الحساب'!$N$4:$N$203,0),0)=0,"",INDEX('كشف الحساب'!$J$4:$J$203,IFERROR(MATCH(132,'كشف الحساب'!$N$4:$N$203,0),0))),"")</f>
        <v/>
      </c>
      <c r="K136" s="95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>
      <c r="A137" s="88" t="str">
        <f>IFERROR(IF(IFERROR(MATCH(133,'كشف الحساب'!$N$4:$N$203,0),0)=0,"",INDEX('كشف الحساب'!$A$4:$A$203,IFERROR(MATCH(133,'كشف الحساب'!$N$4:$N$203,0),0))),"")</f>
        <v/>
      </c>
      <c r="B137" s="89" t="str">
        <f>IFERROR(IF(IFERROR(MATCH(133,'كشف الحساب'!$N$4:$N$203,0),0)=0,"",INDEX('كشف الحساب'!$B$4:$B$203,IFERROR(MATCH(133,'كشف الحساب'!$N$4:$N$203,0),0))),"")</f>
        <v/>
      </c>
      <c r="C137" s="90" t="str">
        <f>IFERROR(IF(IFERROR(MATCH(133,'كشف الحساب'!$N$4:$N$203,0),0)=0,"",INDEX('كشف الحساب'!$C$4:$C$203,IFERROR(MATCH(133,'كشف الحساب'!$N$4:$N$203,0),0))),"")</f>
        <v/>
      </c>
      <c r="D137" s="91" t="str">
        <f>IFERROR(IF(IFERROR(MATCH(133,'كشف الحساب'!$N$4:$N$203,0),0)=0,"",INDEX('كشف الحساب'!$D$4:$D$203,IFERROR(MATCH(133,'كشف الحساب'!$N$4:$N$203,0),0))),"")</f>
        <v/>
      </c>
      <c r="E137" s="92" t="str">
        <f>IFERROR(IF(IFERROR(MATCH(133,'كشف الحساب'!$N$4:$N$203,0),0)=0,"",INDEX('كشف الحساب'!$E$4:$E$203,IFERROR(MATCH(133,'كشف الحساب'!$N$4:$N$203,0),0))),"")</f>
        <v/>
      </c>
      <c r="F137" s="89" t="str">
        <f>IFERROR(IF(IFERROR(MATCH(133,'كشف الحساب'!$N$4:$N$203,0),0)=0,"",INDEX('كشف الحساب'!$F$4:$F$203,IFERROR(MATCH(133,'كشف الحساب'!$N$4:$N$203,0),0))),"")</f>
        <v/>
      </c>
      <c r="G137" s="89" t="str">
        <f>IFERROR(IF(IFERROR(MATCH(133,'كشف الحساب'!$N$4:$N$203,0),0)=0,"",INDEX('كشف الحساب'!$G$4:$G$203,IFERROR(MATCH(133,'كشف الحساب'!$N$4:$N$203,0),0))),"")</f>
        <v/>
      </c>
      <c r="H137" s="89" t="str">
        <f>IFERROR(IF(IFERROR(MATCH(133,'كشف الحساب'!$N$4:$N$203,0),0)=0,"",INDEX('كشف الحساب'!$H$4:$H$203,IFERROR(MATCH(133,'كشف الحساب'!$N$4:$N$203,0),0))),"")</f>
        <v/>
      </c>
      <c r="I137" s="89" t="str">
        <f>IFERROR(IF(IFERROR(MATCH(133,'كشف الحساب'!$N$4:$N$203,0),0)=0,"",INDEX('كشف الحساب'!$I$4:$I$203,IFERROR(MATCH(133,'كشف الحساب'!$N$4:$N$203,0),0))),"")</f>
        <v/>
      </c>
      <c r="J137" s="93" t="str">
        <f>IFERROR(IF(IFERROR(MATCH(133,'كشف الحساب'!$N$4:$N$203,0),0)=0,"",INDEX('كشف الحساب'!$J$4:$J$203,IFERROR(MATCH(133,'كشف الحساب'!$N$4:$N$203,0),0))),"")</f>
        <v/>
      </c>
      <c r="K137" s="89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>
      <c r="A138" s="94" t="str">
        <f>IFERROR(IF(IFERROR(MATCH(134,'كشف الحساب'!$N$4:$N$203,0),0)=0,"",INDEX('كشف الحساب'!$A$4:$A$203,IFERROR(MATCH(134,'كشف الحساب'!$N$4:$N$203,0),0))),"")</f>
        <v/>
      </c>
      <c r="B138" s="95" t="str">
        <f>IFERROR(IF(IFERROR(MATCH(134,'كشف الحساب'!$N$4:$N$203,0),0)=0,"",INDEX('كشف الحساب'!$B$4:$B$203,IFERROR(MATCH(134,'كشف الحساب'!$N$4:$N$203,0),0))),"")</f>
        <v/>
      </c>
      <c r="C138" s="96" t="str">
        <f>IFERROR(IF(IFERROR(MATCH(134,'كشف الحساب'!$N$4:$N$203,0),0)=0,"",INDEX('كشف الحساب'!$C$4:$C$203,IFERROR(MATCH(134,'كشف الحساب'!$N$4:$N$203,0),0))),"")</f>
        <v/>
      </c>
      <c r="D138" s="97" t="str">
        <f>IFERROR(IF(IFERROR(MATCH(134,'كشف الحساب'!$N$4:$N$203,0),0)=0,"",INDEX('كشف الحساب'!$D$4:$D$203,IFERROR(MATCH(134,'كشف الحساب'!$N$4:$N$203,0),0))),"")</f>
        <v/>
      </c>
      <c r="E138" s="98" t="str">
        <f>IFERROR(IF(IFERROR(MATCH(134,'كشف الحساب'!$N$4:$N$203,0),0)=0,"",INDEX('كشف الحساب'!$E$4:$E$203,IFERROR(MATCH(134,'كشف الحساب'!$N$4:$N$203,0),0))),"")</f>
        <v/>
      </c>
      <c r="F138" s="95" t="str">
        <f>IFERROR(IF(IFERROR(MATCH(134,'كشف الحساب'!$N$4:$N$203,0),0)=0,"",INDEX('كشف الحساب'!$F$4:$F$203,IFERROR(MATCH(134,'كشف الحساب'!$N$4:$N$203,0),0))),"")</f>
        <v/>
      </c>
      <c r="G138" s="95" t="str">
        <f>IFERROR(IF(IFERROR(MATCH(134,'كشف الحساب'!$N$4:$N$203,0),0)=0,"",INDEX('كشف الحساب'!$G$4:$G$203,IFERROR(MATCH(134,'كشف الحساب'!$N$4:$N$203,0),0))),"")</f>
        <v/>
      </c>
      <c r="H138" s="95" t="str">
        <f>IFERROR(IF(IFERROR(MATCH(134,'كشف الحساب'!$N$4:$N$203,0),0)=0,"",INDEX('كشف الحساب'!$H$4:$H$203,IFERROR(MATCH(134,'كشف الحساب'!$N$4:$N$203,0),0))),"")</f>
        <v/>
      </c>
      <c r="I138" s="95" t="str">
        <f>IFERROR(IF(IFERROR(MATCH(134,'كشف الحساب'!$N$4:$N$203,0),0)=0,"",INDEX('كشف الحساب'!$I$4:$I$203,IFERROR(MATCH(134,'كشف الحساب'!$N$4:$N$203,0),0))),"")</f>
        <v/>
      </c>
      <c r="J138" s="99" t="str">
        <f>IFERROR(IF(IFERROR(MATCH(134,'كشف الحساب'!$N$4:$N$203,0),0)=0,"",INDEX('كشف الحساب'!$J$4:$J$203,IFERROR(MATCH(134,'كشف الحساب'!$N$4:$N$203,0),0))),"")</f>
        <v/>
      </c>
      <c r="K138" s="95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>
      <c r="A139" s="88" t="str">
        <f>IFERROR(IF(IFERROR(MATCH(135,'كشف الحساب'!$N$4:$N$203,0),0)=0,"",INDEX('كشف الحساب'!$A$4:$A$203,IFERROR(MATCH(135,'كشف الحساب'!$N$4:$N$203,0),0))),"")</f>
        <v/>
      </c>
      <c r="B139" s="89" t="str">
        <f>IFERROR(IF(IFERROR(MATCH(135,'كشف الحساب'!$N$4:$N$203,0),0)=0,"",INDEX('كشف الحساب'!$B$4:$B$203,IFERROR(MATCH(135,'كشف الحساب'!$N$4:$N$203,0),0))),"")</f>
        <v/>
      </c>
      <c r="C139" s="90" t="str">
        <f>IFERROR(IF(IFERROR(MATCH(135,'كشف الحساب'!$N$4:$N$203,0),0)=0,"",INDEX('كشف الحساب'!$C$4:$C$203,IFERROR(MATCH(135,'كشف الحساب'!$N$4:$N$203,0),0))),"")</f>
        <v/>
      </c>
      <c r="D139" s="91" t="str">
        <f>IFERROR(IF(IFERROR(MATCH(135,'كشف الحساب'!$N$4:$N$203,0),0)=0,"",INDEX('كشف الحساب'!$D$4:$D$203,IFERROR(MATCH(135,'كشف الحساب'!$N$4:$N$203,0),0))),"")</f>
        <v/>
      </c>
      <c r="E139" s="92" t="str">
        <f>IFERROR(IF(IFERROR(MATCH(135,'كشف الحساب'!$N$4:$N$203,0),0)=0,"",INDEX('كشف الحساب'!$E$4:$E$203,IFERROR(MATCH(135,'كشف الحساب'!$N$4:$N$203,0),0))),"")</f>
        <v/>
      </c>
      <c r="F139" s="89" t="str">
        <f>IFERROR(IF(IFERROR(MATCH(135,'كشف الحساب'!$N$4:$N$203,0),0)=0,"",INDEX('كشف الحساب'!$F$4:$F$203,IFERROR(MATCH(135,'كشف الحساب'!$N$4:$N$203,0),0))),"")</f>
        <v/>
      </c>
      <c r="G139" s="89" t="str">
        <f>IFERROR(IF(IFERROR(MATCH(135,'كشف الحساب'!$N$4:$N$203,0),0)=0,"",INDEX('كشف الحساب'!$G$4:$G$203,IFERROR(MATCH(135,'كشف الحساب'!$N$4:$N$203,0),0))),"")</f>
        <v/>
      </c>
      <c r="H139" s="89" t="str">
        <f>IFERROR(IF(IFERROR(MATCH(135,'كشف الحساب'!$N$4:$N$203,0),0)=0,"",INDEX('كشف الحساب'!$H$4:$H$203,IFERROR(MATCH(135,'كشف الحساب'!$N$4:$N$203,0),0))),"")</f>
        <v/>
      </c>
      <c r="I139" s="89" t="str">
        <f>IFERROR(IF(IFERROR(MATCH(135,'كشف الحساب'!$N$4:$N$203,0),0)=0,"",INDEX('كشف الحساب'!$I$4:$I$203,IFERROR(MATCH(135,'كشف الحساب'!$N$4:$N$203,0),0))),"")</f>
        <v/>
      </c>
      <c r="J139" s="93" t="str">
        <f>IFERROR(IF(IFERROR(MATCH(135,'كشف الحساب'!$N$4:$N$203,0),0)=0,"",INDEX('كشف الحساب'!$J$4:$J$203,IFERROR(MATCH(135,'كشف الحساب'!$N$4:$N$203,0),0))),"")</f>
        <v/>
      </c>
      <c r="K139" s="89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>
      <c r="A140" s="94" t="str">
        <f>IFERROR(IF(IFERROR(MATCH(136,'كشف الحساب'!$N$4:$N$203,0),0)=0,"",INDEX('كشف الحساب'!$A$4:$A$203,IFERROR(MATCH(136,'كشف الحساب'!$N$4:$N$203,0),0))),"")</f>
        <v/>
      </c>
      <c r="B140" s="95" t="str">
        <f>IFERROR(IF(IFERROR(MATCH(136,'كشف الحساب'!$N$4:$N$203,0),0)=0,"",INDEX('كشف الحساب'!$B$4:$B$203,IFERROR(MATCH(136,'كشف الحساب'!$N$4:$N$203,0),0))),"")</f>
        <v/>
      </c>
      <c r="C140" s="96" t="str">
        <f>IFERROR(IF(IFERROR(MATCH(136,'كشف الحساب'!$N$4:$N$203,0),0)=0,"",INDEX('كشف الحساب'!$C$4:$C$203,IFERROR(MATCH(136,'كشف الحساب'!$N$4:$N$203,0),0))),"")</f>
        <v/>
      </c>
      <c r="D140" s="97" t="str">
        <f>IFERROR(IF(IFERROR(MATCH(136,'كشف الحساب'!$N$4:$N$203,0),0)=0,"",INDEX('كشف الحساب'!$D$4:$D$203,IFERROR(MATCH(136,'كشف الحساب'!$N$4:$N$203,0),0))),"")</f>
        <v/>
      </c>
      <c r="E140" s="98" t="str">
        <f>IFERROR(IF(IFERROR(MATCH(136,'كشف الحساب'!$N$4:$N$203,0),0)=0,"",INDEX('كشف الحساب'!$E$4:$E$203,IFERROR(MATCH(136,'كشف الحساب'!$N$4:$N$203,0),0))),"")</f>
        <v/>
      </c>
      <c r="F140" s="95" t="str">
        <f>IFERROR(IF(IFERROR(MATCH(136,'كشف الحساب'!$N$4:$N$203,0),0)=0,"",INDEX('كشف الحساب'!$F$4:$F$203,IFERROR(MATCH(136,'كشف الحساب'!$N$4:$N$203,0),0))),"")</f>
        <v/>
      </c>
      <c r="G140" s="95" t="str">
        <f>IFERROR(IF(IFERROR(MATCH(136,'كشف الحساب'!$N$4:$N$203,0),0)=0,"",INDEX('كشف الحساب'!$G$4:$G$203,IFERROR(MATCH(136,'كشف الحساب'!$N$4:$N$203,0),0))),"")</f>
        <v/>
      </c>
      <c r="H140" s="95" t="str">
        <f>IFERROR(IF(IFERROR(MATCH(136,'كشف الحساب'!$N$4:$N$203,0),0)=0,"",INDEX('كشف الحساب'!$H$4:$H$203,IFERROR(MATCH(136,'كشف الحساب'!$N$4:$N$203,0),0))),"")</f>
        <v/>
      </c>
      <c r="I140" s="95" t="str">
        <f>IFERROR(IF(IFERROR(MATCH(136,'كشف الحساب'!$N$4:$N$203,0),0)=0,"",INDEX('كشف الحساب'!$I$4:$I$203,IFERROR(MATCH(136,'كشف الحساب'!$N$4:$N$203,0),0))),"")</f>
        <v/>
      </c>
      <c r="J140" s="99" t="str">
        <f>IFERROR(IF(IFERROR(MATCH(136,'كشف الحساب'!$N$4:$N$203,0),0)=0,"",INDEX('كشف الحساب'!$J$4:$J$203,IFERROR(MATCH(136,'كشف الحساب'!$N$4:$N$203,0),0))),"")</f>
        <v/>
      </c>
      <c r="K140" s="95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>
      <c r="A141" s="88" t="str">
        <f>IFERROR(IF(IFERROR(MATCH(137,'كشف الحساب'!$N$4:$N$203,0),0)=0,"",INDEX('كشف الحساب'!$A$4:$A$203,IFERROR(MATCH(137,'كشف الحساب'!$N$4:$N$203,0),0))),"")</f>
        <v/>
      </c>
      <c r="B141" s="89" t="str">
        <f>IFERROR(IF(IFERROR(MATCH(137,'كشف الحساب'!$N$4:$N$203,0),0)=0,"",INDEX('كشف الحساب'!$B$4:$B$203,IFERROR(MATCH(137,'كشف الحساب'!$N$4:$N$203,0),0))),"")</f>
        <v/>
      </c>
      <c r="C141" s="90" t="str">
        <f>IFERROR(IF(IFERROR(MATCH(137,'كشف الحساب'!$N$4:$N$203,0),0)=0,"",INDEX('كشف الحساب'!$C$4:$C$203,IFERROR(MATCH(137,'كشف الحساب'!$N$4:$N$203,0),0))),"")</f>
        <v/>
      </c>
      <c r="D141" s="91" t="str">
        <f>IFERROR(IF(IFERROR(MATCH(137,'كشف الحساب'!$N$4:$N$203,0),0)=0,"",INDEX('كشف الحساب'!$D$4:$D$203,IFERROR(MATCH(137,'كشف الحساب'!$N$4:$N$203,0),0))),"")</f>
        <v/>
      </c>
      <c r="E141" s="92" t="str">
        <f>IFERROR(IF(IFERROR(MATCH(137,'كشف الحساب'!$N$4:$N$203,0),0)=0,"",INDEX('كشف الحساب'!$E$4:$E$203,IFERROR(MATCH(137,'كشف الحساب'!$N$4:$N$203,0),0))),"")</f>
        <v/>
      </c>
      <c r="F141" s="89" t="str">
        <f>IFERROR(IF(IFERROR(MATCH(137,'كشف الحساب'!$N$4:$N$203,0),0)=0,"",INDEX('كشف الحساب'!$F$4:$F$203,IFERROR(MATCH(137,'كشف الحساب'!$N$4:$N$203,0),0))),"")</f>
        <v/>
      </c>
      <c r="G141" s="89" t="str">
        <f>IFERROR(IF(IFERROR(MATCH(137,'كشف الحساب'!$N$4:$N$203,0),0)=0,"",INDEX('كشف الحساب'!$G$4:$G$203,IFERROR(MATCH(137,'كشف الحساب'!$N$4:$N$203,0),0))),"")</f>
        <v/>
      </c>
      <c r="H141" s="89" t="str">
        <f>IFERROR(IF(IFERROR(MATCH(137,'كشف الحساب'!$N$4:$N$203,0),0)=0,"",INDEX('كشف الحساب'!$H$4:$H$203,IFERROR(MATCH(137,'كشف الحساب'!$N$4:$N$203,0),0))),"")</f>
        <v/>
      </c>
      <c r="I141" s="89" t="str">
        <f>IFERROR(IF(IFERROR(MATCH(137,'كشف الحساب'!$N$4:$N$203,0),0)=0,"",INDEX('كشف الحساب'!$I$4:$I$203,IFERROR(MATCH(137,'كشف الحساب'!$N$4:$N$203,0),0))),"")</f>
        <v/>
      </c>
      <c r="J141" s="93" t="str">
        <f>IFERROR(IF(IFERROR(MATCH(137,'كشف الحساب'!$N$4:$N$203,0),0)=0,"",INDEX('كشف الحساب'!$J$4:$J$203,IFERROR(MATCH(137,'كشف الحساب'!$N$4:$N$203,0),0))),"")</f>
        <v/>
      </c>
      <c r="K141" s="89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>
      <c r="A142" s="94" t="str">
        <f>IFERROR(IF(IFERROR(MATCH(138,'كشف الحساب'!$N$4:$N$203,0),0)=0,"",INDEX('كشف الحساب'!$A$4:$A$203,IFERROR(MATCH(138,'كشف الحساب'!$N$4:$N$203,0),0))),"")</f>
        <v/>
      </c>
      <c r="B142" s="95" t="str">
        <f>IFERROR(IF(IFERROR(MATCH(138,'كشف الحساب'!$N$4:$N$203,0),0)=0,"",INDEX('كشف الحساب'!$B$4:$B$203,IFERROR(MATCH(138,'كشف الحساب'!$N$4:$N$203,0),0))),"")</f>
        <v/>
      </c>
      <c r="C142" s="96" t="str">
        <f>IFERROR(IF(IFERROR(MATCH(138,'كشف الحساب'!$N$4:$N$203,0),0)=0,"",INDEX('كشف الحساب'!$C$4:$C$203,IFERROR(MATCH(138,'كشف الحساب'!$N$4:$N$203,0),0))),"")</f>
        <v/>
      </c>
      <c r="D142" s="97" t="str">
        <f>IFERROR(IF(IFERROR(MATCH(138,'كشف الحساب'!$N$4:$N$203,0),0)=0,"",INDEX('كشف الحساب'!$D$4:$D$203,IFERROR(MATCH(138,'كشف الحساب'!$N$4:$N$203,0),0))),"")</f>
        <v/>
      </c>
      <c r="E142" s="98" t="str">
        <f>IFERROR(IF(IFERROR(MATCH(138,'كشف الحساب'!$N$4:$N$203,0),0)=0,"",INDEX('كشف الحساب'!$E$4:$E$203,IFERROR(MATCH(138,'كشف الحساب'!$N$4:$N$203,0),0))),"")</f>
        <v/>
      </c>
      <c r="F142" s="95" t="str">
        <f>IFERROR(IF(IFERROR(MATCH(138,'كشف الحساب'!$N$4:$N$203,0),0)=0,"",INDEX('كشف الحساب'!$F$4:$F$203,IFERROR(MATCH(138,'كشف الحساب'!$N$4:$N$203,0),0))),"")</f>
        <v/>
      </c>
      <c r="G142" s="95" t="str">
        <f>IFERROR(IF(IFERROR(MATCH(138,'كشف الحساب'!$N$4:$N$203,0),0)=0,"",INDEX('كشف الحساب'!$G$4:$G$203,IFERROR(MATCH(138,'كشف الحساب'!$N$4:$N$203,0),0))),"")</f>
        <v/>
      </c>
      <c r="H142" s="95" t="str">
        <f>IFERROR(IF(IFERROR(MATCH(138,'كشف الحساب'!$N$4:$N$203,0),0)=0,"",INDEX('كشف الحساب'!$H$4:$H$203,IFERROR(MATCH(138,'كشف الحساب'!$N$4:$N$203,0),0))),"")</f>
        <v/>
      </c>
      <c r="I142" s="95" t="str">
        <f>IFERROR(IF(IFERROR(MATCH(138,'كشف الحساب'!$N$4:$N$203,0),0)=0,"",INDEX('كشف الحساب'!$I$4:$I$203,IFERROR(MATCH(138,'كشف الحساب'!$N$4:$N$203,0),0))),"")</f>
        <v/>
      </c>
      <c r="J142" s="99" t="str">
        <f>IFERROR(IF(IFERROR(MATCH(138,'كشف الحساب'!$N$4:$N$203,0),0)=0,"",INDEX('كشف الحساب'!$J$4:$J$203,IFERROR(MATCH(138,'كشف الحساب'!$N$4:$N$203,0),0))),"")</f>
        <v/>
      </c>
      <c r="K142" s="95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>
      <c r="A143" s="88" t="str">
        <f>IFERROR(IF(IFERROR(MATCH(139,'كشف الحساب'!$N$4:$N$203,0),0)=0,"",INDEX('كشف الحساب'!$A$4:$A$203,IFERROR(MATCH(139,'كشف الحساب'!$N$4:$N$203,0),0))),"")</f>
        <v/>
      </c>
      <c r="B143" s="89" t="str">
        <f>IFERROR(IF(IFERROR(MATCH(139,'كشف الحساب'!$N$4:$N$203,0),0)=0,"",INDEX('كشف الحساب'!$B$4:$B$203,IFERROR(MATCH(139,'كشف الحساب'!$N$4:$N$203,0),0))),"")</f>
        <v/>
      </c>
      <c r="C143" s="90" t="str">
        <f>IFERROR(IF(IFERROR(MATCH(139,'كشف الحساب'!$N$4:$N$203,0),0)=0,"",INDEX('كشف الحساب'!$C$4:$C$203,IFERROR(MATCH(139,'كشف الحساب'!$N$4:$N$203,0),0))),"")</f>
        <v/>
      </c>
      <c r="D143" s="91" t="str">
        <f>IFERROR(IF(IFERROR(MATCH(139,'كشف الحساب'!$N$4:$N$203,0),0)=0,"",INDEX('كشف الحساب'!$D$4:$D$203,IFERROR(MATCH(139,'كشف الحساب'!$N$4:$N$203,0),0))),"")</f>
        <v/>
      </c>
      <c r="E143" s="92" t="str">
        <f>IFERROR(IF(IFERROR(MATCH(139,'كشف الحساب'!$N$4:$N$203,0),0)=0,"",INDEX('كشف الحساب'!$E$4:$E$203,IFERROR(MATCH(139,'كشف الحساب'!$N$4:$N$203,0),0))),"")</f>
        <v/>
      </c>
      <c r="F143" s="89" t="str">
        <f>IFERROR(IF(IFERROR(MATCH(139,'كشف الحساب'!$N$4:$N$203,0),0)=0,"",INDEX('كشف الحساب'!$F$4:$F$203,IFERROR(MATCH(139,'كشف الحساب'!$N$4:$N$203,0),0))),"")</f>
        <v/>
      </c>
      <c r="G143" s="89" t="str">
        <f>IFERROR(IF(IFERROR(MATCH(139,'كشف الحساب'!$N$4:$N$203,0),0)=0,"",INDEX('كشف الحساب'!$G$4:$G$203,IFERROR(MATCH(139,'كشف الحساب'!$N$4:$N$203,0),0))),"")</f>
        <v/>
      </c>
      <c r="H143" s="89" t="str">
        <f>IFERROR(IF(IFERROR(MATCH(139,'كشف الحساب'!$N$4:$N$203,0),0)=0,"",INDEX('كشف الحساب'!$H$4:$H$203,IFERROR(MATCH(139,'كشف الحساب'!$N$4:$N$203,0),0))),"")</f>
        <v/>
      </c>
      <c r="I143" s="89" t="str">
        <f>IFERROR(IF(IFERROR(MATCH(139,'كشف الحساب'!$N$4:$N$203,0),0)=0,"",INDEX('كشف الحساب'!$I$4:$I$203,IFERROR(MATCH(139,'كشف الحساب'!$N$4:$N$203,0),0))),"")</f>
        <v/>
      </c>
      <c r="J143" s="93" t="str">
        <f>IFERROR(IF(IFERROR(MATCH(139,'كشف الحساب'!$N$4:$N$203,0),0)=0,"",INDEX('كشف الحساب'!$J$4:$J$203,IFERROR(MATCH(139,'كشف الحساب'!$N$4:$N$203,0),0))),"")</f>
        <v/>
      </c>
      <c r="K143" s="89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>
      <c r="A144" s="94" t="str">
        <f>IFERROR(IF(IFERROR(MATCH(140,'كشف الحساب'!$N$4:$N$203,0),0)=0,"",INDEX('كشف الحساب'!$A$4:$A$203,IFERROR(MATCH(140,'كشف الحساب'!$N$4:$N$203,0),0))),"")</f>
        <v/>
      </c>
      <c r="B144" s="95" t="str">
        <f>IFERROR(IF(IFERROR(MATCH(140,'كشف الحساب'!$N$4:$N$203,0),0)=0,"",INDEX('كشف الحساب'!$B$4:$B$203,IFERROR(MATCH(140,'كشف الحساب'!$N$4:$N$203,0),0))),"")</f>
        <v/>
      </c>
      <c r="C144" s="96" t="str">
        <f>IFERROR(IF(IFERROR(MATCH(140,'كشف الحساب'!$N$4:$N$203,0),0)=0,"",INDEX('كشف الحساب'!$C$4:$C$203,IFERROR(MATCH(140,'كشف الحساب'!$N$4:$N$203,0),0))),"")</f>
        <v/>
      </c>
      <c r="D144" s="97" t="str">
        <f>IFERROR(IF(IFERROR(MATCH(140,'كشف الحساب'!$N$4:$N$203,0),0)=0,"",INDEX('كشف الحساب'!$D$4:$D$203,IFERROR(MATCH(140,'كشف الحساب'!$N$4:$N$203,0),0))),"")</f>
        <v/>
      </c>
      <c r="E144" s="98" t="str">
        <f>IFERROR(IF(IFERROR(MATCH(140,'كشف الحساب'!$N$4:$N$203,0),0)=0,"",INDEX('كشف الحساب'!$E$4:$E$203,IFERROR(MATCH(140,'كشف الحساب'!$N$4:$N$203,0),0))),"")</f>
        <v/>
      </c>
      <c r="F144" s="95" t="str">
        <f>IFERROR(IF(IFERROR(MATCH(140,'كشف الحساب'!$N$4:$N$203,0),0)=0,"",INDEX('كشف الحساب'!$F$4:$F$203,IFERROR(MATCH(140,'كشف الحساب'!$N$4:$N$203,0),0))),"")</f>
        <v/>
      </c>
      <c r="G144" s="95" t="str">
        <f>IFERROR(IF(IFERROR(MATCH(140,'كشف الحساب'!$N$4:$N$203,0),0)=0,"",INDEX('كشف الحساب'!$G$4:$G$203,IFERROR(MATCH(140,'كشف الحساب'!$N$4:$N$203,0),0))),"")</f>
        <v/>
      </c>
      <c r="H144" s="95" t="str">
        <f>IFERROR(IF(IFERROR(MATCH(140,'كشف الحساب'!$N$4:$N$203,0),0)=0,"",INDEX('كشف الحساب'!$H$4:$H$203,IFERROR(MATCH(140,'كشف الحساب'!$N$4:$N$203,0),0))),"")</f>
        <v/>
      </c>
      <c r="I144" s="95" t="str">
        <f>IFERROR(IF(IFERROR(MATCH(140,'كشف الحساب'!$N$4:$N$203,0),0)=0,"",INDEX('كشف الحساب'!$I$4:$I$203,IFERROR(MATCH(140,'كشف الحساب'!$N$4:$N$203,0),0))),"")</f>
        <v/>
      </c>
      <c r="J144" s="99" t="str">
        <f>IFERROR(IF(IFERROR(MATCH(140,'كشف الحساب'!$N$4:$N$203,0),0)=0,"",INDEX('كشف الحساب'!$J$4:$J$203,IFERROR(MATCH(140,'كشف الحساب'!$N$4:$N$203,0),0))),"")</f>
        <v/>
      </c>
      <c r="K144" s="95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>
      <c r="A145" s="88" t="str">
        <f>IFERROR(IF(IFERROR(MATCH(141,'كشف الحساب'!$N$4:$N$203,0),0)=0,"",INDEX('كشف الحساب'!$A$4:$A$203,IFERROR(MATCH(141,'كشف الحساب'!$N$4:$N$203,0),0))),"")</f>
        <v/>
      </c>
      <c r="B145" s="89" t="str">
        <f>IFERROR(IF(IFERROR(MATCH(141,'كشف الحساب'!$N$4:$N$203,0),0)=0,"",INDEX('كشف الحساب'!$B$4:$B$203,IFERROR(MATCH(141,'كشف الحساب'!$N$4:$N$203,0),0))),"")</f>
        <v/>
      </c>
      <c r="C145" s="90" t="str">
        <f>IFERROR(IF(IFERROR(MATCH(141,'كشف الحساب'!$N$4:$N$203,0),0)=0,"",INDEX('كشف الحساب'!$C$4:$C$203,IFERROR(MATCH(141,'كشف الحساب'!$N$4:$N$203,0),0))),"")</f>
        <v/>
      </c>
      <c r="D145" s="91" t="str">
        <f>IFERROR(IF(IFERROR(MATCH(141,'كشف الحساب'!$N$4:$N$203,0),0)=0,"",INDEX('كشف الحساب'!$D$4:$D$203,IFERROR(MATCH(141,'كشف الحساب'!$N$4:$N$203,0),0))),"")</f>
        <v/>
      </c>
      <c r="E145" s="92" t="str">
        <f>IFERROR(IF(IFERROR(MATCH(141,'كشف الحساب'!$N$4:$N$203,0),0)=0,"",INDEX('كشف الحساب'!$E$4:$E$203,IFERROR(MATCH(141,'كشف الحساب'!$N$4:$N$203,0),0))),"")</f>
        <v/>
      </c>
      <c r="F145" s="89" t="str">
        <f>IFERROR(IF(IFERROR(MATCH(141,'كشف الحساب'!$N$4:$N$203,0),0)=0,"",INDEX('كشف الحساب'!$F$4:$F$203,IFERROR(MATCH(141,'كشف الحساب'!$N$4:$N$203,0),0))),"")</f>
        <v/>
      </c>
      <c r="G145" s="89" t="str">
        <f>IFERROR(IF(IFERROR(MATCH(141,'كشف الحساب'!$N$4:$N$203,0),0)=0,"",INDEX('كشف الحساب'!$G$4:$G$203,IFERROR(MATCH(141,'كشف الحساب'!$N$4:$N$203,0),0))),"")</f>
        <v/>
      </c>
      <c r="H145" s="89" t="str">
        <f>IFERROR(IF(IFERROR(MATCH(141,'كشف الحساب'!$N$4:$N$203,0),0)=0,"",INDEX('كشف الحساب'!$H$4:$H$203,IFERROR(MATCH(141,'كشف الحساب'!$N$4:$N$203,0),0))),"")</f>
        <v/>
      </c>
      <c r="I145" s="89" t="str">
        <f>IFERROR(IF(IFERROR(MATCH(141,'كشف الحساب'!$N$4:$N$203,0),0)=0,"",INDEX('كشف الحساب'!$I$4:$I$203,IFERROR(MATCH(141,'كشف الحساب'!$N$4:$N$203,0),0))),"")</f>
        <v/>
      </c>
      <c r="J145" s="93" t="str">
        <f>IFERROR(IF(IFERROR(MATCH(141,'كشف الحساب'!$N$4:$N$203,0),0)=0,"",INDEX('كشف الحساب'!$J$4:$J$203,IFERROR(MATCH(141,'كشف الحساب'!$N$4:$N$203,0),0))),"")</f>
        <v/>
      </c>
      <c r="K145" s="89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>
      <c r="A146" s="94" t="str">
        <f>IFERROR(IF(IFERROR(MATCH(142,'كشف الحساب'!$N$4:$N$203,0),0)=0,"",INDEX('كشف الحساب'!$A$4:$A$203,IFERROR(MATCH(142,'كشف الحساب'!$N$4:$N$203,0),0))),"")</f>
        <v/>
      </c>
      <c r="B146" s="95" t="str">
        <f>IFERROR(IF(IFERROR(MATCH(142,'كشف الحساب'!$N$4:$N$203,0),0)=0,"",INDEX('كشف الحساب'!$B$4:$B$203,IFERROR(MATCH(142,'كشف الحساب'!$N$4:$N$203,0),0))),"")</f>
        <v/>
      </c>
      <c r="C146" s="96" t="str">
        <f>IFERROR(IF(IFERROR(MATCH(142,'كشف الحساب'!$N$4:$N$203,0),0)=0,"",INDEX('كشف الحساب'!$C$4:$C$203,IFERROR(MATCH(142,'كشف الحساب'!$N$4:$N$203,0),0))),"")</f>
        <v/>
      </c>
      <c r="D146" s="97" t="str">
        <f>IFERROR(IF(IFERROR(MATCH(142,'كشف الحساب'!$N$4:$N$203,0),0)=0,"",INDEX('كشف الحساب'!$D$4:$D$203,IFERROR(MATCH(142,'كشف الحساب'!$N$4:$N$203,0),0))),"")</f>
        <v/>
      </c>
      <c r="E146" s="98" t="str">
        <f>IFERROR(IF(IFERROR(MATCH(142,'كشف الحساب'!$N$4:$N$203,0),0)=0,"",INDEX('كشف الحساب'!$E$4:$E$203,IFERROR(MATCH(142,'كشف الحساب'!$N$4:$N$203,0),0))),"")</f>
        <v/>
      </c>
      <c r="F146" s="95" t="str">
        <f>IFERROR(IF(IFERROR(MATCH(142,'كشف الحساب'!$N$4:$N$203,0),0)=0,"",INDEX('كشف الحساب'!$F$4:$F$203,IFERROR(MATCH(142,'كشف الحساب'!$N$4:$N$203,0),0))),"")</f>
        <v/>
      </c>
      <c r="G146" s="95" t="str">
        <f>IFERROR(IF(IFERROR(MATCH(142,'كشف الحساب'!$N$4:$N$203,0),0)=0,"",INDEX('كشف الحساب'!$G$4:$G$203,IFERROR(MATCH(142,'كشف الحساب'!$N$4:$N$203,0),0))),"")</f>
        <v/>
      </c>
      <c r="H146" s="95" t="str">
        <f>IFERROR(IF(IFERROR(MATCH(142,'كشف الحساب'!$N$4:$N$203,0),0)=0,"",INDEX('كشف الحساب'!$H$4:$H$203,IFERROR(MATCH(142,'كشف الحساب'!$N$4:$N$203,0),0))),"")</f>
        <v/>
      </c>
      <c r="I146" s="95" t="str">
        <f>IFERROR(IF(IFERROR(MATCH(142,'كشف الحساب'!$N$4:$N$203,0),0)=0,"",INDEX('كشف الحساب'!$I$4:$I$203,IFERROR(MATCH(142,'كشف الحساب'!$N$4:$N$203,0),0))),"")</f>
        <v/>
      </c>
      <c r="J146" s="99" t="str">
        <f>IFERROR(IF(IFERROR(MATCH(142,'كشف الحساب'!$N$4:$N$203,0),0)=0,"",INDEX('كشف الحساب'!$J$4:$J$203,IFERROR(MATCH(142,'كشف الحساب'!$N$4:$N$203,0),0))),"")</f>
        <v/>
      </c>
      <c r="K146" s="95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>
      <c r="A147" s="88" t="str">
        <f>IFERROR(IF(IFERROR(MATCH(143,'كشف الحساب'!$N$4:$N$203,0),0)=0,"",INDEX('كشف الحساب'!$A$4:$A$203,IFERROR(MATCH(143,'كشف الحساب'!$N$4:$N$203,0),0))),"")</f>
        <v/>
      </c>
      <c r="B147" s="89" t="str">
        <f>IFERROR(IF(IFERROR(MATCH(143,'كشف الحساب'!$N$4:$N$203,0),0)=0,"",INDEX('كشف الحساب'!$B$4:$B$203,IFERROR(MATCH(143,'كشف الحساب'!$N$4:$N$203,0),0))),"")</f>
        <v/>
      </c>
      <c r="C147" s="90" t="str">
        <f>IFERROR(IF(IFERROR(MATCH(143,'كشف الحساب'!$N$4:$N$203,0),0)=0,"",INDEX('كشف الحساب'!$C$4:$C$203,IFERROR(MATCH(143,'كشف الحساب'!$N$4:$N$203,0),0))),"")</f>
        <v/>
      </c>
      <c r="D147" s="91" t="str">
        <f>IFERROR(IF(IFERROR(MATCH(143,'كشف الحساب'!$N$4:$N$203,0),0)=0,"",INDEX('كشف الحساب'!$D$4:$D$203,IFERROR(MATCH(143,'كشف الحساب'!$N$4:$N$203,0),0))),"")</f>
        <v/>
      </c>
      <c r="E147" s="92" t="str">
        <f>IFERROR(IF(IFERROR(MATCH(143,'كشف الحساب'!$N$4:$N$203,0),0)=0,"",INDEX('كشف الحساب'!$E$4:$E$203,IFERROR(MATCH(143,'كشف الحساب'!$N$4:$N$203,0),0))),"")</f>
        <v/>
      </c>
      <c r="F147" s="89" t="str">
        <f>IFERROR(IF(IFERROR(MATCH(143,'كشف الحساب'!$N$4:$N$203,0),0)=0,"",INDEX('كشف الحساب'!$F$4:$F$203,IFERROR(MATCH(143,'كشف الحساب'!$N$4:$N$203,0),0))),"")</f>
        <v/>
      </c>
      <c r="G147" s="89" t="str">
        <f>IFERROR(IF(IFERROR(MATCH(143,'كشف الحساب'!$N$4:$N$203,0),0)=0,"",INDEX('كشف الحساب'!$G$4:$G$203,IFERROR(MATCH(143,'كشف الحساب'!$N$4:$N$203,0),0))),"")</f>
        <v/>
      </c>
      <c r="H147" s="89" t="str">
        <f>IFERROR(IF(IFERROR(MATCH(143,'كشف الحساب'!$N$4:$N$203,0),0)=0,"",INDEX('كشف الحساب'!$H$4:$H$203,IFERROR(MATCH(143,'كشف الحساب'!$N$4:$N$203,0),0))),"")</f>
        <v/>
      </c>
      <c r="I147" s="89" t="str">
        <f>IFERROR(IF(IFERROR(MATCH(143,'كشف الحساب'!$N$4:$N$203,0),0)=0,"",INDEX('كشف الحساب'!$I$4:$I$203,IFERROR(MATCH(143,'كشف الحساب'!$N$4:$N$203,0),0))),"")</f>
        <v/>
      </c>
      <c r="J147" s="93" t="str">
        <f>IFERROR(IF(IFERROR(MATCH(143,'كشف الحساب'!$N$4:$N$203,0),0)=0,"",INDEX('كشف الحساب'!$J$4:$J$203,IFERROR(MATCH(143,'كشف الحساب'!$N$4:$N$203,0),0))),"")</f>
        <v/>
      </c>
      <c r="K147" s="89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>
      <c r="A148" s="94" t="str">
        <f>IFERROR(IF(IFERROR(MATCH(144,'كشف الحساب'!$N$4:$N$203,0),0)=0,"",INDEX('كشف الحساب'!$A$4:$A$203,IFERROR(MATCH(144,'كشف الحساب'!$N$4:$N$203,0),0))),"")</f>
        <v/>
      </c>
      <c r="B148" s="95" t="str">
        <f>IFERROR(IF(IFERROR(MATCH(144,'كشف الحساب'!$N$4:$N$203,0),0)=0,"",INDEX('كشف الحساب'!$B$4:$B$203,IFERROR(MATCH(144,'كشف الحساب'!$N$4:$N$203,0),0))),"")</f>
        <v/>
      </c>
      <c r="C148" s="96" t="str">
        <f>IFERROR(IF(IFERROR(MATCH(144,'كشف الحساب'!$N$4:$N$203,0),0)=0,"",INDEX('كشف الحساب'!$C$4:$C$203,IFERROR(MATCH(144,'كشف الحساب'!$N$4:$N$203,0),0))),"")</f>
        <v/>
      </c>
      <c r="D148" s="97" t="str">
        <f>IFERROR(IF(IFERROR(MATCH(144,'كشف الحساب'!$N$4:$N$203,0),0)=0,"",INDEX('كشف الحساب'!$D$4:$D$203,IFERROR(MATCH(144,'كشف الحساب'!$N$4:$N$203,0),0))),"")</f>
        <v/>
      </c>
      <c r="E148" s="98" t="str">
        <f>IFERROR(IF(IFERROR(MATCH(144,'كشف الحساب'!$N$4:$N$203,0),0)=0,"",INDEX('كشف الحساب'!$E$4:$E$203,IFERROR(MATCH(144,'كشف الحساب'!$N$4:$N$203,0),0))),"")</f>
        <v/>
      </c>
      <c r="F148" s="95" t="str">
        <f>IFERROR(IF(IFERROR(MATCH(144,'كشف الحساب'!$N$4:$N$203,0),0)=0,"",INDEX('كشف الحساب'!$F$4:$F$203,IFERROR(MATCH(144,'كشف الحساب'!$N$4:$N$203,0),0))),"")</f>
        <v/>
      </c>
      <c r="G148" s="95" t="str">
        <f>IFERROR(IF(IFERROR(MATCH(144,'كشف الحساب'!$N$4:$N$203,0),0)=0,"",INDEX('كشف الحساب'!$G$4:$G$203,IFERROR(MATCH(144,'كشف الحساب'!$N$4:$N$203,0),0))),"")</f>
        <v/>
      </c>
      <c r="H148" s="95" t="str">
        <f>IFERROR(IF(IFERROR(MATCH(144,'كشف الحساب'!$N$4:$N$203,0),0)=0,"",INDEX('كشف الحساب'!$H$4:$H$203,IFERROR(MATCH(144,'كشف الحساب'!$N$4:$N$203,0),0))),"")</f>
        <v/>
      </c>
      <c r="I148" s="95" t="str">
        <f>IFERROR(IF(IFERROR(MATCH(144,'كشف الحساب'!$N$4:$N$203,0),0)=0,"",INDEX('كشف الحساب'!$I$4:$I$203,IFERROR(MATCH(144,'كشف الحساب'!$N$4:$N$203,0),0))),"")</f>
        <v/>
      </c>
      <c r="J148" s="99" t="str">
        <f>IFERROR(IF(IFERROR(MATCH(144,'كشف الحساب'!$N$4:$N$203,0),0)=0,"",INDEX('كشف الحساب'!$J$4:$J$203,IFERROR(MATCH(144,'كشف الحساب'!$N$4:$N$203,0),0))),"")</f>
        <v/>
      </c>
      <c r="K148" s="95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>
      <c r="A149" s="88" t="str">
        <f>IFERROR(IF(IFERROR(MATCH(145,'كشف الحساب'!$N$4:$N$203,0),0)=0,"",INDEX('كشف الحساب'!$A$4:$A$203,IFERROR(MATCH(145,'كشف الحساب'!$N$4:$N$203,0),0))),"")</f>
        <v/>
      </c>
      <c r="B149" s="89" t="str">
        <f>IFERROR(IF(IFERROR(MATCH(145,'كشف الحساب'!$N$4:$N$203,0),0)=0,"",INDEX('كشف الحساب'!$B$4:$B$203,IFERROR(MATCH(145,'كشف الحساب'!$N$4:$N$203,0),0))),"")</f>
        <v/>
      </c>
      <c r="C149" s="90" t="str">
        <f>IFERROR(IF(IFERROR(MATCH(145,'كشف الحساب'!$N$4:$N$203,0),0)=0,"",INDEX('كشف الحساب'!$C$4:$C$203,IFERROR(MATCH(145,'كشف الحساب'!$N$4:$N$203,0),0))),"")</f>
        <v/>
      </c>
      <c r="D149" s="91" t="str">
        <f>IFERROR(IF(IFERROR(MATCH(145,'كشف الحساب'!$N$4:$N$203,0),0)=0,"",INDEX('كشف الحساب'!$D$4:$D$203,IFERROR(MATCH(145,'كشف الحساب'!$N$4:$N$203,0),0))),"")</f>
        <v/>
      </c>
      <c r="E149" s="92" t="str">
        <f>IFERROR(IF(IFERROR(MATCH(145,'كشف الحساب'!$N$4:$N$203,0),0)=0,"",INDEX('كشف الحساب'!$E$4:$E$203,IFERROR(MATCH(145,'كشف الحساب'!$N$4:$N$203,0),0))),"")</f>
        <v/>
      </c>
      <c r="F149" s="89" t="str">
        <f>IFERROR(IF(IFERROR(MATCH(145,'كشف الحساب'!$N$4:$N$203,0),0)=0,"",INDEX('كشف الحساب'!$F$4:$F$203,IFERROR(MATCH(145,'كشف الحساب'!$N$4:$N$203,0),0))),"")</f>
        <v/>
      </c>
      <c r="G149" s="89" t="str">
        <f>IFERROR(IF(IFERROR(MATCH(145,'كشف الحساب'!$N$4:$N$203,0),0)=0,"",INDEX('كشف الحساب'!$G$4:$G$203,IFERROR(MATCH(145,'كشف الحساب'!$N$4:$N$203,0),0))),"")</f>
        <v/>
      </c>
      <c r="H149" s="89" t="str">
        <f>IFERROR(IF(IFERROR(MATCH(145,'كشف الحساب'!$N$4:$N$203,0),0)=0,"",INDEX('كشف الحساب'!$H$4:$H$203,IFERROR(MATCH(145,'كشف الحساب'!$N$4:$N$203,0),0))),"")</f>
        <v/>
      </c>
      <c r="I149" s="89" t="str">
        <f>IFERROR(IF(IFERROR(MATCH(145,'كشف الحساب'!$N$4:$N$203,0),0)=0,"",INDEX('كشف الحساب'!$I$4:$I$203,IFERROR(MATCH(145,'كشف الحساب'!$N$4:$N$203,0),0))),"")</f>
        <v/>
      </c>
      <c r="J149" s="93" t="str">
        <f>IFERROR(IF(IFERROR(MATCH(145,'كشف الحساب'!$N$4:$N$203,0),0)=0,"",INDEX('كشف الحساب'!$J$4:$J$203,IFERROR(MATCH(145,'كشف الحساب'!$N$4:$N$203,0),0))),"")</f>
        <v/>
      </c>
      <c r="K149" s="89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>
      <c r="A150" s="94" t="str">
        <f>IFERROR(IF(IFERROR(MATCH(146,'كشف الحساب'!$N$4:$N$203,0),0)=0,"",INDEX('كشف الحساب'!$A$4:$A$203,IFERROR(MATCH(146,'كشف الحساب'!$N$4:$N$203,0),0))),"")</f>
        <v/>
      </c>
      <c r="B150" s="95" t="str">
        <f>IFERROR(IF(IFERROR(MATCH(146,'كشف الحساب'!$N$4:$N$203,0),0)=0,"",INDEX('كشف الحساب'!$B$4:$B$203,IFERROR(MATCH(146,'كشف الحساب'!$N$4:$N$203,0),0))),"")</f>
        <v/>
      </c>
      <c r="C150" s="96" t="str">
        <f>IFERROR(IF(IFERROR(MATCH(146,'كشف الحساب'!$N$4:$N$203,0),0)=0,"",INDEX('كشف الحساب'!$C$4:$C$203,IFERROR(MATCH(146,'كشف الحساب'!$N$4:$N$203,0),0))),"")</f>
        <v/>
      </c>
      <c r="D150" s="97" t="str">
        <f>IFERROR(IF(IFERROR(MATCH(146,'كشف الحساب'!$N$4:$N$203,0),0)=0,"",INDEX('كشف الحساب'!$D$4:$D$203,IFERROR(MATCH(146,'كشف الحساب'!$N$4:$N$203,0),0))),"")</f>
        <v/>
      </c>
      <c r="E150" s="98" t="str">
        <f>IFERROR(IF(IFERROR(MATCH(146,'كشف الحساب'!$N$4:$N$203,0),0)=0,"",INDEX('كشف الحساب'!$E$4:$E$203,IFERROR(MATCH(146,'كشف الحساب'!$N$4:$N$203,0),0))),"")</f>
        <v/>
      </c>
      <c r="F150" s="95" t="str">
        <f>IFERROR(IF(IFERROR(MATCH(146,'كشف الحساب'!$N$4:$N$203,0),0)=0,"",INDEX('كشف الحساب'!$F$4:$F$203,IFERROR(MATCH(146,'كشف الحساب'!$N$4:$N$203,0),0))),"")</f>
        <v/>
      </c>
      <c r="G150" s="95" t="str">
        <f>IFERROR(IF(IFERROR(MATCH(146,'كشف الحساب'!$N$4:$N$203,0),0)=0,"",INDEX('كشف الحساب'!$G$4:$G$203,IFERROR(MATCH(146,'كشف الحساب'!$N$4:$N$203,0),0))),"")</f>
        <v/>
      </c>
      <c r="H150" s="95" t="str">
        <f>IFERROR(IF(IFERROR(MATCH(146,'كشف الحساب'!$N$4:$N$203,0),0)=0,"",INDEX('كشف الحساب'!$H$4:$H$203,IFERROR(MATCH(146,'كشف الحساب'!$N$4:$N$203,0),0))),"")</f>
        <v/>
      </c>
      <c r="I150" s="95" t="str">
        <f>IFERROR(IF(IFERROR(MATCH(146,'كشف الحساب'!$N$4:$N$203,0),0)=0,"",INDEX('كشف الحساب'!$I$4:$I$203,IFERROR(MATCH(146,'كشف الحساب'!$N$4:$N$203,0),0))),"")</f>
        <v/>
      </c>
      <c r="J150" s="99" t="str">
        <f>IFERROR(IF(IFERROR(MATCH(146,'كشف الحساب'!$N$4:$N$203,0),0)=0,"",INDEX('كشف الحساب'!$J$4:$J$203,IFERROR(MATCH(146,'كشف الحساب'!$N$4:$N$203,0),0))),"")</f>
        <v/>
      </c>
      <c r="K150" s="95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>
      <c r="A151" s="88" t="str">
        <f>IFERROR(IF(IFERROR(MATCH(147,'كشف الحساب'!$N$4:$N$203,0),0)=0,"",INDEX('كشف الحساب'!$A$4:$A$203,IFERROR(MATCH(147,'كشف الحساب'!$N$4:$N$203,0),0))),"")</f>
        <v/>
      </c>
      <c r="B151" s="89" t="str">
        <f>IFERROR(IF(IFERROR(MATCH(147,'كشف الحساب'!$N$4:$N$203,0),0)=0,"",INDEX('كشف الحساب'!$B$4:$B$203,IFERROR(MATCH(147,'كشف الحساب'!$N$4:$N$203,0),0))),"")</f>
        <v/>
      </c>
      <c r="C151" s="90" t="str">
        <f>IFERROR(IF(IFERROR(MATCH(147,'كشف الحساب'!$N$4:$N$203,0),0)=0,"",INDEX('كشف الحساب'!$C$4:$C$203,IFERROR(MATCH(147,'كشف الحساب'!$N$4:$N$203,0),0))),"")</f>
        <v/>
      </c>
      <c r="D151" s="91" t="str">
        <f>IFERROR(IF(IFERROR(MATCH(147,'كشف الحساب'!$N$4:$N$203,0),0)=0,"",INDEX('كشف الحساب'!$D$4:$D$203,IFERROR(MATCH(147,'كشف الحساب'!$N$4:$N$203,0),0))),"")</f>
        <v/>
      </c>
      <c r="E151" s="92" t="str">
        <f>IFERROR(IF(IFERROR(MATCH(147,'كشف الحساب'!$N$4:$N$203,0),0)=0,"",INDEX('كشف الحساب'!$E$4:$E$203,IFERROR(MATCH(147,'كشف الحساب'!$N$4:$N$203,0),0))),"")</f>
        <v/>
      </c>
      <c r="F151" s="89" t="str">
        <f>IFERROR(IF(IFERROR(MATCH(147,'كشف الحساب'!$N$4:$N$203,0),0)=0,"",INDEX('كشف الحساب'!$F$4:$F$203,IFERROR(MATCH(147,'كشف الحساب'!$N$4:$N$203,0),0))),"")</f>
        <v/>
      </c>
      <c r="G151" s="89" t="str">
        <f>IFERROR(IF(IFERROR(MATCH(147,'كشف الحساب'!$N$4:$N$203,0),0)=0,"",INDEX('كشف الحساب'!$G$4:$G$203,IFERROR(MATCH(147,'كشف الحساب'!$N$4:$N$203,0),0))),"")</f>
        <v/>
      </c>
      <c r="H151" s="89" t="str">
        <f>IFERROR(IF(IFERROR(MATCH(147,'كشف الحساب'!$N$4:$N$203,0),0)=0,"",INDEX('كشف الحساب'!$H$4:$H$203,IFERROR(MATCH(147,'كشف الحساب'!$N$4:$N$203,0),0))),"")</f>
        <v/>
      </c>
      <c r="I151" s="89" t="str">
        <f>IFERROR(IF(IFERROR(MATCH(147,'كشف الحساب'!$N$4:$N$203,0),0)=0,"",INDEX('كشف الحساب'!$I$4:$I$203,IFERROR(MATCH(147,'كشف الحساب'!$N$4:$N$203,0),0))),"")</f>
        <v/>
      </c>
      <c r="J151" s="93" t="str">
        <f>IFERROR(IF(IFERROR(MATCH(147,'كشف الحساب'!$N$4:$N$203,0),0)=0,"",INDEX('كشف الحساب'!$J$4:$J$203,IFERROR(MATCH(147,'كشف الحساب'!$N$4:$N$203,0),0))),"")</f>
        <v/>
      </c>
      <c r="K151" s="89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>
      <c r="A152" s="94" t="str">
        <f>IFERROR(IF(IFERROR(MATCH(148,'كشف الحساب'!$N$4:$N$203,0),0)=0,"",INDEX('كشف الحساب'!$A$4:$A$203,IFERROR(MATCH(148,'كشف الحساب'!$N$4:$N$203,0),0))),"")</f>
        <v/>
      </c>
      <c r="B152" s="95" t="str">
        <f>IFERROR(IF(IFERROR(MATCH(148,'كشف الحساب'!$N$4:$N$203,0),0)=0,"",INDEX('كشف الحساب'!$B$4:$B$203,IFERROR(MATCH(148,'كشف الحساب'!$N$4:$N$203,0),0))),"")</f>
        <v/>
      </c>
      <c r="C152" s="96" t="str">
        <f>IFERROR(IF(IFERROR(MATCH(148,'كشف الحساب'!$N$4:$N$203,0),0)=0,"",INDEX('كشف الحساب'!$C$4:$C$203,IFERROR(MATCH(148,'كشف الحساب'!$N$4:$N$203,0),0))),"")</f>
        <v/>
      </c>
      <c r="D152" s="97" t="str">
        <f>IFERROR(IF(IFERROR(MATCH(148,'كشف الحساب'!$N$4:$N$203,0),0)=0,"",INDEX('كشف الحساب'!$D$4:$D$203,IFERROR(MATCH(148,'كشف الحساب'!$N$4:$N$203,0),0))),"")</f>
        <v/>
      </c>
      <c r="E152" s="98" t="str">
        <f>IFERROR(IF(IFERROR(MATCH(148,'كشف الحساب'!$N$4:$N$203,0),0)=0,"",INDEX('كشف الحساب'!$E$4:$E$203,IFERROR(MATCH(148,'كشف الحساب'!$N$4:$N$203,0),0))),"")</f>
        <v/>
      </c>
      <c r="F152" s="95" t="str">
        <f>IFERROR(IF(IFERROR(MATCH(148,'كشف الحساب'!$N$4:$N$203,0),0)=0,"",INDEX('كشف الحساب'!$F$4:$F$203,IFERROR(MATCH(148,'كشف الحساب'!$N$4:$N$203,0),0))),"")</f>
        <v/>
      </c>
      <c r="G152" s="95" t="str">
        <f>IFERROR(IF(IFERROR(MATCH(148,'كشف الحساب'!$N$4:$N$203,0),0)=0,"",INDEX('كشف الحساب'!$G$4:$G$203,IFERROR(MATCH(148,'كشف الحساب'!$N$4:$N$203,0),0))),"")</f>
        <v/>
      </c>
      <c r="H152" s="95" t="str">
        <f>IFERROR(IF(IFERROR(MATCH(148,'كشف الحساب'!$N$4:$N$203,0),0)=0,"",INDEX('كشف الحساب'!$H$4:$H$203,IFERROR(MATCH(148,'كشف الحساب'!$N$4:$N$203,0),0))),"")</f>
        <v/>
      </c>
      <c r="I152" s="95" t="str">
        <f>IFERROR(IF(IFERROR(MATCH(148,'كشف الحساب'!$N$4:$N$203,0),0)=0,"",INDEX('كشف الحساب'!$I$4:$I$203,IFERROR(MATCH(148,'كشف الحساب'!$N$4:$N$203,0),0))),"")</f>
        <v/>
      </c>
      <c r="J152" s="99" t="str">
        <f>IFERROR(IF(IFERROR(MATCH(148,'كشف الحساب'!$N$4:$N$203,0),0)=0,"",INDEX('كشف الحساب'!$J$4:$J$203,IFERROR(MATCH(148,'كشف الحساب'!$N$4:$N$203,0),0))),"")</f>
        <v/>
      </c>
      <c r="K152" s="95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>
      <c r="A153" s="88" t="str">
        <f>IFERROR(IF(IFERROR(MATCH(149,'كشف الحساب'!$N$4:$N$203,0),0)=0,"",INDEX('كشف الحساب'!$A$4:$A$203,IFERROR(MATCH(149,'كشف الحساب'!$N$4:$N$203,0),0))),"")</f>
        <v/>
      </c>
      <c r="B153" s="89" t="str">
        <f>IFERROR(IF(IFERROR(MATCH(149,'كشف الحساب'!$N$4:$N$203,0),0)=0,"",INDEX('كشف الحساب'!$B$4:$B$203,IFERROR(MATCH(149,'كشف الحساب'!$N$4:$N$203,0),0))),"")</f>
        <v/>
      </c>
      <c r="C153" s="90" t="str">
        <f>IFERROR(IF(IFERROR(MATCH(149,'كشف الحساب'!$N$4:$N$203,0),0)=0,"",INDEX('كشف الحساب'!$C$4:$C$203,IFERROR(MATCH(149,'كشف الحساب'!$N$4:$N$203,0),0))),"")</f>
        <v/>
      </c>
      <c r="D153" s="91" t="str">
        <f>IFERROR(IF(IFERROR(MATCH(149,'كشف الحساب'!$N$4:$N$203,0),0)=0,"",INDEX('كشف الحساب'!$D$4:$D$203,IFERROR(MATCH(149,'كشف الحساب'!$N$4:$N$203,0),0))),"")</f>
        <v/>
      </c>
      <c r="E153" s="92" t="str">
        <f>IFERROR(IF(IFERROR(MATCH(149,'كشف الحساب'!$N$4:$N$203,0),0)=0,"",INDEX('كشف الحساب'!$E$4:$E$203,IFERROR(MATCH(149,'كشف الحساب'!$N$4:$N$203,0),0))),"")</f>
        <v/>
      </c>
      <c r="F153" s="89" t="str">
        <f>IFERROR(IF(IFERROR(MATCH(149,'كشف الحساب'!$N$4:$N$203,0),0)=0,"",INDEX('كشف الحساب'!$F$4:$F$203,IFERROR(MATCH(149,'كشف الحساب'!$N$4:$N$203,0),0))),"")</f>
        <v/>
      </c>
      <c r="G153" s="89" t="str">
        <f>IFERROR(IF(IFERROR(MATCH(149,'كشف الحساب'!$N$4:$N$203,0),0)=0,"",INDEX('كشف الحساب'!$G$4:$G$203,IFERROR(MATCH(149,'كشف الحساب'!$N$4:$N$203,0),0))),"")</f>
        <v/>
      </c>
      <c r="H153" s="89" t="str">
        <f>IFERROR(IF(IFERROR(MATCH(149,'كشف الحساب'!$N$4:$N$203,0),0)=0,"",INDEX('كشف الحساب'!$H$4:$H$203,IFERROR(MATCH(149,'كشف الحساب'!$N$4:$N$203,0),0))),"")</f>
        <v/>
      </c>
      <c r="I153" s="89" t="str">
        <f>IFERROR(IF(IFERROR(MATCH(149,'كشف الحساب'!$N$4:$N$203,0),0)=0,"",INDEX('كشف الحساب'!$I$4:$I$203,IFERROR(MATCH(149,'كشف الحساب'!$N$4:$N$203,0),0))),"")</f>
        <v/>
      </c>
      <c r="J153" s="93" t="str">
        <f>IFERROR(IF(IFERROR(MATCH(149,'كشف الحساب'!$N$4:$N$203,0),0)=0,"",INDEX('كشف الحساب'!$J$4:$J$203,IFERROR(MATCH(149,'كشف الحساب'!$N$4:$N$203,0),0))),"")</f>
        <v/>
      </c>
      <c r="K153" s="89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>
      <c r="A154" s="94" t="str">
        <f>IFERROR(IF(IFERROR(MATCH(150,'كشف الحساب'!$N$4:$N$203,0),0)=0,"",INDEX('كشف الحساب'!$A$4:$A$203,IFERROR(MATCH(150,'كشف الحساب'!$N$4:$N$203,0),0))),"")</f>
        <v/>
      </c>
      <c r="B154" s="95" t="str">
        <f>IFERROR(IF(IFERROR(MATCH(150,'كشف الحساب'!$N$4:$N$203,0),0)=0,"",INDEX('كشف الحساب'!$B$4:$B$203,IFERROR(MATCH(150,'كشف الحساب'!$N$4:$N$203,0),0))),"")</f>
        <v/>
      </c>
      <c r="C154" s="96" t="str">
        <f>IFERROR(IF(IFERROR(MATCH(150,'كشف الحساب'!$N$4:$N$203,0),0)=0,"",INDEX('كشف الحساب'!$C$4:$C$203,IFERROR(MATCH(150,'كشف الحساب'!$N$4:$N$203,0),0))),"")</f>
        <v/>
      </c>
      <c r="D154" s="97" t="str">
        <f>IFERROR(IF(IFERROR(MATCH(150,'كشف الحساب'!$N$4:$N$203,0),0)=0,"",INDEX('كشف الحساب'!$D$4:$D$203,IFERROR(MATCH(150,'كشف الحساب'!$N$4:$N$203,0),0))),"")</f>
        <v/>
      </c>
      <c r="E154" s="98" t="str">
        <f>IFERROR(IF(IFERROR(MATCH(150,'كشف الحساب'!$N$4:$N$203,0),0)=0,"",INDEX('كشف الحساب'!$E$4:$E$203,IFERROR(MATCH(150,'كشف الحساب'!$N$4:$N$203,0),0))),"")</f>
        <v/>
      </c>
      <c r="F154" s="95" t="str">
        <f>IFERROR(IF(IFERROR(MATCH(150,'كشف الحساب'!$N$4:$N$203,0),0)=0,"",INDEX('كشف الحساب'!$F$4:$F$203,IFERROR(MATCH(150,'كشف الحساب'!$N$4:$N$203,0),0))),"")</f>
        <v/>
      </c>
      <c r="G154" s="95" t="str">
        <f>IFERROR(IF(IFERROR(MATCH(150,'كشف الحساب'!$N$4:$N$203,0),0)=0,"",INDEX('كشف الحساب'!$G$4:$G$203,IFERROR(MATCH(150,'كشف الحساب'!$N$4:$N$203,0),0))),"")</f>
        <v/>
      </c>
      <c r="H154" s="95" t="str">
        <f>IFERROR(IF(IFERROR(MATCH(150,'كشف الحساب'!$N$4:$N$203,0),0)=0,"",INDEX('كشف الحساب'!$H$4:$H$203,IFERROR(MATCH(150,'كشف الحساب'!$N$4:$N$203,0),0))),"")</f>
        <v/>
      </c>
      <c r="I154" s="95" t="str">
        <f>IFERROR(IF(IFERROR(MATCH(150,'كشف الحساب'!$N$4:$N$203,0),0)=0,"",INDEX('كشف الحساب'!$I$4:$I$203,IFERROR(MATCH(150,'كشف الحساب'!$N$4:$N$203,0),0))),"")</f>
        <v/>
      </c>
      <c r="J154" s="99" t="str">
        <f>IFERROR(IF(IFERROR(MATCH(150,'كشف الحساب'!$N$4:$N$203,0),0)=0,"",INDEX('كشف الحساب'!$J$4:$J$203,IFERROR(MATCH(150,'كشف الحساب'!$N$4:$N$203,0),0))),"")</f>
        <v/>
      </c>
      <c r="K154" s="95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>
      <c r="A155" s="150" t="s">
        <v>220</v>
      </c>
      <c r="B155" s="150"/>
      <c r="C155" s="150"/>
      <c r="D155" s="100">
        <f>SUM(D5:D154)</f>
        <v>212.8</v>
      </c>
      <c r="E155" s="100">
        <f>SUM(E5:E154)</f>
        <v>150</v>
      </c>
      <c r="F155" s="151">
        <f>COUNTIF(H5:H154,"معلق")</f>
        <v>0</v>
      </c>
      <c r="G155" s="151"/>
      <c r="H155" s="151"/>
      <c r="I155" s="101"/>
      <c r="J155" s="100">
        <f>E155-D155</f>
        <v>-62.800000000000011</v>
      </c>
      <c r="K155" s="101"/>
    </row>
    <row r="156" spans="1:11" ht="15.75" customHeight="1">
      <c r="A156" s="102"/>
      <c r="B156" s="102"/>
      <c r="C156" s="102"/>
      <c r="D156" s="72" t="s">
        <v>172</v>
      </c>
      <c r="E156" s="73" t="s">
        <v>7</v>
      </c>
      <c r="F156" s="74" t="s">
        <v>174</v>
      </c>
      <c r="G156" s="102"/>
      <c r="H156" s="102"/>
      <c r="I156" s="102"/>
      <c r="J156" s="75" t="s">
        <v>221</v>
      </c>
      <c r="K156" s="102"/>
    </row>
  </sheetData>
  <mergeCells count="7">
    <mergeCell ref="A155:C155"/>
    <mergeCell ref="F155:H155"/>
    <mergeCell ref="A1:K1"/>
    <mergeCell ref="A2:B2"/>
    <mergeCell ref="D2:E2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 r:id="rId1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tabSelected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/>
  <cols>
    <col min="1" max="1" width="12" customWidth="1"/>
    <col min="2" max="2" width="15" customWidth="1"/>
    <col min="3" max="3" width="38" customWidth="1"/>
    <col min="4" max="5" width="16" customWidth="1"/>
    <col min="6" max="6" width="20" customWidth="1"/>
    <col min="7" max="7" width="16" customWidth="1"/>
  </cols>
  <sheetData>
    <row r="1" spans="1:7" ht="30" customHeight="1">
      <c r="A1" s="134" t="s">
        <v>0</v>
      </c>
      <c r="B1" s="134"/>
      <c r="C1" s="134"/>
      <c r="D1" s="134"/>
      <c r="E1" s="134"/>
      <c r="F1" s="134"/>
      <c r="G1" s="134"/>
    </row>
    <row r="2" spans="1:7" ht="24" customHeight="1">
      <c r="A2" s="152" t="s">
        <v>222</v>
      </c>
      <c r="B2" s="152"/>
      <c r="C2" s="81" t="s">
        <v>240</v>
      </c>
      <c r="D2" s="152" t="s">
        <v>223</v>
      </c>
      <c r="E2" s="152"/>
      <c r="F2" s="81">
        <v>2026</v>
      </c>
    </row>
    <row r="3" spans="1:7" ht="21.75" customHeight="1">
      <c r="A3" s="154" t="s">
        <v>224</v>
      </c>
      <c r="B3" s="154"/>
      <c r="C3" s="82">
        <f>المحفظة!$D$2</f>
        <v>0</v>
      </c>
      <c r="D3" s="154" t="s">
        <v>225</v>
      </c>
      <c r="E3" s="154"/>
      <c r="F3" s="103">
        <f>المحفظة!$C$3</f>
        <v>316.60000000000002</v>
      </c>
    </row>
    <row r="4" spans="1:7" ht="21.75" customHeight="1">
      <c r="A4" s="140" t="s">
        <v>226</v>
      </c>
      <c r="B4" s="140"/>
      <c r="C4" s="140"/>
      <c r="D4" s="140"/>
      <c r="E4" s="140"/>
      <c r="F4" s="140"/>
      <c r="G4" s="140"/>
    </row>
    <row r="5" spans="1:7" ht="16.5" customHeight="1">
      <c r="A5" s="3">
        <f>IFERROR(IF(IFERROR(MATCH(1,المحفظة!$H$5:$H$104,0),0)=0,"",INDEX(المحفظة!$A$5:$A$104,IFERROR(MATCH(1,المحفظة!$H$5:$H$104,0),0))),"")</f>
        <v>46175</v>
      </c>
      <c r="B5" s="4" t="str">
        <f>IFERROR(IF(IFERROR(MATCH(1,المحفظة!$H$5:$H$104,0),0)=0,"",INDEX(المحفظة!$B$5:$B$104,IFERROR(MATCH(1,المحفظة!$H$5:$H$104,0),0))),"")</f>
        <v>Inv-54</v>
      </c>
      <c r="C5" s="104" t="str">
        <f>IFERROR(IF(IFERROR(MATCH(1,المحفظة!$H$5:$H$104,0),0)=0,"",INDEX(المحفظة!$C$5:$C$104,IFERROR(MATCH(1,المحفظة!$H$5:$H$104,0),0))),"")</f>
        <v>دارسينا خضراء عدد 1 الحبه 2</v>
      </c>
      <c r="D5" s="6" t="s">
        <v>6</v>
      </c>
      <c r="E5" s="7">
        <f>IFERROR(IF(IFERROR(MATCH(1,المحفظة!$H$5:$H$104,0),0)=0,"",INDEX(المحفظة!$E$5:$E$104,IFERROR(MATCH(1,المحفظة!$H$5:$H$104,0),0))),"")</f>
        <v>2</v>
      </c>
      <c r="F5" s="4" t="str">
        <f>IFERROR(IF(IFERROR(MATCH(1,المحفظة!$H$5:$H$104,0),0)=0,"",INDEX(المحفظة!$F$5:$F$104,IFERROR(MATCH(1,المحفظة!$H$5:$H$104,0),0))),"")</f>
        <v>نقداً</v>
      </c>
      <c r="G5" s="105"/>
    </row>
    <row r="6" spans="1:7" ht="16.5" customHeight="1">
      <c r="A6" s="10">
        <f>IFERROR(IF(IFERROR(MATCH(2,المحفظة!$H$5:$H$104,0),0)=0,"",INDEX(المحفظة!$A$5:$A$104,IFERROR(MATCH(2,المحفظة!$H$5:$H$104,0),0))),"")</f>
        <v>46175</v>
      </c>
      <c r="B6" s="11" t="str">
        <f>IFERROR(IF(IFERROR(MATCH(2,المحفظة!$H$5:$H$104,0),0)=0,"",INDEX(المحفظة!$B$5:$B$104,IFERROR(MATCH(2,المحفظة!$H$5:$H$104,0),0))),"")</f>
        <v>Inv-55</v>
      </c>
      <c r="C6" s="106" t="str">
        <f>IFERROR(IF(IFERROR(MATCH(2,المحفظة!$H$5:$H$104,0),0)=0,"",INDEX(المحفظة!$C$5:$C$104,IFERROR(MATCH(2,المحفظة!$H$5:$H$104,0),0))),"")</f>
        <v>افوبيا عدد 2 الحبه .750</v>
      </c>
      <c r="D6" s="13" t="s">
        <v>6</v>
      </c>
      <c r="E6" s="14">
        <f>IFERROR(IF(IFERROR(MATCH(2,المحفظة!$H$5:$H$104,0),0)=0,"",INDEX(المحفظة!$E$5:$E$104,IFERROR(MATCH(2,المحفظة!$H$5:$H$104,0),0))),"")</f>
        <v>1.5</v>
      </c>
      <c r="F6" s="11" t="str">
        <f>IFERROR(IF(IFERROR(MATCH(2,المحفظة!$H$5:$H$104,0),0)=0,"",INDEX(المحفظة!$F$5:$F$104,IFERROR(MATCH(2,المحفظة!$H$5:$H$104,0),0))),"")</f>
        <v>نقداً</v>
      </c>
      <c r="G6" s="107"/>
    </row>
    <row r="7" spans="1:7" ht="16.5" customHeight="1">
      <c r="A7" s="3">
        <f>IFERROR(IF(IFERROR(MATCH(3,المحفظة!$H$5:$H$104,0),0)=0,"",INDEX(المحفظة!$A$5:$A$104,IFERROR(MATCH(3,المحفظة!$H$5:$H$104,0),0))),"")</f>
        <v>46175</v>
      </c>
      <c r="B7" s="4" t="str">
        <f>IFERROR(IF(IFERROR(MATCH(3,المحفظة!$H$5:$H$104,0),0)=0,"",INDEX(المحفظة!$B$5:$B$104,IFERROR(MATCH(3,المحفظة!$H$5:$H$104,0),0))),"")</f>
        <v>Inv-56</v>
      </c>
      <c r="C7" s="104" t="str">
        <f>IFERROR(IF(IFERROR(MATCH(3,المحفظة!$H$5:$H$104,0),0)=0,"",INDEX(المحفظة!$C$5:$C$104,IFERROR(MATCH(3,المحفظة!$H$5:$H$104,0),0))),"")</f>
        <v>دارسينا سوداء عدد 3 الحبه 1</v>
      </c>
      <c r="D7" s="6" t="s">
        <v>6</v>
      </c>
      <c r="E7" s="7">
        <f>IFERROR(IF(IFERROR(MATCH(3,المحفظة!$H$5:$H$104,0),0)=0,"",INDEX(المحفظة!$E$5:$E$104,IFERROR(MATCH(3,المحفظة!$H$5:$H$104,0),0))),"")</f>
        <v>3</v>
      </c>
      <c r="F7" s="4" t="str">
        <f>IFERROR(IF(IFERROR(MATCH(3,المحفظة!$H$5:$H$104,0),0)=0,"",INDEX(المحفظة!$F$5:$F$104,IFERROR(MATCH(3,المحفظة!$H$5:$H$104,0),0))),"")</f>
        <v>نقداً</v>
      </c>
      <c r="G7" s="105"/>
    </row>
    <row r="8" spans="1:7" ht="16.5" customHeight="1">
      <c r="A8" s="10">
        <f>IFERROR(IF(IFERROR(MATCH(4,المحفظة!$H$5:$H$104,0),0)=0,"",INDEX(المحفظة!$A$5:$A$104,IFERROR(MATCH(4,المحفظة!$H$5:$H$104,0),0))),"")</f>
        <v>46177</v>
      </c>
      <c r="B8" s="11" t="str">
        <f>IFERROR(IF(IFERROR(MATCH(4,المحفظة!$H$5:$H$104,0),0)=0,"",INDEX(المحفظة!$B$5:$B$104,IFERROR(MATCH(4,المحفظة!$H$5:$H$104,0),0))),"")</f>
        <v>inv-57</v>
      </c>
      <c r="C8" s="106" t="str">
        <f>IFERROR(IF(IFERROR(MATCH(4,المحفظة!$H$5:$H$104,0),0)=0,"",INDEX(المحفظة!$C$5:$C$104,IFERROR(MATCH(4,المحفظة!$H$5:$H$104,0),0))),"")</f>
        <v>فوزير عدد1 قيمه 1</v>
      </c>
      <c r="D8" s="13" t="s">
        <v>6</v>
      </c>
      <c r="E8" s="14">
        <f>IFERROR(IF(IFERROR(MATCH(4,المحفظة!$H$5:$H$104,0),0)=0,"",INDEX(المحفظة!$E$5:$E$104,IFERROR(MATCH(4,المحفظة!$H$5:$H$104,0),0))),"")</f>
        <v>1</v>
      </c>
      <c r="F8" s="11" t="str">
        <f>IFERROR(IF(IFERROR(MATCH(4,المحفظة!$H$5:$H$104,0),0)=0,"",INDEX(المحفظة!$F$5:$F$104,IFERROR(MATCH(4,المحفظة!$H$5:$H$104,0),0))),"")</f>
        <v>نقداً</v>
      </c>
      <c r="G8" s="107"/>
    </row>
    <row r="9" spans="1:7" ht="16.5" customHeight="1">
      <c r="A9" s="3">
        <f>IFERROR(IF(IFERROR(MATCH(5,المحفظة!$H$5:$H$104,0),0)=0,"",INDEX(المحفظة!$A$5:$A$104,IFERROR(MATCH(5,المحفظة!$H$5:$H$104,0),0))),"")</f>
        <v>46177</v>
      </c>
      <c r="B9" s="4">
        <f>IFERROR(IF(IFERROR(MATCH(5,المحفظة!$H$5:$H$104,0),0)=0,"",INDEX(المحفظة!$B$5:$B$104,IFERROR(MATCH(5,المحفظة!$H$5:$H$104,0),0))),"")</f>
        <v>0</v>
      </c>
      <c r="C9" s="104" t="str">
        <f>IFERROR(IF(IFERROR(MATCH(5,المحفظة!$H$5:$H$104,0),0)=0,"",INDEX(المحفظة!$C$5:$C$104,IFERROR(MATCH(5,المحفظة!$H$5:$H$104,0),0))),"")</f>
        <v>سماد</v>
      </c>
      <c r="D9" s="6" t="s">
        <v>6</v>
      </c>
      <c r="E9" s="7">
        <f>IFERROR(IF(IFERROR(MATCH(5,المحفظة!$H$5:$H$104,0),0)=0,"",INDEX(المحفظة!$E$5:$E$104,IFERROR(MATCH(5,المحفظة!$H$5:$H$104,0),0))),"")</f>
        <v>0</v>
      </c>
      <c r="F9" s="4" t="str">
        <f>IFERROR(IF(IFERROR(MATCH(5,المحفظة!$H$5:$H$104,0),0)=0,"",INDEX(المحفظة!$F$5:$F$104,IFERROR(MATCH(5,المحفظة!$H$5:$H$104,0),0))),"")</f>
        <v>نقداً</v>
      </c>
      <c r="G9" s="105"/>
    </row>
    <row r="10" spans="1:7" ht="16.5" customHeight="1">
      <c r="A10" s="10">
        <f>IFERROR(IF(IFERROR(MATCH(6,المحفظة!$H$5:$H$104,0),0)=0,"",INDEX(المحفظة!$A$5:$A$104,IFERROR(MATCH(6,المحفظة!$H$5:$H$104,0),0))),"")</f>
        <v>46179</v>
      </c>
      <c r="B10" s="11" t="str">
        <f>IFERROR(IF(IFERROR(MATCH(6,المحفظة!$H$5:$H$104,0),0)=0,"",INDEX(المحفظة!$B$5:$B$104,IFERROR(MATCH(6,المحفظة!$H$5:$H$104,0),0))),"")</f>
        <v>Inv-59</v>
      </c>
      <c r="C10" s="106" t="str">
        <f>IFERROR(IF(IFERROR(MATCH(6,المحفظة!$H$5:$H$104,0),0)=0,"",INDEX(المحفظة!$C$5:$C$104,IFERROR(MATCH(6,المحفظة!$H$5:$H$104,0),0))),"")</f>
        <v>ودليه عدد 1 بقيمه 1</v>
      </c>
      <c r="D10" s="13" t="s">
        <v>6</v>
      </c>
      <c r="E10" s="14">
        <f>IFERROR(IF(IFERROR(MATCH(6,المحفظة!$H$5:$H$104,0),0)=0,"",INDEX(المحفظة!$E$5:$E$104,IFERROR(MATCH(6,المحفظة!$H$5:$H$104,0),0))),"")</f>
        <v>1</v>
      </c>
      <c r="F10" s="11" t="str">
        <f>IFERROR(IF(IFERROR(MATCH(6,المحفظة!$H$5:$H$104,0),0)=0,"",INDEX(المحفظة!$F$5:$F$104,IFERROR(MATCH(6,المحفظة!$H$5:$H$104,0),0))),"")</f>
        <v>نقداً</v>
      </c>
      <c r="G10" s="107"/>
    </row>
    <row r="11" spans="1:7" ht="16.5" customHeight="1">
      <c r="A11" s="3">
        <f>IFERROR(IF(IFERROR(MATCH(7,المحفظة!$H$5:$H$104,0),0)=0,"",INDEX(المحفظة!$A$5:$A$104,IFERROR(MATCH(7,المحفظة!$H$5:$H$104,0),0))),"")</f>
        <v>46179</v>
      </c>
      <c r="B11" s="4" t="str">
        <f>IFERROR(IF(IFERROR(MATCH(7,المحفظة!$H$5:$H$104,0),0)=0,"",INDEX(المحفظة!$B$5:$B$104,IFERROR(MATCH(7,المحفظة!$H$5:$H$104,0),0))),"")</f>
        <v>Inv-60</v>
      </c>
      <c r="C11" s="104" t="str">
        <f>IFERROR(IF(IFERROR(MATCH(7,المحفظة!$H$5:$H$104,0),0)=0,"",INDEX(المحفظة!$C$5:$C$104,IFERROR(MATCH(7,المحفظة!$H$5:$H$104,0),0))),"")</f>
        <v>دارسينا حمراء عدد 1 بقيمه 3</v>
      </c>
      <c r="D11" s="6" t="s">
        <v>6</v>
      </c>
      <c r="E11" s="7">
        <f>IFERROR(IF(IFERROR(MATCH(7,المحفظة!$H$5:$H$104,0),0)=0,"",INDEX(المحفظة!$E$5:$E$104,IFERROR(MATCH(7,المحفظة!$H$5:$H$104,0),0))),"")</f>
        <v>3</v>
      </c>
      <c r="F11" s="4" t="str">
        <f>IFERROR(IF(IFERROR(MATCH(7,المحفظة!$H$5:$H$104,0),0)=0,"",INDEX(المحفظة!$F$5:$F$104,IFERROR(MATCH(7,المحفظة!$H$5:$H$104,0),0))),"")</f>
        <v>نقداً</v>
      </c>
      <c r="G11" s="105"/>
    </row>
    <row r="12" spans="1:7" ht="16.5" customHeight="1">
      <c r="A12" s="10">
        <f>IFERROR(IF(IFERROR(MATCH(8,المحفظة!$H$5:$H$104,0),0)=0,"",INDEX(المحفظة!$A$5:$A$104,IFERROR(MATCH(8,المحفظة!$H$5:$H$104,0),0))),"")</f>
        <v>46181</v>
      </c>
      <c r="B12" s="11" t="str">
        <f>IFERROR(IF(IFERROR(MATCH(8,المحفظة!$H$5:$H$104,0),0)=0,"",INDEX(المحفظة!$B$5:$B$104,IFERROR(MATCH(8,المحفظة!$H$5:$H$104,0),0))),"")</f>
        <v>Inv-61</v>
      </c>
      <c r="C12" s="106" t="str">
        <f>IFERROR(IF(IFERROR(MATCH(8,المحفظة!$H$5:$H$104,0),0)=0,"",INDEX(المحفظة!$C$5:$C$104,IFERROR(MATCH(8,المحفظة!$H$5:$H$104,0),0))),"")</f>
        <v>فل عدد 20 بقيمه 0.750</v>
      </c>
      <c r="D12" s="13" t="s">
        <v>6</v>
      </c>
      <c r="E12" s="14">
        <f>IFERROR(IF(IFERROR(MATCH(8,المحفظة!$H$5:$H$104,0),0)=0,"",INDEX(المحفظة!$E$5:$E$104,IFERROR(MATCH(8,المحفظة!$H$5:$H$104,0),0))),"")</f>
        <v>15</v>
      </c>
      <c r="F12" s="11" t="str">
        <f>IFERROR(IF(IFERROR(MATCH(8,المحفظة!$H$5:$H$104,0),0)=0,"",INDEX(المحفظة!$F$5:$F$104,IFERROR(MATCH(8,المحفظة!$H$5:$H$104,0),0))),"")</f>
        <v>نقداً</v>
      </c>
      <c r="G12" s="107"/>
    </row>
    <row r="13" spans="1:7" ht="16.5" customHeight="1">
      <c r="A13" s="3">
        <f>IFERROR(IF(IFERROR(MATCH(9,المحفظة!$H$5:$H$104,0),0)=0,"",INDEX(المحفظة!$A$5:$A$104,IFERROR(MATCH(9,المحفظة!$H$5:$H$104,0),0))),"")</f>
        <v>46181</v>
      </c>
      <c r="B13" s="4">
        <f>IFERROR(IF(IFERROR(MATCH(9,المحفظة!$H$5:$H$104,0),0)=0,"",INDEX(المحفظة!$B$5:$B$104,IFERROR(MATCH(9,المحفظة!$H$5:$H$104,0),0))),"")</f>
        <v>0</v>
      </c>
      <c r="C13" s="104" t="str">
        <f>IFERROR(IF(IFERROR(MATCH(9,المحفظة!$H$5:$H$104,0),0)=0,"",INDEX(المحفظة!$C$5:$C$104,IFERROR(MATCH(9,المحفظة!$H$5:$H$104,0),0))),"")</f>
        <v>اسمنت اسود للمحميه الصغيره الجديده</v>
      </c>
      <c r="D13" s="6" t="s">
        <v>6</v>
      </c>
      <c r="E13" s="7">
        <f>IFERROR(IF(IFERROR(MATCH(9,المحفظة!$H$5:$H$104,0),0)=0,"",INDEX(المحفظة!$E$5:$E$104,IFERROR(MATCH(9,المحفظة!$H$5:$H$104,0),0))),"")</f>
        <v>0</v>
      </c>
      <c r="F13" s="4" t="str">
        <f>IFERROR(IF(IFERROR(MATCH(9,المحفظة!$H$5:$H$104,0),0)=0,"",INDEX(المحفظة!$F$5:$F$104,IFERROR(MATCH(9,المحفظة!$H$5:$H$104,0),0))),"")</f>
        <v>نقداً</v>
      </c>
      <c r="G13" s="105"/>
    </row>
    <row r="14" spans="1:7" ht="16.5" customHeight="1">
      <c r="A14" s="10">
        <f>IFERROR(IF(IFERROR(MATCH(10,المحفظة!$H$5:$H$104,0),0)=0,"",INDEX(المحفظة!$A$5:$A$104,IFERROR(MATCH(10,المحفظة!$H$5:$H$104,0),0))),"")</f>
        <v>46184</v>
      </c>
      <c r="B14" s="11">
        <f>IFERROR(IF(IFERROR(MATCH(10,المحفظة!$H$5:$H$104,0),0)=0,"",INDEX(المحفظة!$B$5:$B$104,IFERROR(MATCH(10,المحفظة!$H$5:$H$104,0),0))),"")</f>
        <v>0</v>
      </c>
      <c r="C14" s="106" t="str">
        <f>IFERROR(IF(IFERROR(MATCH(10,المحفظة!$H$5:$H$104,0),0)=0,"",INDEX(المحفظة!$C$5:$C$104,IFERROR(MATCH(10,المحفظة!$H$5:$H$104,0),0))),"")</f>
        <v>براغي</v>
      </c>
      <c r="D14" s="13" t="s">
        <v>6</v>
      </c>
      <c r="E14" s="14">
        <f>IFERROR(IF(IFERROR(MATCH(10,المحفظة!$H$5:$H$104,0),0)=0,"",INDEX(المحفظة!$E$5:$E$104,IFERROR(MATCH(10,المحفظة!$H$5:$H$104,0),0))),"")</f>
        <v>0</v>
      </c>
      <c r="F14" s="11" t="str">
        <f>IFERROR(IF(IFERROR(MATCH(10,المحفظة!$H$5:$H$104,0),0)=0,"",INDEX(المحفظة!$F$5:$F$104,IFERROR(MATCH(10,المحفظة!$H$5:$H$104,0),0))),"")</f>
        <v>نقداً</v>
      </c>
      <c r="G14" s="107"/>
    </row>
    <row r="15" spans="1:7" ht="16.5" customHeight="1">
      <c r="A15" s="3">
        <f>IFERROR(IF(IFERROR(MATCH(11,المحفظة!$H$5:$H$104,0),0)=0,"",INDEX(المحفظة!$A$5:$A$104,IFERROR(MATCH(11,المحفظة!$H$5:$H$104,0),0))),"")</f>
        <v>46185</v>
      </c>
      <c r="B15" s="4">
        <f>IFERROR(IF(IFERROR(MATCH(11,المحفظة!$H$5:$H$104,0),0)=0,"",INDEX(المحفظة!$B$5:$B$104,IFERROR(MATCH(11,المحفظة!$H$5:$H$104,0),0))),"")</f>
        <v>0</v>
      </c>
      <c r="C15" s="104" t="str">
        <f>IFERROR(IF(IFERROR(MATCH(11,المحفظة!$H$5:$H$104,0),0)=0,"",INDEX(المحفظة!$C$5:$C$104,IFERROR(MATCH(11,المحفظة!$H$5:$H$104,0),0))),"")</f>
        <v>رول لحيم</v>
      </c>
      <c r="D15" s="6" t="s">
        <v>6</v>
      </c>
      <c r="E15" s="7">
        <f>IFERROR(IF(IFERROR(MATCH(11,المحفظة!$H$5:$H$104,0),0)=0,"",INDEX(المحفظة!$E$5:$E$104,IFERROR(MATCH(11,المحفظة!$H$5:$H$104,0),0))),"")</f>
        <v>0</v>
      </c>
      <c r="F15" s="4" t="str">
        <f>IFERROR(IF(IFERROR(MATCH(11,المحفظة!$H$5:$H$104,0),0)=0,"",INDEX(المحفظة!$F$5:$F$104,IFERROR(MATCH(11,المحفظة!$H$5:$H$104,0),0))),"")</f>
        <v>نقداً</v>
      </c>
      <c r="G15" s="105"/>
    </row>
    <row r="16" spans="1:7" ht="16.5" customHeight="1">
      <c r="A16" s="10">
        <f>IFERROR(IF(IFERROR(MATCH(12,المحفظة!$H$5:$H$104,0),0)=0,"",INDEX(المحفظة!$A$5:$A$104,IFERROR(MATCH(12,المحفظة!$H$5:$H$104,0),0))),"")</f>
        <v>46186</v>
      </c>
      <c r="B16" s="11" t="str">
        <f>IFERROR(IF(IFERROR(MATCH(12,المحفظة!$H$5:$H$104,0),0)=0,"",INDEX(المحفظة!$B$5:$B$104,IFERROR(MATCH(12,المحفظة!$H$5:$H$104,0),0))),"")</f>
        <v>Inv-65</v>
      </c>
      <c r="C16" s="106" t="str">
        <f>IFERROR(IF(IFERROR(MATCH(12,المحفظة!$H$5:$H$104,0),0)=0,"",INDEX(المحفظة!$C$5:$C$104,IFERROR(MATCH(12,المحفظة!$H$5:$H$104,0),0))),"")</f>
        <v>ودوليه عدد 5 الحبه 1</v>
      </c>
      <c r="D16" s="13" t="s">
        <v>6</v>
      </c>
      <c r="E16" s="14">
        <f>IFERROR(IF(IFERROR(MATCH(12,المحفظة!$H$5:$H$104,0),0)=0,"",INDEX(المحفظة!$E$5:$E$104,IFERROR(MATCH(12,المحفظة!$H$5:$H$104,0),0))),"")</f>
        <v>5</v>
      </c>
      <c r="F16" s="11" t="str">
        <f>IFERROR(IF(IFERROR(MATCH(12,المحفظة!$H$5:$H$104,0),0)=0,"",INDEX(المحفظة!$F$5:$F$104,IFERROR(MATCH(12,المحفظة!$H$5:$H$104,0),0))),"")</f>
        <v>نقداً</v>
      </c>
      <c r="G16" s="107"/>
    </row>
    <row r="17" spans="1:7" ht="16.5" customHeight="1">
      <c r="A17" s="3">
        <f>IFERROR(IF(IFERROR(MATCH(13,المحفظة!$H$5:$H$104,0),0)=0,"",INDEX(المحفظة!$A$5:$A$104,IFERROR(MATCH(13,المحفظة!$H$5:$H$104,0),0))),"")</f>
        <v>46187</v>
      </c>
      <c r="B17" s="4">
        <f>IFERROR(IF(IFERROR(MATCH(13,المحفظة!$H$5:$H$104,0),0)=0,"",INDEX(المحفظة!$B$5:$B$104,IFERROR(MATCH(13,المحفظة!$H$5:$H$104,0),0))),"")</f>
        <v>0</v>
      </c>
      <c r="C17" s="104" t="str">
        <f>IFERROR(IF(IFERROR(MATCH(13,المحفظة!$H$5:$H$104,0),0)=0,"",INDEX(المحفظة!$C$5:$C$104,IFERROR(MATCH(13,المحفظة!$H$5:$H$104,0),0))),"")</f>
        <v>عصايا عدد 2000 احواض معاقات عدد 250</v>
      </c>
      <c r="D17" s="6" t="s">
        <v>6</v>
      </c>
      <c r="E17" s="7">
        <f>IFERROR(IF(IFERROR(MATCH(13,المحفظة!$H$5:$H$104,0),0)=0,"",INDEX(المحفظة!$E$5:$E$104,IFERROR(MATCH(13,المحفظة!$H$5:$H$104,0),0))),"")</f>
        <v>0</v>
      </c>
      <c r="F17" s="4" t="str">
        <f>IFERROR(IF(IFERROR(MATCH(13,المحفظة!$H$5:$H$104,0),0)=0,"",INDEX(المحفظة!$F$5:$F$104,IFERROR(MATCH(13,المحفظة!$H$5:$H$104,0),0))),"")</f>
        <v>نقداً</v>
      </c>
      <c r="G17" s="105"/>
    </row>
    <row r="18" spans="1:7" ht="16.5" customHeight="1">
      <c r="A18" s="10">
        <f>IFERROR(IF(IFERROR(MATCH(14,المحفظة!$H$5:$H$104,0),0)=0,"",INDEX(المحفظة!$A$5:$A$104,IFERROR(MATCH(14,المحفظة!$H$5:$H$104,0),0))),"")</f>
        <v>46189</v>
      </c>
      <c r="B18" s="11" t="str">
        <f>IFERROR(IF(IFERROR(MATCH(14,المحفظة!$H$5:$H$104,0),0)=0,"",INDEX(المحفظة!$B$5:$B$104,IFERROR(MATCH(14,المحفظة!$H$5:$H$104,0),0))),"")</f>
        <v>Inv-67</v>
      </c>
      <c r="C18" s="106" t="str">
        <f>IFERROR(IF(IFERROR(MATCH(14,المحفظة!$H$5:$H$104,0),0)=0,"",INDEX(المحفظة!$C$5:$C$104,IFERROR(MATCH(14,المحفظة!$H$5:$H$104,0),0))),"")</f>
        <v>فيكس عدد7 الحبه 1</v>
      </c>
      <c r="D18" s="13" t="s">
        <v>6</v>
      </c>
      <c r="E18" s="14">
        <f>IFERROR(IF(IFERROR(MATCH(14,المحفظة!$H$5:$H$104,0),0)=0,"",INDEX(المحفظة!$E$5:$E$104,IFERROR(MATCH(14,المحفظة!$H$5:$H$104,0),0))),"")</f>
        <v>7</v>
      </c>
      <c r="F18" s="11" t="str">
        <f>IFERROR(IF(IFERROR(MATCH(14,المحفظة!$H$5:$H$104,0),0)=0,"",INDEX(المحفظة!$F$5:$F$104,IFERROR(MATCH(14,المحفظة!$H$5:$H$104,0),0))),"")</f>
        <v>أون لاين</v>
      </c>
      <c r="G18" s="107"/>
    </row>
    <row r="19" spans="1:7" ht="16.5" customHeight="1">
      <c r="A19" s="3">
        <f>IFERROR(IF(IFERROR(MATCH(15,المحفظة!$H$5:$H$104,0),0)=0,"",INDEX(المحفظة!$A$5:$A$104,IFERROR(MATCH(15,المحفظة!$H$5:$H$104,0),0))),"")</f>
        <v>46189</v>
      </c>
      <c r="B19" s="4" t="str">
        <f>IFERROR(IF(IFERROR(MATCH(15,المحفظة!$H$5:$H$104,0),0)=0,"",INDEX(المحفظة!$B$5:$B$104,IFERROR(MATCH(15,المحفظة!$H$5:$H$104,0),0))),"")</f>
        <v>Inv-68</v>
      </c>
      <c r="C19" s="104" t="str">
        <f>IFERROR(IF(IFERROR(MATCH(15,المحفظة!$H$5:$H$104,0),0)=0,"",INDEX(المحفظة!$C$5:$C$104,IFERROR(MATCH(15,المحفظة!$H$5:$H$104,0),0))),"")</f>
        <v>ربل عدد 5 الحبه 2</v>
      </c>
      <c r="D19" s="6" t="s">
        <v>6</v>
      </c>
      <c r="E19" s="7">
        <f>IFERROR(IF(IFERROR(MATCH(15,المحفظة!$H$5:$H$104,0),0)=0,"",INDEX(المحفظة!$E$5:$E$104,IFERROR(MATCH(15,المحفظة!$H$5:$H$104,0),0))),"")</f>
        <v>10</v>
      </c>
      <c r="F19" s="4" t="str">
        <f>IFERROR(IF(IFERROR(MATCH(15,المحفظة!$H$5:$H$104,0),0)=0,"",INDEX(المحفظة!$F$5:$F$104,IFERROR(MATCH(15,المحفظة!$H$5:$H$104,0),0))),"")</f>
        <v>أون لاين</v>
      </c>
      <c r="G19" s="105"/>
    </row>
    <row r="20" spans="1:7" ht="16.5" customHeight="1">
      <c r="A20" s="10">
        <f>IFERROR(IF(IFERROR(MATCH(16,المحفظة!$H$5:$H$104,0),0)=0,"",INDEX(المحفظة!$A$5:$A$104,IFERROR(MATCH(16,المحفظة!$H$5:$H$104,0),0))),"")</f>
        <v>46189</v>
      </c>
      <c r="B20" s="11" t="str">
        <f>IFERROR(IF(IFERROR(MATCH(16,المحفظة!$H$5:$H$104,0),0)=0,"",INDEX(المحفظة!$B$5:$B$104,IFERROR(MATCH(16,المحفظة!$H$5:$H$104,0),0))),"")</f>
        <v>Inv-69</v>
      </c>
      <c r="C20" s="106" t="str">
        <f>IFERROR(IF(IFERROR(MATCH(16,المحفظة!$H$5:$H$104,0),0)=0,"",INDEX(المحفظة!$C$5:$C$104,IFERROR(MATCH(16,المحفظة!$H$5:$H$104,0),0))),"")</f>
        <v>فل عدد 24 الحبه .750</v>
      </c>
      <c r="D20" s="13" t="s">
        <v>6</v>
      </c>
      <c r="E20" s="14">
        <f>IFERROR(IF(IFERROR(MATCH(16,المحفظة!$H$5:$H$104,0),0)=0,"",INDEX(المحفظة!$E$5:$E$104,IFERROR(MATCH(16,المحفظة!$H$5:$H$104,0),0))),"")</f>
        <v>18</v>
      </c>
      <c r="F20" s="11" t="str">
        <f>IFERROR(IF(IFERROR(MATCH(16,المحفظة!$H$5:$H$104,0),0)=0,"",INDEX(المحفظة!$F$5:$F$104,IFERROR(MATCH(16,المحفظة!$H$5:$H$104,0),0))),"")</f>
        <v>أون لاين</v>
      </c>
      <c r="G20" s="107"/>
    </row>
    <row r="21" spans="1:7" ht="16.5" customHeight="1">
      <c r="A21" s="3">
        <f>IFERROR(IF(IFERROR(MATCH(17,المحفظة!$H$5:$H$104,0),0)=0,"",INDEX(المحفظة!$A$5:$A$104,IFERROR(MATCH(17,المحفظة!$H$5:$H$104,0),0))),"")</f>
        <v>46188</v>
      </c>
      <c r="B21" s="4">
        <f>IFERROR(IF(IFERROR(MATCH(17,المحفظة!$H$5:$H$104,0),0)=0,"",INDEX(المحفظة!$B$5:$B$104,IFERROR(MATCH(17,المحفظة!$H$5:$H$104,0),0))),"")</f>
        <v>0</v>
      </c>
      <c r="C21" s="104" t="str">
        <f>IFERROR(IF(IFERROR(MATCH(17,المحفظة!$H$5:$H$104,0),0)=0,"",INDEX(المحفظة!$C$5:$C$104,IFERROR(MATCH(17,المحفظة!$H$5:$H$104,0),0))),"")</f>
        <v>أقامه عبدول</v>
      </c>
      <c r="D21" s="6" t="s">
        <v>6</v>
      </c>
      <c r="E21" s="7">
        <f>IFERROR(IF(IFERROR(MATCH(17,المحفظة!$H$5:$H$104,0),0)=0,"",INDEX(المحفظة!$E$5:$E$104,IFERROR(MATCH(17,المحفظة!$H$5:$H$104,0),0))),"")</f>
        <v>0</v>
      </c>
      <c r="F21" s="4" t="str">
        <f>IFERROR(IF(IFERROR(MATCH(17,المحفظة!$H$5:$H$104,0),0)=0,"",INDEX(المحفظة!$F$5:$F$104,IFERROR(MATCH(17,المحفظة!$H$5:$H$104,0),0))),"")</f>
        <v>نقداً</v>
      </c>
      <c r="G21" s="105"/>
    </row>
    <row r="22" spans="1:7" ht="16.5" customHeight="1">
      <c r="A22" s="10" t="str">
        <f>IFERROR(IF(IFERROR(MATCH(18,المحفظة!$H$5:$H$104,0),0)=0,"",INDEX(المحفظة!$A$5:$A$104,IFERROR(MATCH(18,المحفظة!$H$5:$H$104,0),0))),"")</f>
        <v/>
      </c>
      <c r="B22" s="11" t="str">
        <f>IFERROR(IF(IFERROR(MATCH(18,المحفظة!$H$5:$H$104,0),0)=0,"",INDEX(المحفظة!$B$5:$B$104,IFERROR(MATCH(18,المحفظة!$H$5:$H$104,0),0))),"")</f>
        <v/>
      </c>
      <c r="C22" s="106" t="str">
        <f>IFERROR(IF(IFERROR(MATCH(18,المحفظة!$H$5:$H$104,0),0)=0,"",INDEX(المحفظة!$C$5:$C$104,IFERROR(MATCH(18,المحفظة!$H$5:$H$104,0),0))),"")</f>
        <v/>
      </c>
      <c r="D22" s="13" t="s">
        <v>6</v>
      </c>
      <c r="E22" s="14" t="str">
        <f>IFERROR(IF(IFERROR(MATCH(18,المحفظة!$H$5:$H$104,0),0)=0,"",INDEX(المحفظة!$E$5:$E$104,IFERROR(MATCH(18,المحفظة!$H$5:$H$104,0),0))),"")</f>
        <v/>
      </c>
      <c r="F22" s="11" t="str">
        <f>IFERROR(IF(IFERROR(MATCH(18,المحفظة!$H$5:$H$104,0),0)=0,"",INDEX(المحفظة!$F$5:$F$104,IFERROR(MATCH(18,المحفظة!$H$5:$H$104,0),0))),"")</f>
        <v/>
      </c>
      <c r="G22" s="107"/>
    </row>
    <row r="23" spans="1:7" ht="16.5" customHeight="1">
      <c r="A23" s="3" t="str">
        <f>IFERROR(IF(IFERROR(MATCH(19,المحفظة!$H$5:$H$104,0),0)=0,"",INDEX(المحفظة!$A$5:$A$104,IFERROR(MATCH(19,المحفظة!$H$5:$H$104,0),0))),"")</f>
        <v/>
      </c>
      <c r="B23" s="4" t="str">
        <f>IFERROR(IF(IFERROR(MATCH(19,المحفظة!$H$5:$H$104,0),0)=0,"",INDEX(المحفظة!$B$5:$B$104,IFERROR(MATCH(19,المحفظة!$H$5:$H$104,0),0))),"")</f>
        <v/>
      </c>
      <c r="C23" s="104" t="str">
        <f>IFERROR(IF(IFERROR(MATCH(19,المحفظة!$H$5:$H$104,0),0)=0,"",INDEX(المحفظة!$C$5:$C$104,IFERROR(MATCH(19,المحفظة!$H$5:$H$104,0),0))),"")</f>
        <v/>
      </c>
      <c r="D23" s="6" t="s">
        <v>6</v>
      </c>
      <c r="E23" s="7" t="str">
        <f>IFERROR(IF(IFERROR(MATCH(19,المحفظة!$H$5:$H$104,0),0)=0,"",INDEX(المحفظة!$E$5:$E$104,IFERROR(MATCH(19,المحفظة!$H$5:$H$104,0),0))),"")</f>
        <v/>
      </c>
      <c r="F23" s="4" t="str">
        <f>IFERROR(IF(IFERROR(MATCH(19,المحفظة!$H$5:$H$104,0),0)=0,"",INDEX(المحفظة!$F$5:$F$104,IFERROR(MATCH(19,المحفظة!$H$5:$H$104,0),0))),"")</f>
        <v/>
      </c>
      <c r="G23" s="105"/>
    </row>
    <row r="24" spans="1:7" ht="15" customHeight="1">
      <c r="A24" s="108" t="str">
        <f>IFERROR(IF(IFERROR(MATCH(20,المحفظة!$H$5:$H$104,0),0)=0,"",INDEX(المحفظة!$A$5:$A$104,IFERROR(MATCH(20,المحفظة!$H$5:$H$104,0),0))),"")</f>
        <v/>
      </c>
      <c r="B24" s="109" t="str">
        <f>IFERROR(IF(IFERROR(MATCH(20,المحفظة!$H$5:$H$104,0),0)=0,"",INDEX(المحفظة!$B$5:$B$104,IFERROR(MATCH(20,المحفظة!$H$5:$H$104,0),0))),"")</f>
        <v/>
      </c>
      <c r="C24" s="110" t="str">
        <f>IFERROR(IF(IFERROR(MATCH(20,المحفظة!$H$5:$H$104,0),0)=0,"",INDEX(المحفظة!$C$5:$C$104,IFERROR(MATCH(20,المحفظة!$H$5:$H$104,0),0))),"")</f>
        <v/>
      </c>
      <c r="D24" s="111" t="s">
        <v>6</v>
      </c>
      <c r="E24" s="112" t="str">
        <f>IFERROR(IF(IFERROR(MATCH(20,المحفظة!$H$5:$H$104,0),0)=0,"",INDEX(المحفظة!$E$5:$E$104,IFERROR(MATCH(20,المحفظة!$H$5:$H$104,0),0))),"")</f>
        <v/>
      </c>
      <c r="F24" s="109" t="str">
        <f>IFERROR(IF(IFERROR(MATCH(20,المحفظة!$H$5:$H$104,0),0)=0,"",INDEX(المحفظة!$F$5:$F$104,IFERROR(MATCH(20,المحفظة!$H$5:$H$104,0),0))),"")</f>
        <v/>
      </c>
      <c r="G24" s="16"/>
    </row>
    <row r="25" spans="1:7" ht="15" customHeight="1">
      <c r="A25" s="113" t="str">
        <f>IFERROR(IF(IFERROR(MATCH(21,المحفظة!$H$5:$H$104,0),0)=0,"",INDEX(المحفظة!$A$5:$A$104,IFERROR(MATCH(21,المحفظة!$H$5:$H$104,0),0))),"")</f>
        <v/>
      </c>
      <c r="B25" s="114" t="str">
        <f>IFERROR(IF(IFERROR(MATCH(21,المحفظة!$H$5:$H$104,0),0)=0,"",INDEX(المحفظة!$B$5:$B$104,IFERROR(MATCH(21,المحفظة!$H$5:$H$104,0),0))),"")</f>
        <v/>
      </c>
      <c r="C25" s="115" t="str">
        <f>IFERROR(IF(IFERROR(MATCH(21,المحفظة!$H$5:$H$104,0),0)=0,"",INDEX(المحفظة!$C$5:$C$104,IFERROR(MATCH(21,المحفظة!$H$5:$H$104,0),0))),"")</f>
        <v/>
      </c>
      <c r="D25" s="116" t="s">
        <v>6</v>
      </c>
      <c r="E25" s="117" t="str">
        <f>IFERROR(IF(IFERROR(MATCH(21,المحفظة!$H$5:$H$104,0),0)=0,"",INDEX(المحفظة!$E$5:$E$104,IFERROR(MATCH(21,المحفظة!$H$5:$H$104,0),0))),"")</f>
        <v/>
      </c>
      <c r="F25" s="114" t="str">
        <f>IFERROR(IF(IFERROR(MATCH(21,المحفظة!$H$5:$H$104,0),0)=0,"",INDEX(المحفظة!$F$5:$F$104,IFERROR(MATCH(21,المحفظة!$H$5:$H$104,0),0))),"")</f>
        <v/>
      </c>
      <c r="G25" s="9"/>
    </row>
    <row r="26" spans="1:7" ht="15" customHeight="1">
      <c r="A26" s="108" t="str">
        <f>IFERROR(IF(IFERROR(MATCH(22,المحفظة!$H$5:$H$104,0),0)=0,"",INDEX(المحفظة!$A$5:$A$104,IFERROR(MATCH(22,المحفظة!$H$5:$H$104,0),0))),"")</f>
        <v/>
      </c>
      <c r="B26" s="109" t="str">
        <f>IFERROR(IF(IFERROR(MATCH(22,المحفظة!$H$5:$H$104,0),0)=0,"",INDEX(المحفظة!$B$5:$B$104,IFERROR(MATCH(22,المحفظة!$H$5:$H$104,0),0))),"")</f>
        <v/>
      </c>
      <c r="C26" s="110" t="str">
        <f>IFERROR(IF(IFERROR(MATCH(22,المحفظة!$H$5:$H$104,0),0)=0,"",INDEX(المحفظة!$C$5:$C$104,IFERROR(MATCH(22,المحفظة!$H$5:$H$104,0),0))),"")</f>
        <v/>
      </c>
      <c r="D26" s="111" t="s">
        <v>6</v>
      </c>
      <c r="E26" s="112" t="str">
        <f>IFERROR(IF(IFERROR(MATCH(22,المحفظة!$H$5:$H$104,0),0)=0,"",INDEX(المحفظة!$E$5:$E$104,IFERROR(MATCH(22,المحفظة!$H$5:$H$104,0),0))),"")</f>
        <v/>
      </c>
      <c r="F26" s="109" t="str">
        <f>IFERROR(IF(IFERROR(MATCH(22,المحفظة!$H$5:$H$104,0),0)=0,"",INDEX(المحفظة!$F$5:$F$104,IFERROR(MATCH(22,المحفظة!$H$5:$H$104,0),0))),"")</f>
        <v/>
      </c>
      <c r="G26" s="16"/>
    </row>
    <row r="27" spans="1:7" ht="15" customHeight="1">
      <c r="A27" s="113" t="str">
        <f>IFERROR(IF(IFERROR(MATCH(23,المحفظة!$H$5:$H$104,0),0)=0,"",INDEX(المحفظة!$A$5:$A$104,IFERROR(MATCH(23,المحفظة!$H$5:$H$104,0),0))),"")</f>
        <v/>
      </c>
      <c r="B27" s="114" t="str">
        <f>IFERROR(IF(IFERROR(MATCH(23,المحفظة!$H$5:$H$104,0),0)=0,"",INDEX(المحفظة!$B$5:$B$104,IFERROR(MATCH(23,المحفظة!$H$5:$H$104,0),0))),"")</f>
        <v/>
      </c>
      <c r="C27" s="115" t="str">
        <f>IFERROR(IF(IFERROR(MATCH(23,المحفظة!$H$5:$H$104,0),0)=0,"",INDEX(المحفظة!$C$5:$C$104,IFERROR(MATCH(23,المحفظة!$H$5:$H$104,0),0))),"")</f>
        <v/>
      </c>
      <c r="D27" s="116" t="s">
        <v>6</v>
      </c>
      <c r="E27" s="117" t="str">
        <f>IFERROR(IF(IFERROR(MATCH(23,المحفظة!$H$5:$H$104,0),0)=0,"",INDEX(المحفظة!$E$5:$E$104,IFERROR(MATCH(23,المحفظة!$H$5:$H$104,0),0))),"")</f>
        <v/>
      </c>
      <c r="F27" s="114" t="str">
        <f>IFERROR(IF(IFERROR(MATCH(23,المحفظة!$H$5:$H$104,0),0)=0,"",INDEX(المحفظة!$F$5:$F$104,IFERROR(MATCH(23,المحفظة!$H$5:$H$104,0),0))),"")</f>
        <v/>
      </c>
      <c r="G27" s="9"/>
    </row>
    <row r="28" spans="1:7" ht="15" customHeight="1">
      <c r="A28" s="108" t="str">
        <f>IFERROR(IF(IFERROR(MATCH(24,المحفظة!$H$5:$H$104,0),0)=0,"",INDEX(المحفظة!$A$5:$A$104,IFERROR(MATCH(24,المحفظة!$H$5:$H$104,0),0))),"")</f>
        <v/>
      </c>
      <c r="B28" s="109" t="str">
        <f>IFERROR(IF(IFERROR(MATCH(24,المحفظة!$H$5:$H$104,0),0)=0,"",INDEX(المحفظة!$B$5:$B$104,IFERROR(MATCH(24,المحفظة!$H$5:$H$104,0),0))),"")</f>
        <v/>
      </c>
      <c r="C28" s="110" t="str">
        <f>IFERROR(IF(IFERROR(MATCH(24,المحفظة!$H$5:$H$104,0),0)=0,"",INDEX(المحفظة!$C$5:$C$104,IFERROR(MATCH(24,المحفظة!$H$5:$H$104,0),0))),"")</f>
        <v/>
      </c>
      <c r="D28" s="111" t="s">
        <v>6</v>
      </c>
      <c r="E28" s="112" t="str">
        <f>IFERROR(IF(IFERROR(MATCH(24,المحفظة!$H$5:$H$104,0),0)=0,"",INDEX(المحفظة!$E$5:$E$104,IFERROR(MATCH(24,المحفظة!$H$5:$H$104,0),0))),"")</f>
        <v/>
      </c>
      <c r="F28" s="109" t="str">
        <f>IFERROR(IF(IFERROR(MATCH(24,المحفظة!$H$5:$H$104,0),0)=0,"",INDEX(المحفظة!$F$5:$F$104,IFERROR(MATCH(24,المحفظة!$H$5:$H$104,0),0))),"")</f>
        <v/>
      </c>
      <c r="G28" s="16"/>
    </row>
    <row r="29" spans="1:7" ht="15" customHeight="1">
      <c r="A29" s="113" t="str">
        <f>IFERROR(IF(IFERROR(MATCH(25,المحفظة!$H$5:$H$104,0),0)=0,"",INDEX(المحفظة!$A$5:$A$104,IFERROR(MATCH(25,المحفظة!$H$5:$H$104,0),0))),"")</f>
        <v/>
      </c>
      <c r="B29" s="114" t="str">
        <f>IFERROR(IF(IFERROR(MATCH(25,المحفظة!$H$5:$H$104,0),0)=0,"",INDEX(المحفظة!$B$5:$B$104,IFERROR(MATCH(25,المحفظة!$H$5:$H$104,0),0))),"")</f>
        <v/>
      </c>
      <c r="C29" s="115" t="str">
        <f>IFERROR(IF(IFERROR(MATCH(25,المحفظة!$H$5:$H$104,0),0)=0,"",INDEX(المحفظة!$C$5:$C$104,IFERROR(MATCH(25,المحفظة!$H$5:$H$104,0),0))),"")</f>
        <v/>
      </c>
      <c r="D29" s="116" t="s">
        <v>6</v>
      </c>
      <c r="E29" s="117" t="str">
        <f>IFERROR(IF(IFERROR(MATCH(25,المحفظة!$H$5:$H$104,0),0)=0,"",INDEX(المحفظة!$E$5:$E$104,IFERROR(MATCH(25,المحفظة!$H$5:$H$104,0),0))),"")</f>
        <v/>
      </c>
      <c r="F29" s="114" t="str">
        <f>IFERROR(IF(IFERROR(MATCH(25,المحفظة!$H$5:$H$104,0),0)=0,"",INDEX(المحفظة!$F$5:$F$104,IFERROR(MATCH(25,المحفظة!$H$5:$H$104,0),0))),"")</f>
        <v/>
      </c>
      <c r="G29" s="9"/>
    </row>
    <row r="30" spans="1:7" ht="15" customHeight="1">
      <c r="A30" s="108" t="str">
        <f>IFERROR(IF(IFERROR(MATCH(26,المحفظة!$H$5:$H$104,0),0)=0,"",INDEX(المحفظة!$A$5:$A$104,IFERROR(MATCH(26,المحفظة!$H$5:$H$104,0),0))),"")</f>
        <v/>
      </c>
      <c r="B30" s="109" t="str">
        <f>IFERROR(IF(IFERROR(MATCH(26,المحفظة!$H$5:$H$104,0),0)=0,"",INDEX(المحفظة!$B$5:$B$104,IFERROR(MATCH(26,المحفظة!$H$5:$H$104,0),0))),"")</f>
        <v/>
      </c>
      <c r="C30" s="110" t="str">
        <f>IFERROR(IF(IFERROR(MATCH(26,المحفظة!$H$5:$H$104,0),0)=0,"",INDEX(المحفظة!$C$5:$C$104,IFERROR(MATCH(26,المحفظة!$H$5:$H$104,0),0))),"")</f>
        <v/>
      </c>
      <c r="D30" s="111" t="s">
        <v>6</v>
      </c>
      <c r="E30" s="112" t="str">
        <f>IFERROR(IF(IFERROR(MATCH(26,المحفظة!$H$5:$H$104,0),0)=0,"",INDEX(المحفظة!$E$5:$E$104,IFERROR(MATCH(26,المحفظة!$H$5:$H$104,0),0))),"")</f>
        <v/>
      </c>
      <c r="F30" s="109" t="str">
        <f>IFERROR(IF(IFERROR(MATCH(26,المحفظة!$H$5:$H$104,0),0)=0,"",INDEX(المحفظة!$F$5:$F$104,IFERROR(MATCH(26,المحفظة!$H$5:$H$104,0),0))),"")</f>
        <v/>
      </c>
      <c r="G30" s="16"/>
    </row>
    <row r="31" spans="1:7" ht="15" customHeight="1">
      <c r="A31" s="113" t="str">
        <f>IFERROR(IF(IFERROR(MATCH(27,المحفظة!$H$5:$H$104,0),0)=0,"",INDEX(المحفظة!$A$5:$A$104,IFERROR(MATCH(27,المحفظة!$H$5:$H$104,0),0))),"")</f>
        <v/>
      </c>
      <c r="B31" s="114" t="str">
        <f>IFERROR(IF(IFERROR(MATCH(27,المحفظة!$H$5:$H$104,0),0)=0,"",INDEX(المحفظة!$B$5:$B$104,IFERROR(MATCH(27,المحفظة!$H$5:$H$104,0),0))),"")</f>
        <v/>
      </c>
      <c r="C31" s="115" t="str">
        <f>IFERROR(IF(IFERROR(MATCH(27,المحفظة!$H$5:$H$104,0),0)=0,"",INDEX(المحفظة!$C$5:$C$104,IFERROR(MATCH(27,المحفظة!$H$5:$H$104,0),0))),"")</f>
        <v/>
      </c>
      <c r="D31" s="116" t="s">
        <v>6</v>
      </c>
      <c r="E31" s="117" t="str">
        <f>IFERROR(IF(IFERROR(MATCH(27,المحفظة!$H$5:$H$104,0),0)=0,"",INDEX(المحفظة!$E$5:$E$104,IFERROR(MATCH(27,المحفظة!$H$5:$H$104,0),0))),"")</f>
        <v/>
      </c>
      <c r="F31" s="114" t="str">
        <f>IFERROR(IF(IFERROR(MATCH(27,المحفظة!$H$5:$H$104,0),0)=0,"",INDEX(المحفظة!$F$5:$F$104,IFERROR(MATCH(27,المحفظة!$H$5:$H$104,0),0))),"")</f>
        <v/>
      </c>
      <c r="G31" s="9"/>
    </row>
    <row r="32" spans="1:7" ht="15" customHeight="1">
      <c r="A32" s="108" t="str">
        <f>IFERROR(IF(IFERROR(MATCH(28,المحفظة!$H$5:$H$104,0),0)=0,"",INDEX(المحفظة!$A$5:$A$104,IFERROR(MATCH(28,المحفظة!$H$5:$H$104,0),0))),"")</f>
        <v/>
      </c>
      <c r="B32" s="109" t="str">
        <f>IFERROR(IF(IFERROR(MATCH(28,المحفظة!$H$5:$H$104,0),0)=0,"",INDEX(المحفظة!$B$5:$B$104,IFERROR(MATCH(28,المحفظة!$H$5:$H$104,0),0))),"")</f>
        <v/>
      </c>
      <c r="C32" s="110" t="str">
        <f>IFERROR(IF(IFERROR(MATCH(28,المحفظة!$H$5:$H$104,0),0)=0,"",INDEX(المحفظة!$C$5:$C$104,IFERROR(MATCH(28,المحفظة!$H$5:$H$104,0),0))),"")</f>
        <v/>
      </c>
      <c r="D32" s="111" t="s">
        <v>6</v>
      </c>
      <c r="E32" s="112" t="str">
        <f>IFERROR(IF(IFERROR(MATCH(28,المحفظة!$H$5:$H$104,0),0)=0,"",INDEX(المحفظة!$E$5:$E$104,IFERROR(MATCH(28,المحفظة!$H$5:$H$104,0),0))),"")</f>
        <v/>
      </c>
      <c r="F32" s="109" t="str">
        <f>IFERROR(IF(IFERROR(MATCH(28,المحفظة!$H$5:$H$104,0),0)=0,"",INDEX(المحفظة!$F$5:$F$104,IFERROR(MATCH(28,المحفظة!$H$5:$H$104,0),0))),"")</f>
        <v/>
      </c>
      <c r="G32" s="16"/>
    </row>
    <row r="33" spans="1:7" ht="15" customHeight="1">
      <c r="A33" s="113" t="str">
        <f>IFERROR(IF(IFERROR(MATCH(29,المحفظة!$H$5:$H$104,0),0)=0,"",INDEX(المحفظة!$A$5:$A$104,IFERROR(MATCH(29,المحفظة!$H$5:$H$104,0),0))),"")</f>
        <v/>
      </c>
      <c r="B33" s="114" t="str">
        <f>IFERROR(IF(IFERROR(MATCH(29,المحفظة!$H$5:$H$104,0),0)=0,"",INDEX(المحفظة!$B$5:$B$104,IFERROR(MATCH(29,المحفظة!$H$5:$H$104,0),0))),"")</f>
        <v/>
      </c>
      <c r="C33" s="115" t="str">
        <f>IFERROR(IF(IFERROR(MATCH(29,المحفظة!$H$5:$H$104,0),0)=0,"",INDEX(المحفظة!$C$5:$C$104,IFERROR(MATCH(29,المحفظة!$H$5:$H$104,0),0))),"")</f>
        <v/>
      </c>
      <c r="D33" s="116" t="s">
        <v>6</v>
      </c>
      <c r="E33" s="117" t="str">
        <f>IFERROR(IF(IFERROR(MATCH(29,المحفظة!$H$5:$H$104,0),0)=0,"",INDEX(المحفظة!$E$5:$E$104,IFERROR(MATCH(29,المحفظة!$H$5:$H$104,0),0))),"")</f>
        <v/>
      </c>
      <c r="F33" s="114" t="str">
        <f>IFERROR(IF(IFERROR(MATCH(29,المحفظة!$H$5:$H$104,0),0)=0,"",INDEX(المحفظة!$F$5:$F$104,IFERROR(MATCH(29,المحفظة!$H$5:$H$104,0),0))),"")</f>
        <v/>
      </c>
      <c r="G33" s="9"/>
    </row>
    <row r="34" spans="1:7" ht="15" customHeight="1">
      <c r="A34" s="108" t="str">
        <f>IFERROR(IF(IFERROR(MATCH(30,المحفظة!$H$5:$H$104,0),0)=0,"",INDEX(المحفظة!$A$5:$A$104,IFERROR(MATCH(30,المحفظة!$H$5:$H$104,0),0))),"")</f>
        <v/>
      </c>
      <c r="B34" s="109" t="str">
        <f>IFERROR(IF(IFERROR(MATCH(30,المحفظة!$H$5:$H$104,0),0)=0,"",INDEX(المحفظة!$B$5:$B$104,IFERROR(MATCH(30,المحفظة!$H$5:$H$104,0),0))),"")</f>
        <v/>
      </c>
      <c r="C34" s="110" t="str">
        <f>IFERROR(IF(IFERROR(MATCH(30,المحفظة!$H$5:$H$104,0),0)=0,"",INDEX(المحفظة!$C$5:$C$104,IFERROR(MATCH(30,المحفظة!$H$5:$H$104,0),0))),"")</f>
        <v/>
      </c>
      <c r="D34" s="111" t="s">
        <v>6</v>
      </c>
      <c r="E34" s="112" t="str">
        <f>IFERROR(IF(IFERROR(MATCH(30,المحفظة!$H$5:$H$104,0),0)=0,"",INDEX(المحفظة!$E$5:$E$104,IFERROR(MATCH(30,المحفظة!$H$5:$H$104,0),0))),"")</f>
        <v/>
      </c>
      <c r="F34" s="109" t="str">
        <f>IFERROR(IF(IFERROR(MATCH(30,المحفظة!$H$5:$H$104,0),0)=0,"",INDEX(المحفظة!$F$5:$F$104,IFERROR(MATCH(30,المحفظة!$H$5:$H$104,0),0))),"")</f>
        <v/>
      </c>
      <c r="G34" s="16"/>
    </row>
    <row r="35" spans="1:7" ht="15" customHeight="1">
      <c r="A35" s="113" t="str">
        <f>IFERROR(IF(IFERROR(MATCH(31,المحفظة!$H$5:$H$104,0),0)=0,"",INDEX(المحفظة!$A$5:$A$104,IFERROR(MATCH(31,المحفظة!$H$5:$H$104,0),0))),"")</f>
        <v/>
      </c>
      <c r="B35" s="114" t="str">
        <f>IFERROR(IF(IFERROR(MATCH(31,المحفظة!$H$5:$H$104,0),0)=0,"",INDEX(المحفظة!$B$5:$B$104,IFERROR(MATCH(31,المحفظة!$H$5:$H$104,0),0))),"")</f>
        <v/>
      </c>
      <c r="C35" s="115" t="str">
        <f>IFERROR(IF(IFERROR(MATCH(31,المحفظة!$H$5:$H$104,0),0)=0,"",INDEX(المحفظة!$C$5:$C$104,IFERROR(MATCH(31,المحفظة!$H$5:$H$104,0),0))),"")</f>
        <v/>
      </c>
      <c r="D35" s="116" t="s">
        <v>6</v>
      </c>
      <c r="E35" s="117" t="str">
        <f>IFERROR(IF(IFERROR(MATCH(31,المحفظة!$H$5:$H$104,0),0)=0,"",INDEX(المحفظة!$E$5:$E$104,IFERROR(MATCH(31,المحفظة!$H$5:$H$104,0),0))),"")</f>
        <v/>
      </c>
      <c r="F35" s="114" t="str">
        <f>IFERROR(IF(IFERROR(MATCH(31,المحفظة!$H$5:$H$104,0),0)=0,"",INDEX(المحفظة!$F$5:$F$104,IFERROR(MATCH(31,المحفظة!$H$5:$H$104,0),0))),"")</f>
        <v/>
      </c>
      <c r="G35" s="9"/>
    </row>
    <row r="36" spans="1:7" ht="15" customHeight="1">
      <c r="A36" s="108" t="str">
        <f>IFERROR(IF(IFERROR(MATCH(32,المحفظة!$H$5:$H$104,0),0)=0,"",INDEX(المحفظة!$A$5:$A$104,IFERROR(MATCH(32,المحفظة!$H$5:$H$104,0),0))),"")</f>
        <v/>
      </c>
      <c r="B36" s="109" t="str">
        <f>IFERROR(IF(IFERROR(MATCH(32,المحفظة!$H$5:$H$104,0),0)=0,"",INDEX(المحفظة!$B$5:$B$104,IFERROR(MATCH(32,المحفظة!$H$5:$H$104,0),0))),"")</f>
        <v/>
      </c>
      <c r="C36" s="110" t="str">
        <f>IFERROR(IF(IFERROR(MATCH(32,المحفظة!$H$5:$H$104,0),0)=0,"",INDEX(المحفظة!$C$5:$C$104,IFERROR(MATCH(32,المحفظة!$H$5:$H$104,0),0))),"")</f>
        <v/>
      </c>
      <c r="D36" s="111" t="s">
        <v>6</v>
      </c>
      <c r="E36" s="112" t="str">
        <f>IFERROR(IF(IFERROR(MATCH(32,المحفظة!$H$5:$H$104,0),0)=0,"",INDEX(المحفظة!$E$5:$E$104,IFERROR(MATCH(32,المحفظة!$H$5:$H$104,0),0))),"")</f>
        <v/>
      </c>
      <c r="F36" s="109" t="str">
        <f>IFERROR(IF(IFERROR(MATCH(32,المحفظة!$H$5:$H$104,0),0)=0,"",INDEX(المحفظة!$F$5:$F$104,IFERROR(MATCH(32,المحفظة!$H$5:$H$104,0),0))),"")</f>
        <v/>
      </c>
      <c r="G36" s="16"/>
    </row>
    <row r="37" spans="1:7" ht="15" customHeight="1">
      <c r="A37" s="113" t="str">
        <f>IFERROR(IF(IFERROR(MATCH(33,المحفظة!$H$5:$H$104,0),0)=0,"",INDEX(المحفظة!$A$5:$A$104,IFERROR(MATCH(33,المحفظة!$H$5:$H$104,0),0))),"")</f>
        <v/>
      </c>
      <c r="B37" s="114" t="str">
        <f>IFERROR(IF(IFERROR(MATCH(33,المحفظة!$H$5:$H$104,0),0)=0,"",INDEX(المحفظة!$B$5:$B$104,IFERROR(MATCH(33,المحفظة!$H$5:$H$104,0),0))),"")</f>
        <v/>
      </c>
      <c r="C37" s="115" t="str">
        <f>IFERROR(IF(IFERROR(MATCH(33,المحفظة!$H$5:$H$104,0),0)=0,"",INDEX(المحفظة!$C$5:$C$104,IFERROR(MATCH(33,المحفظة!$H$5:$H$104,0),0))),"")</f>
        <v/>
      </c>
      <c r="D37" s="116" t="s">
        <v>6</v>
      </c>
      <c r="E37" s="117" t="str">
        <f>IFERROR(IF(IFERROR(MATCH(33,المحفظة!$H$5:$H$104,0),0)=0,"",INDEX(المحفظة!$E$5:$E$104,IFERROR(MATCH(33,المحفظة!$H$5:$H$104,0),0))),"")</f>
        <v/>
      </c>
      <c r="F37" s="114" t="str">
        <f>IFERROR(IF(IFERROR(MATCH(33,المحفظة!$H$5:$H$104,0),0)=0,"",INDEX(المحفظة!$F$5:$F$104,IFERROR(MATCH(33,المحفظة!$H$5:$H$104,0),0))),"")</f>
        <v/>
      </c>
      <c r="G37" s="9"/>
    </row>
    <row r="38" spans="1:7" ht="15" customHeight="1">
      <c r="A38" s="108" t="str">
        <f>IFERROR(IF(IFERROR(MATCH(34,المحفظة!$H$5:$H$104,0),0)=0,"",INDEX(المحفظة!$A$5:$A$104,IFERROR(MATCH(34,المحفظة!$H$5:$H$104,0),0))),"")</f>
        <v/>
      </c>
      <c r="B38" s="109" t="str">
        <f>IFERROR(IF(IFERROR(MATCH(34,المحفظة!$H$5:$H$104,0),0)=0,"",INDEX(المحفظة!$B$5:$B$104,IFERROR(MATCH(34,المحفظة!$H$5:$H$104,0),0))),"")</f>
        <v/>
      </c>
      <c r="C38" s="110" t="str">
        <f>IFERROR(IF(IFERROR(MATCH(34,المحفظة!$H$5:$H$104,0),0)=0,"",INDEX(المحفظة!$C$5:$C$104,IFERROR(MATCH(34,المحفظة!$H$5:$H$104,0),0))),"")</f>
        <v/>
      </c>
      <c r="D38" s="111" t="s">
        <v>6</v>
      </c>
      <c r="E38" s="112" t="str">
        <f>IFERROR(IF(IFERROR(MATCH(34,المحفظة!$H$5:$H$104,0),0)=0,"",INDEX(المحفظة!$E$5:$E$104,IFERROR(MATCH(34,المحفظة!$H$5:$H$104,0),0))),"")</f>
        <v/>
      </c>
      <c r="F38" s="109" t="str">
        <f>IFERROR(IF(IFERROR(MATCH(34,المحفظة!$H$5:$H$104,0),0)=0,"",INDEX(المحفظة!$F$5:$F$104,IFERROR(MATCH(34,المحفظة!$H$5:$H$104,0),0))),"")</f>
        <v/>
      </c>
      <c r="G38" s="16"/>
    </row>
    <row r="39" spans="1:7" ht="15" customHeight="1">
      <c r="A39" s="113" t="str">
        <f>IFERROR(IF(IFERROR(MATCH(35,المحفظة!$H$5:$H$104,0),0)=0,"",INDEX(المحفظة!$A$5:$A$104,IFERROR(MATCH(35,المحفظة!$H$5:$H$104,0),0))),"")</f>
        <v/>
      </c>
      <c r="B39" s="114" t="str">
        <f>IFERROR(IF(IFERROR(MATCH(35,المحفظة!$H$5:$H$104,0),0)=0,"",INDEX(المحفظة!$B$5:$B$104,IFERROR(MATCH(35,المحفظة!$H$5:$H$104,0),0))),"")</f>
        <v/>
      </c>
      <c r="C39" s="115" t="str">
        <f>IFERROR(IF(IFERROR(MATCH(35,المحفظة!$H$5:$H$104,0),0)=0,"",INDEX(المحفظة!$C$5:$C$104,IFERROR(MATCH(35,المحفظة!$H$5:$H$104,0),0))),"")</f>
        <v/>
      </c>
      <c r="D39" s="116" t="s">
        <v>6</v>
      </c>
      <c r="E39" s="117" t="str">
        <f>IFERROR(IF(IFERROR(MATCH(35,المحفظة!$H$5:$H$104,0),0)=0,"",INDEX(المحفظة!$E$5:$E$104,IFERROR(MATCH(35,المحفظة!$H$5:$H$104,0),0))),"")</f>
        <v/>
      </c>
      <c r="F39" s="114" t="str">
        <f>IFERROR(IF(IFERROR(MATCH(35,المحفظة!$H$5:$H$104,0),0)=0,"",INDEX(المحفظة!$F$5:$F$104,IFERROR(MATCH(35,المحفظة!$H$5:$H$104,0),0))),"")</f>
        <v/>
      </c>
      <c r="G39" s="9"/>
    </row>
    <row r="40" spans="1:7" ht="15" customHeight="1">
      <c r="A40" s="108" t="str">
        <f>IFERROR(IF(IFERROR(MATCH(36,المحفظة!$H$5:$H$104,0),0)=0,"",INDEX(المحفظة!$A$5:$A$104,IFERROR(MATCH(36,المحفظة!$H$5:$H$104,0),0))),"")</f>
        <v/>
      </c>
      <c r="B40" s="109" t="str">
        <f>IFERROR(IF(IFERROR(MATCH(36,المحفظة!$H$5:$H$104,0),0)=0,"",INDEX(المحفظة!$B$5:$B$104,IFERROR(MATCH(36,المحفظة!$H$5:$H$104,0),0))),"")</f>
        <v/>
      </c>
      <c r="C40" s="110" t="str">
        <f>IFERROR(IF(IFERROR(MATCH(36,المحفظة!$H$5:$H$104,0),0)=0,"",INDEX(المحفظة!$C$5:$C$104,IFERROR(MATCH(36,المحفظة!$H$5:$H$104,0),0))),"")</f>
        <v/>
      </c>
      <c r="D40" s="111" t="s">
        <v>6</v>
      </c>
      <c r="E40" s="112" t="str">
        <f>IFERROR(IF(IFERROR(MATCH(36,المحفظة!$H$5:$H$104,0),0)=0,"",INDEX(المحفظة!$E$5:$E$104,IFERROR(MATCH(36,المحفظة!$H$5:$H$104,0),0))),"")</f>
        <v/>
      </c>
      <c r="F40" s="109" t="str">
        <f>IFERROR(IF(IFERROR(MATCH(36,المحفظة!$H$5:$H$104,0),0)=0,"",INDEX(المحفظة!$F$5:$F$104,IFERROR(MATCH(36,المحفظة!$H$5:$H$104,0),0))),"")</f>
        <v/>
      </c>
      <c r="G40" s="16"/>
    </row>
    <row r="41" spans="1:7" ht="15" customHeight="1">
      <c r="A41" s="113" t="str">
        <f>IFERROR(IF(IFERROR(MATCH(37,المحفظة!$H$5:$H$104,0),0)=0,"",INDEX(المحفظة!$A$5:$A$104,IFERROR(MATCH(37,المحفظة!$H$5:$H$104,0),0))),"")</f>
        <v/>
      </c>
      <c r="B41" s="114" t="str">
        <f>IFERROR(IF(IFERROR(MATCH(37,المحفظة!$H$5:$H$104,0),0)=0,"",INDEX(المحفظة!$B$5:$B$104,IFERROR(MATCH(37,المحفظة!$H$5:$H$104,0),0))),"")</f>
        <v/>
      </c>
      <c r="C41" s="115" t="str">
        <f>IFERROR(IF(IFERROR(MATCH(37,المحفظة!$H$5:$H$104,0),0)=0,"",INDEX(المحفظة!$C$5:$C$104,IFERROR(MATCH(37,المحفظة!$H$5:$H$104,0),0))),"")</f>
        <v/>
      </c>
      <c r="D41" s="116" t="s">
        <v>6</v>
      </c>
      <c r="E41" s="117" t="str">
        <f>IFERROR(IF(IFERROR(MATCH(37,المحفظة!$H$5:$H$104,0),0)=0,"",INDEX(المحفظة!$E$5:$E$104,IFERROR(MATCH(37,المحفظة!$H$5:$H$104,0),0))),"")</f>
        <v/>
      </c>
      <c r="F41" s="114" t="str">
        <f>IFERROR(IF(IFERROR(MATCH(37,المحفظة!$H$5:$H$104,0),0)=0,"",INDEX(المحفظة!$F$5:$F$104,IFERROR(MATCH(37,المحفظة!$H$5:$H$104,0),0))),"")</f>
        <v/>
      </c>
      <c r="G41" s="9"/>
    </row>
    <row r="42" spans="1:7" ht="15" customHeight="1">
      <c r="A42" s="108" t="str">
        <f>IFERROR(IF(IFERROR(MATCH(38,المحفظة!$H$5:$H$104,0),0)=0,"",INDEX(المحفظة!$A$5:$A$104,IFERROR(MATCH(38,المحفظة!$H$5:$H$104,0),0))),"")</f>
        <v/>
      </c>
      <c r="B42" s="109" t="str">
        <f>IFERROR(IF(IFERROR(MATCH(38,المحفظة!$H$5:$H$104,0),0)=0,"",INDEX(المحفظة!$B$5:$B$104,IFERROR(MATCH(38,المحفظة!$H$5:$H$104,0),0))),"")</f>
        <v/>
      </c>
      <c r="C42" s="110" t="str">
        <f>IFERROR(IF(IFERROR(MATCH(38,المحفظة!$H$5:$H$104,0),0)=0,"",INDEX(المحفظة!$C$5:$C$104,IFERROR(MATCH(38,المحفظة!$H$5:$H$104,0),0))),"")</f>
        <v/>
      </c>
      <c r="D42" s="111" t="s">
        <v>6</v>
      </c>
      <c r="E42" s="112" t="str">
        <f>IFERROR(IF(IFERROR(MATCH(38,المحفظة!$H$5:$H$104,0),0)=0,"",INDEX(المحفظة!$E$5:$E$104,IFERROR(MATCH(38,المحفظة!$H$5:$H$104,0),0))),"")</f>
        <v/>
      </c>
      <c r="F42" s="109" t="str">
        <f>IFERROR(IF(IFERROR(MATCH(38,المحفظة!$H$5:$H$104,0),0)=0,"",INDEX(المحفظة!$F$5:$F$104,IFERROR(MATCH(38,المحفظة!$H$5:$H$104,0),0))),"")</f>
        <v/>
      </c>
      <c r="G42" s="16"/>
    </row>
    <row r="43" spans="1:7" ht="15" customHeight="1">
      <c r="A43" s="113" t="str">
        <f>IFERROR(IF(IFERROR(MATCH(39,المحفظة!$H$5:$H$104,0),0)=0,"",INDEX(المحفظة!$A$5:$A$104,IFERROR(MATCH(39,المحفظة!$H$5:$H$104,0),0))),"")</f>
        <v/>
      </c>
      <c r="B43" s="114" t="str">
        <f>IFERROR(IF(IFERROR(MATCH(39,المحفظة!$H$5:$H$104,0),0)=0,"",INDEX(المحفظة!$B$5:$B$104,IFERROR(MATCH(39,المحفظة!$H$5:$H$104,0),0))),"")</f>
        <v/>
      </c>
      <c r="C43" s="115" t="str">
        <f>IFERROR(IF(IFERROR(MATCH(39,المحفظة!$H$5:$H$104,0),0)=0,"",INDEX(المحفظة!$C$5:$C$104,IFERROR(MATCH(39,المحفظة!$H$5:$H$104,0),0))),"")</f>
        <v/>
      </c>
      <c r="D43" s="116" t="s">
        <v>6</v>
      </c>
      <c r="E43" s="117" t="str">
        <f>IFERROR(IF(IFERROR(MATCH(39,المحفظة!$H$5:$H$104,0),0)=0,"",INDEX(المحفظة!$E$5:$E$104,IFERROR(MATCH(39,المحفظة!$H$5:$H$104,0),0))),"")</f>
        <v/>
      </c>
      <c r="F43" s="114" t="str">
        <f>IFERROR(IF(IFERROR(MATCH(39,المحفظة!$H$5:$H$104,0),0)=0,"",INDEX(المحفظة!$F$5:$F$104,IFERROR(MATCH(39,المحفظة!$H$5:$H$104,0),0))),"")</f>
        <v/>
      </c>
      <c r="G43" s="9"/>
    </row>
    <row r="44" spans="1:7" ht="15" customHeight="1">
      <c r="A44" s="108" t="str">
        <f>IFERROR(IF(IFERROR(MATCH(40,المحفظة!$H$5:$H$104,0),0)=0,"",INDEX(المحفظة!$A$5:$A$104,IFERROR(MATCH(40,المحفظة!$H$5:$H$104,0),0))),"")</f>
        <v/>
      </c>
      <c r="B44" s="109" t="str">
        <f>IFERROR(IF(IFERROR(MATCH(40,المحفظة!$H$5:$H$104,0),0)=0,"",INDEX(المحفظة!$B$5:$B$104,IFERROR(MATCH(40,المحفظة!$H$5:$H$104,0),0))),"")</f>
        <v/>
      </c>
      <c r="C44" s="110" t="str">
        <f>IFERROR(IF(IFERROR(MATCH(40,المحفظة!$H$5:$H$104,0),0)=0,"",INDEX(المحفظة!$C$5:$C$104,IFERROR(MATCH(40,المحفظة!$H$5:$H$104,0),0))),"")</f>
        <v/>
      </c>
      <c r="D44" s="111" t="s">
        <v>6</v>
      </c>
      <c r="E44" s="112" t="str">
        <f>IFERROR(IF(IFERROR(MATCH(40,المحفظة!$H$5:$H$104,0),0)=0,"",INDEX(المحفظة!$E$5:$E$104,IFERROR(MATCH(40,المحفظة!$H$5:$H$104,0),0))),"")</f>
        <v/>
      </c>
      <c r="F44" s="109" t="str">
        <f>IFERROR(IF(IFERROR(MATCH(40,المحفظة!$H$5:$H$104,0),0)=0,"",INDEX(المحفظة!$F$5:$F$104,IFERROR(MATCH(40,المحفظة!$H$5:$H$104,0),0))),"")</f>
        <v/>
      </c>
      <c r="G44" s="16"/>
    </row>
    <row r="45" spans="1:7" ht="15" customHeight="1">
      <c r="A45" s="113" t="str">
        <f>IFERROR(IF(IFERROR(MATCH(41,المحفظة!$H$5:$H$104,0),0)=0,"",INDEX(المحفظة!$A$5:$A$104,IFERROR(MATCH(41,المحفظة!$H$5:$H$104,0),0))),"")</f>
        <v/>
      </c>
      <c r="B45" s="114" t="str">
        <f>IFERROR(IF(IFERROR(MATCH(41,المحفظة!$H$5:$H$104,0),0)=0,"",INDEX(المحفظة!$B$5:$B$104,IFERROR(MATCH(41,المحفظة!$H$5:$H$104,0),0))),"")</f>
        <v/>
      </c>
      <c r="C45" s="115" t="str">
        <f>IFERROR(IF(IFERROR(MATCH(41,المحفظة!$H$5:$H$104,0),0)=0,"",INDEX(المحفظة!$C$5:$C$104,IFERROR(MATCH(41,المحفظة!$H$5:$H$104,0),0))),"")</f>
        <v/>
      </c>
      <c r="D45" s="116" t="s">
        <v>6</v>
      </c>
      <c r="E45" s="117" t="str">
        <f>IFERROR(IF(IFERROR(MATCH(41,المحفظة!$H$5:$H$104,0),0)=0,"",INDEX(المحفظة!$E$5:$E$104,IFERROR(MATCH(41,المحفظة!$H$5:$H$104,0),0))),"")</f>
        <v/>
      </c>
      <c r="F45" s="114" t="str">
        <f>IFERROR(IF(IFERROR(MATCH(41,المحفظة!$H$5:$H$104,0),0)=0,"",INDEX(المحفظة!$F$5:$F$104,IFERROR(MATCH(41,المحفظة!$H$5:$H$104,0),0))),"")</f>
        <v/>
      </c>
      <c r="G45" s="9"/>
    </row>
    <row r="46" spans="1:7" ht="15" customHeight="1">
      <c r="A46" s="108" t="str">
        <f>IFERROR(IF(IFERROR(MATCH(42,المحفظة!$H$5:$H$104,0),0)=0,"",INDEX(المحفظة!$A$5:$A$104,IFERROR(MATCH(42,المحفظة!$H$5:$H$104,0),0))),"")</f>
        <v/>
      </c>
      <c r="B46" s="109" t="str">
        <f>IFERROR(IF(IFERROR(MATCH(42,المحفظة!$H$5:$H$104,0),0)=0,"",INDEX(المحفظة!$B$5:$B$104,IFERROR(MATCH(42,المحفظة!$H$5:$H$104,0),0))),"")</f>
        <v/>
      </c>
      <c r="C46" s="110" t="str">
        <f>IFERROR(IF(IFERROR(MATCH(42,المحفظة!$H$5:$H$104,0),0)=0,"",INDEX(المحفظة!$C$5:$C$104,IFERROR(MATCH(42,المحفظة!$H$5:$H$104,0),0))),"")</f>
        <v/>
      </c>
      <c r="D46" s="111" t="s">
        <v>6</v>
      </c>
      <c r="E46" s="112" t="str">
        <f>IFERROR(IF(IFERROR(MATCH(42,المحفظة!$H$5:$H$104,0),0)=0,"",INDEX(المحفظة!$E$5:$E$104,IFERROR(MATCH(42,المحفظة!$H$5:$H$104,0),0))),"")</f>
        <v/>
      </c>
      <c r="F46" s="109" t="str">
        <f>IFERROR(IF(IFERROR(MATCH(42,المحفظة!$H$5:$H$104,0),0)=0,"",INDEX(المحفظة!$F$5:$F$104,IFERROR(MATCH(42,المحفظة!$H$5:$H$104,0),0))),"")</f>
        <v/>
      </c>
      <c r="G46" s="16"/>
    </row>
    <row r="47" spans="1:7" ht="15" customHeight="1">
      <c r="A47" s="113" t="str">
        <f>IFERROR(IF(IFERROR(MATCH(43,المحفظة!$H$5:$H$104,0),0)=0,"",INDEX(المحفظة!$A$5:$A$104,IFERROR(MATCH(43,المحفظة!$H$5:$H$104,0),0))),"")</f>
        <v/>
      </c>
      <c r="B47" s="114" t="str">
        <f>IFERROR(IF(IFERROR(MATCH(43,المحفظة!$H$5:$H$104,0),0)=0,"",INDEX(المحفظة!$B$5:$B$104,IFERROR(MATCH(43,المحفظة!$H$5:$H$104,0),0))),"")</f>
        <v/>
      </c>
      <c r="C47" s="115" t="str">
        <f>IFERROR(IF(IFERROR(MATCH(43,المحفظة!$H$5:$H$104,0),0)=0,"",INDEX(المحفظة!$C$5:$C$104,IFERROR(MATCH(43,المحفظة!$H$5:$H$104,0),0))),"")</f>
        <v/>
      </c>
      <c r="D47" s="116" t="s">
        <v>6</v>
      </c>
      <c r="E47" s="117" t="str">
        <f>IFERROR(IF(IFERROR(MATCH(43,المحفظة!$H$5:$H$104,0),0)=0,"",INDEX(المحفظة!$E$5:$E$104,IFERROR(MATCH(43,المحفظة!$H$5:$H$104,0),0))),"")</f>
        <v/>
      </c>
      <c r="F47" s="114" t="str">
        <f>IFERROR(IF(IFERROR(MATCH(43,المحفظة!$H$5:$H$104,0),0)=0,"",INDEX(المحفظة!$F$5:$F$104,IFERROR(MATCH(43,المحفظة!$H$5:$H$104,0),0))),"")</f>
        <v/>
      </c>
      <c r="G47" s="9"/>
    </row>
    <row r="48" spans="1:7" ht="15" customHeight="1">
      <c r="A48" s="108" t="str">
        <f>IFERROR(IF(IFERROR(MATCH(44,المحفظة!$H$5:$H$104,0),0)=0,"",INDEX(المحفظة!$A$5:$A$104,IFERROR(MATCH(44,المحفظة!$H$5:$H$104,0),0))),"")</f>
        <v/>
      </c>
      <c r="B48" s="109" t="str">
        <f>IFERROR(IF(IFERROR(MATCH(44,المحفظة!$H$5:$H$104,0),0)=0,"",INDEX(المحفظة!$B$5:$B$104,IFERROR(MATCH(44,المحفظة!$H$5:$H$104,0),0))),"")</f>
        <v/>
      </c>
      <c r="C48" s="110" t="str">
        <f>IFERROR(IF(IFERROR(MATCH(44,المحفظة!$H$5:$H$104,0),0)=0,"",INDEX(المحفظة!$C$5:$C$104,IFERROR(MATCH(44,المحفظة!$H$5:$H$104,0),0))),"")</f>
        <v/>
      </c>
      <c r="D48" s="111" t="s">
        <v>6</v>
      </c>
      <c r="E48" s="112" t="str">
        <f>IFERROR(IF(IFERROR(MATCH(44,المحفظة!$H$5:$H$104,0),0)=0,"",INDEX(المحفظة!$E$5:$E$104,IFERROR(MATCH(44,المحفظة!$H$5:$H$104,0),0))),"")</f>
        <v/>
      </c>
      <c r="F48" s="109" t="str">
        <f>IFERROR(IF(IFERROR(MATCH(44,المحفظة!$H$5:$H$104,0),0)=0,"",INDEX(المحفظة!$F$5:$F$104,IFERROR(MATCH(44,المحفظة!$H$5:$H$104,0),0))),"")</f>
        <v/>
      </c>
      <c r="G48" s="16"/>
    </row>
    <row r="49" spans="1:7" ht="15" customHeight="1">
      <c r="A49" s="113" t="str">
        <f>IFERROR(IF(IFERROR(MATCH(45,المحفظة!$H$5:$H$104,0),0)=0,"",INDEX(المحفظة!$A$5:$A$104,IFERROR(MATCH(45,المحفظة!$H$5:$H$104,0),0))),"")</f>
        <v/>
      </c>
      <c r="B49" s="114" t="str">
        <f>IFERROR(IF(IFERROR(MATCH(45,المحفظة!$H$5:$H$104,0),0)=0,"",INDEX(المحفظة!$B$5:$B$104,IFERROR(MATCH(45,المحفظة!$H$5:$H$104,0),0))),"")</f>
        <v/>
      </c>
      <c r="C49" s="115" t="str">
        <f>IFERROR(IF(IFERROR(MATCH(45,المحفظة!$H$5:$H$104,0),0)=0,"",INDEX(المحفظة!$C$5:$C$104,IFERROR(MATCH(45,المحفظة!$H$5:$H$104,0),0))),"")</f>
        <v/>
      </c>
      <c r="D49" s="116" t="s">
        <v>6</v>
      </c>
      <c r="E49" s="117" t="str">
        <f>IFERROR(IF(IFERROR(MATCH(45,المحفظة!$H$5:$H$104,0),0)=0,"",INDEX(المحفظة!$E$5:$E$104,IFERROR(MATCH(45,المحفظة!$H$5:$H$104,0),0))),"")</f>
        <v/>
      </c>
      <c r="F49" s="114" t="str">
        <f>IFERROR(IF(IFERROR(MATCH(45,المحفظة!$H$5:$H$104,0),0)=0,"",INDEX(المحفظة!$F$5:$F$104,IFERROR(MATCH(45,المحفظة!$H$5:$H$104,0),0))),"")</f>
        <v/>
      </c>
      <c r="G49" s="9"/>
    </row>
    <row r="50" spans="1:7" ht="15" customHeight="1">
      <c r="A50" s="108" t="str">
        <f>IFERROR(IF(IFERROR(MATCH(46,المحفظة!$H$5:$H$104,0),0)=0,"",INDEX(المحفظة!$A$5:$A$104,IFERROR(MATCH(46,المحفظة!$H$5:$H$104,0),0))),"")</f>
        <v/>
      </c>
      <c r="B50" s="109" t="str">
        <f>IFERROR(IF(IFERROR(MATCH(46,المحفظة!$H$5:$H$104,0),0)=0,"",INDEX(المحفظة!$B$5:$B$104,IFERROR(MATCH(46,المحفظة!$H$5:$H$104,0),0))),"")</f>
        <v/>
      </c>
      <c r="C50" s="110" t="str">
        <f>IFERROR(IF(IFERROR(MATCH(46,المحفظة!$H$5:$H$104,0),0)=0,"",INDEX(المحفظة!$C$5:$C$104,IFERROR(MATCH(46,المحفظة!$H$5:$H$104,0),0))),"")</f>
        <v/>
      </c>
      <c r="D50" s="111" t="s">
        <v>6</v>
      </c>
      <c r="E50" s="112" t="str">
        <f>IFERROR(IF(IFERROR(MATCH(46,المحفظة!$H$5:$H$104,0),0)=0,"",INDEX(المحفظة!$E$5:$E$104,IFERROR(MATCH(46,المحفظة!$H$5:$H$104,0),0))),"")</f>
        <v/>
      </c>
      <c r="F50" s="109" t="str">
        <f>IFERROR(IF(IFERROR(MATCH(46,المحفظة!$H$5:$H$104,0),0)=0,"",INDEX(المحفظة!$F$5:$F$104,IFERROR(MATCH(46,المحفظة!$H$5:$H$104,0),0))),"")</f>
        <v/>
      </c>
      <c r="G50" s="16"/>
    </row>
    <row r="51" spans="1:7" ht="15" customHeight="1">
      <c r="A51" s="113" t="str">
        <f>IFERROR(IF(IFERROR(MATCH(47,المحفظة!$H$5:$H$104,0),0)=0,"",INDEX(المحفظة!$A$5:$A$104,IFERROR(MATCH(47,المحفظة!$H$5:$H$104,0),0))),"")</f>
        <v/>
      </c>
      <c r="B51" s="114" t="str">
        <f>IFERROR(IF(IFERROR(MATCH(47,المحفظة!$H$5:$H$104,0),0)=0,"",INDEX(المحفظة!$B$5:$B$104,IFERROR(MATCH(47,المحفظة!$H$5:$H$104,0),0))),"")</f>
        <v/>
      </c>
      <c r="C51" s="115" t="str">
        <f>IFERROR(IF(IFERROR(MATCH(47,المحفظة!$H$5:$H$104,0),0)=0,"",INDEX(المحفظة!$C$5:$C$104,IFERROR(MATCH(47,المحفظة!$H$5:$H$104,0),0))),"")</f>
        <v/>
      </c>
      <c r="D51" s="116" t="s">
        <v>6</v>
      </c>
      <c r="E51" s="117" t="str">
        <f>IFERROR(IF(IFERROR(MATCH(47,المحفظة!$H$5:$H$104,0),0)=0,"",INDEX(المحفظة!$E$5:$E$104,IFERROR(MATCH(47,المحفظة!$H$5:$H$104,0),0))),"")</f>
        <v/>
      </c>
      <c r="F51" s="114" t="str">
        <f>IFERROR(IF(IFERROR(MATCH(47,المحفظة!$H$5:$H$104,0),0)=0,"",INDEX(المحفظة!$F$5:$F$104,IFERROR(MATCH(47,المحفظة!$H$5:$H$104,0),0))),"")</f>
        <v/>
      </c>
      <c r="G51" s="9"/>
    </row>
    <row r="52" spans="1:7" ht="15" customHeight="1">
      <c r="A52" s="108" t="str">
        <f>IFERROR(IF(IFERROR(MATCH(48,المحفظة!$H$5:$H$104,0),0)=0,"",INDEX(المحفظة!$A$5:$A$104,IFERROR(MATCH(48,المحفظة!$H$5:$H$104,0),0))),"")</f>
        <v/>
      </c>
      <c r="B52" s="109" t="str">
        <f>IFERROR(IF(IFERROR(MATCH(48,المحفظة!$H$5:$H$104,0),0)=0,"",INDEX(المحفظة!$B$5:$B$104,IFERROR(MATCH(48,المحفظة!$H$5:$H$104,0),0))),"")</f>
        <v/>
      </c>
      <c r="C52" s="110" t="str">
        <f>IFERROR(IF(IFERROR(MATCH(48,المحفظة!$H$5:$H$104,0),0)=0,"",INDEX(المحفظة!$C$5:$C$104,IFERROR(MATCH(48,المحفظة!$H$5:$H$104,0),0))),"")</f>
        <v/>
      </c>
      <c r="D52" s="111" t="s">
        <v>6</v>
      </c>
      <c r="E52" s="112" t="str">
        <f>IFERROR(IF(IFERROR(MATCH(48,المحفظة!$H$5:$H$104,0),0)=0,"",INDEX(المحفظة!$E$5:$E$104,IFERROR(MATCH(48,المحفظة!$H$5:$H$104,0),0))),"")</f>
        <v/>
      </c>
      <c r="F52" s="109" t="str">
        <f>IFERROR(IF(IFERROR(MATCH(48,المحفظة!$H$5:$H$104,0),0)=0,"",INDEX(المحفظة!$F$5:$F$104,IFERROR(MATCH(48,المحفظة!$H$5:$H$104,0),0))),"")</f>
        <v/>
      </c>
      <c r="G52" s="16"/>
    </row>
    <row r="53" spans="1:7" ht="15" customHeight="1">
      <c r="A53" s="113" t="str">
        <f>IFERROR(IF(IFERROR(MATCH(49,المحفظة!$H$5:$H$104,0),0)=0,"",INDEX(المحفظة!$A$5:$A$104,IFERROR(MATCH(49,المحفظة!$H$5:$H$104,0),0))),"")</f>
        <v/>
      </c>
      <c r="B53" s="114" t="str">
        <f>IFERROR(IF(IFERROR(MATCH(49,المحفظة!$H$5:$H$104,0),0)=0,"",INDEX(المحفظة!$B$5:$B$104,IFERROR(MATCH(49,المحفظة!$H$5:$H$104,0),0))),"")</f>
        <v/>
      </c>
      <c r="C53" s="115" t="str">
        <f>IFERROR(IF(IFERROR(MATCH(49,المحفظة!$H$5:$H$104,0),0)=0,"",INDEX(المحفظة!$C$5:$C$104,IFERROR(MATCH(49,المحفظة!$H$5:$H$104,0),0))),"")</f>
        <v/>
      </c>
      <c r="D53" s="116" t="s">
        <v>6</v>
      </c>
      <c r="E53" s="117" t="str">
        <f>IFERROR(IF(IFERROR(MATCH(49,المحفظة!$H$5:$H$104,0),0)=0,"",INDEX(المحفظة!$E$5:$E$104,IFERROR(MATCH(49,المحفظة!$H$5:$H$104,0),0))),"")</f>
        <v/>
      </c>
      <c r="F53" s="114" t="str">
        <f>IFERROR(IF(IFERROR(MATCH(49,المحفظة!$H$5:$H$104,0),0)=0,"",INDEX(المحفظة!$F$5:$F$104,IFERROR(MATCH(49,المحفظة!$H$5:$H$104,0),0))),"")</f>
        <v/>
      </c>
      <c r="G53" s="9"/>
    </row>
    <row r="54" spans="1:7" ht="15" hidden="1" customHeight="1">
      <c r="A54" s="108" t="str">
        <f>IFERROR(IF(IFERROR(MATCH(50,المحفظة!$H$5:$H$104,0),0)=0,"",INDEX(المحفظة!$A$5:$A$104,IFERROR(MATCH(50,المحفظة!$H$5:$H$104,0),0))),"")</f>
        <v/>
      </c>
      <c r="B54" s="109" t="str">
        <f>IFERROR(IF(IFERROR(MATCH(50,المحفظة!$H$5:$H$104,0),0)=0,"",INDEX(المحفظة!$B$5:$B$104,IFERROR(MATCH(50,المحفظة!$H$5:$H$104,0),0))),"")</f>
        <v/>
      </c>
      <c r="C54" s="110" t="str">
        <f>IFERROR(IF(IFERROR(MATCH(50,المحفظة!$H$5:$H$104,0),0)=0,"",INDEX(المحفظة!$C$5:$C$104,IFERROR(MATCH(50,المحفظة!$H$5:$H$104,0),0))),"")</f>
        <v/>
      </c>
      <c r="D54" s="111" t="s">
        <v>6</v>
      </c>
      <c r="E54" s="112" t="str">
        <f>IFERROR(IF(IFERROR(MATCH(50,المحفظة!$H$5:$H$104,0),0)=0,"",INDEX(المحفظة!$E$5:$E$104,IFERROR(MATCH(50,المحفظة!$H$5:$H$104,0),0))),"")</f>
        <v/>
      </c>
      <c r="F54" s="109" t="str">
        <f>IFERROR(IF(IFERROR(MATCH(50,المحفظة!$H$5:$H$104,0),0)=0,"",INDEX(المحفظة!$F$5:$F$104,IFERROR(MATCH(50,المحفظة!$H$5:$H$104,0),0))),"")</f>
        <v/>
      </c>
      <c r="G54" s="16"/>
    </row>
    <row r="55" spans="1:7" ht="19.5" customHeight="1">
      <c r="A55" s="140" t="s">
        <v>7</v>
      </c>
      <c r="B55" s="140"/>
      <c r="C55" s="140"/>
      <c r="D55" s="140"/>
      <c r="E55" s="118">
        <f>SUMIF(المحفظة!$H$5:$H$104,"&gt;0",المحفظة!$E$5:$E$104)</f>
        <v>66.5</v>
      </c>
      <c r="F55" s="101"/>
      <c r="G55" s="101"/>
    </row>
    <row r="56" spans="1:7" ht="19.5" customHeight="1">
      <c r="A56" s="142" t="s">
        <v>227</v>
      </c>
      <c r="B56" s="142"/>
      <c r="C56" s="142"/>
      <c r="D56" s="142"/>
      <c r="E56" s="142"/>
      <c r="F56" s="142"/>
      <c r="G56" s="142"/>
    </row>
    <row r="57" spans="1:7" ht="16.5" customHeight="1">
      <c r="A57" s="18">
        <f>IFERROR(IF(IFERROR(MATCH(1,المحفظة!$H$107:$H$206,0),0)=0,"",INDEX(المحفظة!$A$107:$A$206,IFERROR(MATCH(1,المحفظة!$H$107:$H$206,0),0))),"")</f>
        <v>46175</v>
      </c>
      <c r="B57" s="19" t="str">
        <f>IFERROR(IF(IFERROR(MATCH(1,المحفظة!$H$107:$H$206,0),0)=0,"",INDEX(المحفظة!$B$107:$B$206,IFERROR(MATCH(1,المحفظة!$H$107:$H$206,0),0))),"")</f>
        <v>Inv-53</v>
      </c>
      <c r="C57" s="119" t="str">
        <f>IFERROR(IF(IFERROR(MATCH(1,المحفظة!$H$107:$H$206,0),0)=0,"",INDEX(المحفظة!$C$107:$C$206,IFERROR(MATCH(1,المحفظة!$H$107:$H$206,0),0))),"")</f>
        <v>فل عدد 24 الحبه .750</v>
      </c>
      <c r="D57" s="21">
        <f>IFERROR(IF(IFERROR(MATCH(1,المحفظة!$H$107:$H$206,0),0)=0,"",INDEX(المحفظة!$D$107:$D$206,IFERROR(MATCH(1,المحفظة!$H$107:$H$206,0),0))),"")</f>
        <v>0</v>
      </c>
      <c r="E57" s="22" t="s">
        <v>6</v>
      </c>
      <c r="F57" s="19">
        <f>IFERROR(IF(IFERROR(MATCH(1,المحفظة!$H$107:$H$206,0),0)=0,"",INDEX(المحفظة!$F$107:$F$206,IFERROR(MATCH(1,المحفظة!$H$107:$H$206,0),0))),"")</f>
        <v>0</v>
      </c>
      <c r="G57" s="120"/>
    </row>
    <row r="58" spans="1:7" ht="16.5" customHeight="1">
      <c r="A58" s="25">
        <f>IFERROR(IF(IFERROR(MATCH(2,المحفظة!$H$107:$H$206,0),0)=0,"",INDEX(المحفظة!$A$107:$A$206,IFERROR(MATCH(2,المحفظة!$H$107:$H$206,0),0))),"")</f>
        <v>46177</v>
      </c>
      <c r="B58" s="26">
        <f>IFERROR(IF(IFERROR(MATCH(2,المحفظة!$H$107:$H$206,0),0)=0,"",INDEX(المحفظة!$B$107:$B$206,IFERROR(MATCH(2,المحفظة!$H$107:$H$206,0),0))),"")</f>
        <v>0</v>
      </c>
      <c r="C58" s="121" t="str">
        <f>IFERROR(IF(IFERROR(MATCH(2,المحفظة!$H$107:$H$206,0),0)=0,"",INDEX(المحفظة!$C$107:$C$206,IFERROR(MATCH(2,المحفظة!$H$107:$H$206,0),0))),"")</f>
        <v>تاير لعربة الرش</v>
      </c>
      <c r="D58" s="28">
        <f>IFERROR(IF(IFERROR(MATCH(2,المحفظة!$H$107:$H$206,0),0)=0,"",INDEX(المحفظة!$D$107:$D$206,IFERROR(MATCH(2,المحفظة!$H$107:$H$206,0),0))),"")</f>
        <v>3.25</v>
      </c>
      <c r="E58" s="29" t="s">
        <v>6</v>
      </c>
      <c r="F58" s="26">
        <f>IFERROR(IF(IFERROR(MATCH(2,المحفظة!$H$107:$H$206,0),0)=0,"",INDEX(المحفظة!$F$107:$F$206,IFERROR(MATCH(2,المحفظة!$H$107:$H$206,0),0))),"")</f>
        <v>0</v>
      </c>
      <c r="G58" s="122"/>
    </row>
    <row r="59" spans="1:7" ht="16.5" customHeight="1">
      <c r="A59" s="18">
        <f>IFERROR(IF(IFERROR(MATCH(3,المحفظة!$H$107:$H$206,0),0)=0,"",INDEX(المحفظة!$A$107:$A$206,IFERROR(MATCH(3,المحفظة!$H$107:$H$206,0),0))),"")</f>
        <v>46177</v>
      </c>
      <c r="B59" s="19">
        <f>IFERROR(IF(IFERROR(MATCH(3,المحفظة!$H$107:$H$206,0),0)=0,"",INDEX(المحفظة!$B$107:$B$206,IFERROR(MATCH(3,المحفظة!$H$107:$H$206,0),0))),"")</f>
        <v>0</v>
      </c>
      <c r="C59" s="119" t="str">
        <f>IFERROR(IF(IFERROR(MATCH(3,المحفظة!$H$107:$H$206,0),0)=0,"",INDEX(المحفظة!$C$107:$C$206,IFERROR(MATCH(3,المحفظة!$H$107:$H$206,0),0))),"")</f>
        <v>حفاره خلط السماد</v>
      </c>
      <c r="D59" s="21">
        <f>IFERROR(IF(IFERROR(MATCH(3,المحفظة!$H$107:$H$206,0),0)=0,"",INDEX(المحفظة!$D$107:$D$206,IFERROR(MATCH(3,المحفظة!$H$107:$H$206,0),0))),"")</f>
        <v>12</v>
      </c>
      <c r="E59" s="22" t="s">
        <v>6</v>
      </c>
      <c r="F59" s="19">
        <f>IFERROR(IF(IFERROR(MATCH(3,المحفظة!$H$107:$H$206,0),0)=0,"",INDEX(المحفظة!$F$107:$F$206,IFERROR(MATCH(3,المحفظة!$H$107:$H$206,0),0))),"")</f>
        <v>0</v>
      </c>
      <c r="G59" s="120"/>
    </row>
    <row r="60" spans="1:7" ht="16.5" customHeight="1">
      <c r="A60" s="25">
        <f>IFERROR(IF(IFERROR(MATCH(4,المحفظة!$H$107:$H$206,0),0)=0,"",INDEX(المحفظة!$A$107:$A$206,IFERROR(MATCH(4,المحفظة!$H$107:$H$206,0),0))),"")</f>
        <v>46179</v>
      </c>
      <c r="B60" s="26" t="str">
        <f>IFERROR(IF(IFERROR(MATCH(4,المحفظة!$H$107:$H$206,0),0)=0,"",INDEX(المحفظة!$B$107:$B$206,IFERROR(MATCH(4,المحفظة!$H$107:$H$206,0),0))),"")</f>
        <v>Inv-58</v>
      </c>
      <c r="C60" s="121" t="str">
        <f>IFERROR(IF(IFERROR(MATCH(4,المحفظة!$H$107:$H$206,0),0)=0,"",INDEX(المحفظة!$C$107:$C$206,IFERROR(MATCH(4,المحفظة!$H$107:$H$206,0),0))),"")</f>
        <v>دارسينا عدد3 بقيمه 1 للحبه</v>
      </c>
      <c r="D60" s="28">
        <f>IFERROR(IF(IFERROR(MATCH(4,المحفظة!$H$107:$H$206,0),0)=0,"",INDEX(المحفظة!$D$107:$D$206,IFERROR(MATCH(4,المحفظة!$H$107:$H$206,0),0))),"")</f>
        <v>0</v>
      </c>
      <c r="E60" s="29" t="s">
        <v>6</v>
      </c>
      <c r="F60" s="26">
        <f>IFERROR(IF(IFERROR(MATCH(4,المحفظة!$H$107:$H$206,0),0)=0,"",INDEX(المحفظة!$F$107:$F$206,IFERROR(MATCH(4,المحفظة!$H$107:$H$206,0),0))),"")</f>
        <v>0</v>
      </c>
      <c r="G60" s="122"/>
    </row>
    <row r="61" spans="1:7" ht="16.5" customHeight="1">
      <c r="A61" s="18">
        <f>IFERROR(IF(IFERROR(MATCH(5,المحفظة!$H$107:$H$206,0),0)=0,"",INDEX(المحفظة!$A$107:$A$206,IFERROR(MATCH(5,المحفظة!$H$107:$H$206,0),0))),"")</f>
        <v>46181</v>
      </c>
      <c r="B61" s="19">
        <f>IFERROR(IF(IFERROR(MATCH(5,المحفظة!$H$107:$H$206,0),0)=0,"",INDEX(المحفظة!$B$107:$B$206,IFERROR(MATCH(5,المحفظة!$H$107:$H$206,0),0))),"")</f>
        <v>0</v>
      </c>
      <c r="C61" s="119" t="str">
        <f>IFERROR(IF(IFERROR(MATCH(5,المحفظة!$H$107:$H$206,0),0)=0,"",INDEX(المحفظة!$C$107:$C$206,IFERROR(MATCH(5,المحفظة!$H$107:$H$206,0),0))),"")</f>
        <v>حديد اسود للمحميه الصغيره الجديده</v>
      </c>
      <c r="D61" s="21">
        <f>IFERROR(IF(IFERROR(MATCH(5,المحفظة!$H$107:$H$206,0),0)=0,"",INDEX(المحفظة!$D$107:$D$206,IFERROR(MATCH(5,المحفظة!$H$107:$H$206,0),0))),"")</f>
        <v>46.75</v>
      </c>
      <c r="E61" s="22" t="s">
        <v>6</v>
      </c>
      <c r="F61" s="19">
        <f>IFERROR(IF(IFERROR(MATCH(5,المحفظة!$H$107:$H$206,0),0)=0,"",INDEX(المحفظة!$F$107:$F$206,IFERROR(MATCH(5,المحفظة!$H$107:$H$206,0),0))),"")</f>
        <v>0</v>
      </c>
      <c r="G61" s="120"/>
    </row>
    <row r="62" spans="1:7" ht="16.5" customHeight="1">
      <c r="A62" s="25">
        <f>IFERROR(IF(IFERROR(MATCH(6,المحفظة!$H$107:$H$206,0),0)=0,"",INDEX(المحفظة!$A$107:$A$206,IFERROR(MATCH(6,المحفظة!$H$107:$H$206,0),0))),"")</f>
        <v>46182</v>
      </c>
      <c r="B62" s="26" t="str">
        <f>IFERROR(IF(IFERROR(MATCH(6,المحفظة!$H$107:$H$206,0),0)=0,"",INDEX(المحفظة!$B$107:$B$206,IFERROR(MATCH(6,المحفظة!$H$107:$H$206,0),0))),"")</f>
        <v>Inv-62</v>
      </c>
      <c r="C62" s="121" t="str">
        <f>IFERROR(IF(IFERROR(MATCH(6,المحفظة!$H$107:$H$206,0),0)=0,"",INDEX(المحفظة!$C$107:$C$206,IFERROR(MATCH(6,المحفظة!$H$107:$H$206,0),0))),"")</f>
        <v>فل عدد 30 الحبه 0.750</v>
      </c>
      <c r="D62" s="28">
        <f>IFERROR(IF(IFERROR(MATCH(6,المحفظة!$H$107:$H$206,0),0)=0,"",INDEX(المحفظة!$D$107:$D$206,IFERROR(MATCH(6,المحفظة!$H$107:$H$206,0),0))),"")</f>
        <v>0</v>
      </c>
      <c r="E62" s="29" t="s">
        <v>6</v>
      </c>
      <c r="F62" s="26">
        <f>IFERROR(IF(IFERROR(MATCH(6,المحفظة!$H$107:$H$206,0),0)=0,"",INDEX(المحفظة!$F$107:$F$206,IFERROR(MATCH(6,المحفظة!$H$107:$H$206,0),0))),"")</f>
        <v>0</v>
      </c>
      <c r="G62" s="122"/>
    </row>
    <row r="63" spans="1:7" ht="15" customHeight="1">
      <c r="A63" s="123">
        <f>IFERROR(IF(IFERROR(MATCH(7,المحفظة!$H$107:$H$206,0),0)=0,"",INDEX(المحفظة!$A$107:$A$206,IFERROR(MATCH(7,المحفظة!$H$107:$H$206,0),0))),"")</f>
        <v>46184</v>
      </c>
      <c r="B63" s="124" t="str">
        <f>IFERROR(IF(IFERROR(MATCH(7,المحفظة!$H$107:$H$206,0),0)=0,"",INDEX(المحفظة!$B$107:$B$206,IFERROR(MATCH(7,المحفظة!$H$107:$H$206,0),0))),"")</f>
        <v>Inv-63</v>
      </c>
      <c r="C63" s="125" t="str">
        <f>IFERROR(IF(IFERROR(MATCH(7,المحفظة!$H$107:$H$206,0),0)=0,"",INDEX(المحفظة!$C$107:$C$206,IFERROR(MATCH(7,المحفظة!$H$107:$H$206,0),0))),"")</f>
        <v>فل عدد 20 بقيمه 0.750</v>
      </c>
      <c r="D63" s="126">
        <f>IFERROR(IF(IFERROR(MATCH(7,المحفظة!$H$107:$H$206,0),0)=0,"",INDEX(المحفظة!$D$107:$D$206,IFERROR(MATCH(7,المحفظة!$H$107:$H$206,0),0))),"")</f>
        <v>0</v>
      </c>
      <c r="E63" s="127" t="s">
        <v>6</v>
      </c>
      <c r="F63" s="124">
        <f>IFERROR(IF(IFERROR(MATCH(7,المحفظة!$H$107:$H$206,0),0)=0,"",INDEX(المحفظة!$F$107:$F$206,IFERROR(MATCH(7,المحفظة!$H$107:$H$206,0),0))),"")</f>
        <v>0</v>
      </c>
      <c r="G63" s="24"/>
    </row>
    <row r="64" spans="1:7" ht="15" customHeight="1">
      <c r="A64" s="128">
        <f>IFERROR(IF(IFERROR(MATCH(8,المحفظة!$H$107:$H$206,0),0)=0,"",INDEX(المحفظة!$A$107:$A$206,IFERROR(MATCH(8,المحفظة!$H$107:$H$206,0),0))),"")</f>
        <v>46186</v>
      </c>
      <c r="B64" s="129" t="str">
        <f>IFERROR(IF(IFERROR(MATCH(8,المحفظة!$H$107:$H$206,0),0)=0,"",INDEX(المحفظة!$B$107:$B$206,IFERROR(MATCH(8,المحفظة!$H$107:$H$206,0),0))),"")</f>
        <v>Inv-64</v>
      </c>
      <c r="C64" s="130" t="str">
        <f>IFERROR(IF(IFERROR(MATCH(8,المحفظة!$H$107:$H$206,0),0)=0,"",INDEX(المحفظة!$C$107:$C$206,IFERROR(MATCH(8,المحفظة!$H$107:$H$206,0),0))),"")</f>
        <v>معلقات عدد 10 الحبه 1</v>
      </c>
      <c r="D64" s="131">
        <f>IFERROR(IF(IFERROR(MATCH(8,المحفظة!$H$107:$H$206,0),0)=0,"",INDEX(المحفظة!$D$107:$D$206,IFERROR(MATCH(8,المحفظة!$H$107:$H$206,0),0))),"")</f>
        <v>0</v>
      </c>
      <c r="E64" s="132" t="s">
        <v>6</v>
      </c>
      <c r="F64" s="129">
        <f>IFERROR(IF(IFERROR(MATCH(8,المحفظة!$H$107:$H$206,0),0)=0,"",INDEX(المحفظة!$F$107:$F$206,IFERROR(MATCH(8,المحفظة!$H$107:$H$206,0),0))),"")</f>
        <v>0</v>
      </c>
      <c r="G64" s="31"/>
    </row>
    <row r="65" spans="1:7" ht="15" customHeight="1">
      <c r="A65" s="123" t="str">
        <f>IFERROR(IF(IFERROR(MATCH(9,المحفظة!$H$107:$H$206,0),0)=0,"",INDEX(المحفظة!$A$107:$A$206,IFERROR(MATCH(9,المحفظة!$H$107:$H$206,0),0))),"")</f>
        <v/>
      </c>
      <c r="B65" s="124" t="str">
        <f>IFERROR(IF(IFERROR(MATCH(9,المحفظة!$H$107:$H$206,0),0)=0,"",INDEX(المحفظة!$B$107:$B$206,IFERROR(MATCH(9,المحفظة!$H$107:$H$206,0),0))),"")</f>
        <v/>
      </c>
      <c r="C65" s="125" t="str">
        <f>IFERROR(IF(IFERROR(MATCH(9,المحفظة!$H$107:$H$206,0),0)=0,"",INDEX(المحفظة!$C$107:$C$206,IFERROR(MATCH(9,المحفظة!$H$107:$H$206,0),0))),"")</f>
        <v/>
      </c>
      <c r="D65" s="126" t="str">
        <f>IFERROR(IF(IFERROR(MATCH(9,المحفظة!$H$107:$H$206,0),0)=0,"",INDEX(المحفظة!$D$107:$D$206,IFERROR(MATCH(9,المحفظة!$H$107:$H$206,0),0))),"")</f>
        <v/>
      </c>
      <c r="E65" s="127" t="s">
        <v>6</v>
      </c>
      <c r="F65" s="124" t="str">
        <f>IFERROR(IF(IFERROR(MATCH(9,المحفظة!$H$107:$H$206,0),0)=0,"",INDEX(المحفظة!$F$107:$F$206,IFERROR(MATCH(9,المحفظة!$H$107:$H$206,0),0))),"")</f>
        <v/>
      </c>
      <c r="G65" s="24"/>
    </row>
    <row r="66" spans="1:7" ht="15" customHeight="1">
      <c r="A66" s="128" t="str">
        <f>IFERROR(IF(IFERROR(MATCH(10,المحفظة!$H$107:$H$206,0),0)=0,"",INDEX(المحفظة!$A$107:$A$206,IFERROR(MATCH(10,المحفظة!$H$107:$H$206,0),0))),"")</f>
        <v/>
      </c>
      <c r="B66" s="129" t="str">
        <f>IFERROR(IF(IFERROR(MATCH(10,المحفظة!$H$107:$H$206,0),0)=0,"",INDEX(المحفظة!$B$107:$B$206,IFERROR(MATCH(10,المحفظة!$H$107:$H$206,0),0))),"")</f>
        <v/>
      </c>
      <c r="C66" s="130" t="str">
        <f>IFERROR(IF(IFERROR(MATCH(10,المحفظة!$H$107:$H$206,0),0)=0,"",INDEX(المحفظة!$C$107:$C$206,IFERROR(MATCH(10,المحفظة!$H$107:$H$206,0),0))),"")</f>
        <v/>
      </c>
      <c r="D66" s="131" t="str">
        <f>IFERROR(IF(IFERROR(MATCH(10,المحفظة!$H$107:$H$206,0),0)=0,"",INDEX(المحفظة!$D$107:$D$206,IFERROR(MATCH(10,المحفظة!$H$107:$H$206,0),0))),"")</f>
        <v/>
      </c>
      <c r="E66" s="132" t="s">
        <v>6</v>
      </c>
      <c r="F66" s="129" t="str">
        <f>IFERROR(IF(IFERROR(MATCH(10,المحفظة!$H$107:$H$206,0),0)=0,"",INDEX(المحفظة!$F$107:$F$206,IFERROR(MATCH(10,المحفظة!$H$107:$H$206,0),0))),"")</f>
        <v/>
      </c>
      <c r="G66" s="31"/>
    </row>
    <row r="67" spans="1:7" ht="15" customHeight="1">
      <c r="A67" s="123" t="str">
        <f>IFERROR(IF(IFERROR(MATCH(11,المحفظة!$H$107:$H$206,0),0)=0,"",INDEX(المحفظة!$A$107:$A$206,IFERROR(MATCH(11,المحفظة!$H$107:$H$206,0),0))),"")</f>
        <v/>
      </c>
      <c r="B67" s="124" t="str">
        <f>IFERROR(IF(IFERROR(MATCH(11,المحفظة!$H$107:$H$206,0),0)=0,"",INDEX(المحفظة!$B$107:$B$206,IFERROR(MATCH(11,المحفظة!$H$107:$H$206,0),0))),"")</f>
        <v/>
      </c>
      <c r="C67" s="125" t="str">
        <f>IFERROR(IF(IFERROR(MATCH(11,المحفظة!$H$107:$H$206,0),0)=0,"",INDEX(المحفظة!$C$107:$C$206,IFERROR(MATCH(11,المحفظة!$H$107:$H$206,0),0))),"")</f>
        <v/>
      </c>
      <c r="D67" s="126" t="str">
        <f>IFERROR(IF(IFERROR(MATCH(11,المحفظة!$H$107:$H$206,0),0)=0,"",INDEX(المحفظة!$D$107:$D$206,IFERROR(MATCH(11,المحفظة!$H$107:$H$206,0),0))),"")</f>
        <v/>
      </c>
      <c r="E67" s="127" t="s">
        <v>6</v>
      </c>
      <c r="F67" s="124" t="str">
        <f>IFERROR(IF(IFERROR(MATCH(11,المحفظة!$H$107:$H$206,0),0)=0,"",INDEX(المحفظة!$F$107:$F$206,IFERROR(MATCH(11,المحفظة!$H$107:$H$206,0),0))),"")</f>
        <v/>
      </c>
      <c r="G67" s="24"/>
    </row>
    <row r="68" spans="1:7" ht="15" customHeight="1">
      <c r="A68" s="128" t="str">
        <f>IFERROR(IF(IFERROR(MATCH(12,المحفظة!$H$107:$H$206,0),0)=0,"",INDEX(المحفظة!$A$107:$A$206,IFERROR(MATCH(12,المحفظة!$H$107:$H$206,0),0))),"")</f>
        <v/>
      </c>
      <c r="B68" s="129" t="str">
        <f>IFERROR(IF(IFERROR(MATCH(12,المحفظة!$H$107:$H$206,0),0)=0,"",INDEX(المحفظة!$B$107:$B$206,IFERROR(MATCH(12,المحفظة!$H$107:$H$206,0),0))),"")</f>
        <v/>
      </c>
      <c r="C68" s="130" t="str">
        <f>IFERROR(IF(IFERROR(MATCH(12,المحفظة!$H$107:$H$206,0),0)=0,"",INDEX(المحفظة!$C$107:$C$206,IFERROR(MATCH(12,المحفظة!$H$107:$H$206,0),0))),"")</f>
        <v/>
      </c>
      <c r="D68" s="131" t="str">
        <f>IFERROR(IF(IFERROR(MATCH(12,المحفظة!$H$107:$H$206,0),0)=0,"",INDEX(المحفظة!$D$107:$D$206,IFERROR(MATCH(12,المحفظة!$H$107:$H$206,0),0))),"")</f>
        <v/>
      </c>
      <c r="E68" s="132" t="s">
        <v>6</v>
      </c>
      <c r="F68" s="129" t="str">
        <f>IFERROR(IF(IFERROR(MATCH(12,المحفظة!$H$107:$H$206,0),0)=0,"",INDEX(المحفظة!$F$107:$F$206,IFERROR(MATCH(12,المحفظة!$H$107:$H$206,0),0))),"")</f>
        <v/>
      </c>
      <c r="G68" s="31"/>
    </row>
    <row r="69" spans="1:7" ht="15" customHeight="1">
      <c r="A69" s="123" t="str">
        <f>IFERROR(IF(IFERROR(MATCH(13,المحفظة!$H$107:$H$206,0),0)=0,"",INDEX(المحفظة!$A$107:$A$206,IFERROR(MATCH(13,المحفظة!$H$107:$H$206,0),0))),"")</f>
        <v/>
      </c>
      <c r="B69" s="124" t="str">
        <f>IFERROR(IF(IFERROR(MATCH(13,المحفظة!$H$107:$H$206,0),0)=0,"",INDEX(المحفظة!$B$107:$B$206,IFERROR(MATCH(13,المحفظة!$H$107:$H$206,0),0))),"")</f>
        <v/>
      </c>
      <c r="C69" s="125" t="str">
        <f>IFERROR(IF(IFERROR(MATCH(13,المحفظة!$H$107:$H$206,0),0)=0,"",INDEX(المحفظة!$C$107:$C$206,IFERROR(MATCH(13,المحفظة!$H$107:$H$206,0),0))),"")</f>
        <v/>
      </c>
      <c r="D69" s="126" t="str">
        <f>IFERROR(IF(IFERROR(MATCH(13,المحفظة!$H$107:$H$206,0),0)=0,"",INDEX(المحفظة!$D$107:$D$206,IFERROR(MATCH(13,المحفظة!$H$107:$H$206,0),0))),"")</f>
        <v/>
      </c>
      <c r="E69" s="127" t="s">
        <v>6</v>
      </c>
      <c r="F69" s="124" t="str">
        <f>IFERROR(IF(IFERROR(MATCH(13,المحفظة!$H$107:$H$206,0),0)=0,"",INDEX(المحفظة!$F$107:$F$206,IFERROR(MATCH(13,المحفظة!$H$107:$H$206,0),0))),"")</f>
        <v/>
      </c>
      <c r="G69" s="24"/>
    </row>
    <row r="70" spans="1:7" ht="15" hidden="1" customHeight="1">
      <c r="A70" s="128" t="str">
        <f>IFERROR(IF(IFERROR(MATCH(14,المحفظة!$H$107:$H$206,0),0)=0,"",INDEX(المحفظة!$A$107:$A$206,IFERROR(MATCH(14,المحفظة!$H$107:$H$206,0),0))),"")</f>
        <v/>
      </c>
      <c r="B70" s="129" t="str">
        <f>IFERROR(IF(IFERROR(MATCH(14,المحفظة!$H$107:$H$206,0),0)=0,"",INDEX(المحفظة!$B$107:$B$206,IFERROR(MATCH(14,المحفظة!$H$107:$H$206,0),0))),"")</f>
        <v/>
      </c>
      <c r="C70" s="130" t="str">
        <f>IFERROR(IF(IFERROR(MATCH(14,المحفظة!$H$107:$H$206,0),0)=0,"",INDEX(المحفظة!$C$107:$C$206,IFERROR(MATCH(14,المحفظة!$H$107:$H$206,0),0))),"")</f>
        <v/>
      </c>
      <c r="D70" s="131" t="str">
        <f>IFERROR(IF(IFERROR(MATCH(14,المحفظة!$H$107:$H$206,0),0)=0,"",INDEX(المحفظة!$D$107:$D$206,IFERROR(MATCH(14,المحفظة!$H$107:$H$206,0),0))),"")</f>
        <v/>
      </c>
      <c r="E70" s="132" t="s">
        <v>6</v>
      </c>
      <c r="F70" s="129" t="str">
        <f>IFERROR(IF(IFERROR(MATCH(14,المحفظة!$H$107:$H$206,0),0)=0,"",INDEX(المحفظة!$F$107:$F$206,IFERROR(MATCH(14,المحفظة!$H$107:$H$206,0),0))),"")</f>
        <v/>
      </c>
      <c r="G70" s="31"/>
    </row>
    <row r="71" spans="1:7" ht="15" hidden="1" customHeight="1">
      <c r="A71" s="123" t="str">
        <f>IFERROR(IF(IFERROR(MATCH(15,المحفظة!$H$107:$H$206,0),0)=0,"",INDEX(المحفظة!$A$107:$A$206,IFERROR(MATCH(15,المحفظة!$H$107:$H$206,0),0))),"")</f>
        <v/>
      </c>
      <c r="B71" s="124" t="str">
        <f>IFERROR(IF(IFERROR(MATCH(15,المحفظة!$H$107:$H$206,0),0)=0,"",INDEX(المحفظة!$B$107:$B$206,IFERROR(MATCH(15,المحفظة!$H$107:$H$206,0),0))),"")</f>
        <v/>
      </c>
      <c r="C71" s="125" t="str">
        <f>IFERROR(IF(IFERROR(MATCH(15,المحفظة!$H$107:$H$206,0),0)=0,"",INDEX(المحفظة!$C$107:$C$206,IFERROR(MATCH(15,المحفظة!$H$107:$H$206,0),0))),"")</f>
        <v/>
      </c>
      <c r="D71" s="126" t="str">
        <f>IFERROR(IF(IFERROR(MATCH(15,المحفظة!$H$107:$H$206,0),0)=0,"",INDEX(المحفظة!$D$107:$D$206,IFERROR(MATCH(15,المحفظة!$H$107:$H$206,0),0))),"")</f>
        <v/>
      </c>
      <c r="E71" s="127" t="s">
        <v>6</v>
      </c>
      <c r="F71" s="124" t="str">
        <f>IFERROR(IF(IFERROR(MATCH(15,المحفظة!$H$107:$H$206,0),0)=0,"",INDEX(المحفظة!$F$107:$F$206,IFERROR(MATCH(15,المحفظة!$H$107:$H$206,0),0))),"")</f>
        <v/>
      </c>
      <c r="G71" s="24"/>
    </row>
    <row r="72" spans="1:7" ht="15" hidden="1" customHeight="1">
      <c r="A72" s="128" t="str">
        <f>IFERROR(IF(IFERROR(MATCH(16,المحفظة!$H$107:$H$206,0),0)=0,"",INDEX(المحفظة!$A$107:$A$206,IFERROR(MATCH(16,المحفظة!$H$107:$H$206,0),0))),"")</f>
        <v/>
      </c>
      <c r="B72" s="129" t="str">
        <f>IFERROR(IF(IFERROR(MATCH(16,المحفظة!$H$107:$H$206,0),0)=0,"",INDEX(المحفظة!$B$107:$B$206,IFERROR(MATCH(16,المحفظة!$H$107:$H$206,0),0))),"")</f>
        <v/>
      </c>
      <c r="C72" s="130" t="str">
        <f>IFERROR(IF(IFERROR(MATCH(16,المحفظة!$H$107:$H$206,0),0)=0,"",INDEX(المحفظة!$C$107:$C$206,IFERROR(MATCH(16,المحفظة!$H$107:$H$206,0),0))),"")</f>
        <v/>
      </c>
      <c r="D72" s="131" t="str">
        <f>IFERROR(IF(IFERROR(MATCH(16,المحفظة!$H$107:$H$206,0),0)=0,"",INDEX(المحفظة!$D$107:$D$206,IFERROR(MATCH(16,المحفظة!$H$107:$H$206,0),0))),"")</f>
        <v/>
      </c>
      <c r="E72" s="132" t="s">
        <v>6</v>
      </c>
      <c r="F72" s="129" t="str">
        <f>IFERROR(IF(IFERROR(MATCH(16,المحفظة!$H$107:$H$206,0),0)=0,"",INDEX(المحفظة!$F$107:$F$206,IFERROR(MATCH(16,المحفظة!$H$107:$H$206,0),0))),"")</f>
        <v/>
      </c>
      <c r="G72" s="31"/>
    </row>
    <row r="73" spans="1:7" ht="15" hidden="1" customHeight="1">
      <c r="A73" s="123" t="str">
        <f>IFERROR(IF(IFERROR(MATCH(17,المحفظة!$H$107:$H$206,0),0)=0,"",INDEX(المحفظة!$A$107:$A$206,IFERROR(MATCH(17,المحفظة!$H$107:$H$206,0),0))),"")</f>
        <v/>
      </c>
      <c r="B73" s="124" t="str">
        <f>IFERROR(IF(IFERROR(MATCH(17,المحفظة!$H$107:$H$206,0),0)=0,"",INDEX(المحفظة!$B$107:$B$206,IFERROR(MATCH(17,المحفظة!$H$107:$H$206,0),0))),"")</f>
        <v/>
      </c>
      <c r="C73" s="125" t="str">
        <f>IFERROR(IF(IFERROR(MATCH(17,المحفظة!$H$107:$H$206,0),0)=0,"",INDEX(المحفظة!$C$107:$C$206,IFERROR(MATCH(17,المحفظة!$H$107:$H$206,0),0))),"")</f>
        <v/>
      </c>
      <c r="D73" s="126" t="str">
        <f>IFERROR(IF(IFERROR(MATCH(17,المحفظة!$H$107:$H$206,0),0)=0,"",INDEX(المحفظة!$D$107:$D$206,IFERROR(MATCH(17,المحفظة!$H$107:$H$206,0),0))),"")</f>
        <v/>
      </c>
      <c r="E73" s="127" t="s">
        <v>6</v>
      </c>
      <c r="F73" s="124" t="str">
        <f>IFERROR(IF(IFERROR(MATCH(17,المحفظة!$H$107:$H$206,0),0)=0,"",INDEX(المحفظة!$F$107:$F$206,IFERROR(MATCH(17,المحفظة!$H$107:$H$206,0),0))),"")</f>
        <v/>
      </c>
      <c r="G73" s="24"/>
    </row>
    <row r="74" spans="1:7" ht="15" hidden="1" customHeight="1">
      <c r="A74" s="128" t="str">
        <f>IFERROR(IF(IFERROR(MATCH(18,المحفظة!$H$107:$H$206,0),0)=0,"",INDEX(المحفظة!$A$107:$A$206,IFERROR(MATCH(18,المحفظة!$H$107:$H$206,0),0))),"")</f>
        <v/>
      </c>
      <c r="B74" s="129" t="str">
        <f>IFERROR(IF(IFERROR(MATCH(18,المحفظة!$H$107:$H$206,0),0)=0,"",INDEX(المحفظة!$B$107:$B$206,IFERROR(MATCH(18,المحفظة!$H$107:$H$206,0),0))),"")</f>
        <v/>
      </c>
      <c r="C74" s="130" t="str">
        <f>IFERROR(IF(IFERROR(MATCH(18,المحفظة!$H$107:$H$206,0),0)=0,"",INDEX(المحفظة!$C$107:$C$206,IFERROR(MATCH(18,المحفظة!$H$107:$H$206,0),0))),"")</f>
        <v/>
      </c>
      <c r="D74" s="131" t="str">
        <f>IFERROR(IF(IFERROR(MATCH(18,المحفظة!$H$107:$H$206,0),0)=0,"",INDEX(المحفظة!$D$107:$D$206,IFERROR(MATCH(18,المحفظة!$H$107:$H$206,0),0))),"")</f>
        <v/>
      </c>
      <c r="E74" s="132" t="s">
        <v>6</v>
      </c>
      <c r="F74" s="129" t="str">
        <f>IFERROR(IF(IFERROR(MATCH(18,المحفظة!$H$107:$H$206,0),0)=0,"",INDEX(المحفظة!$F$107:$F$206,IFERROR(MATCH(18,المحفظة!$H$107:$H$206,0),0))),"")</f>
        <v/>
      </c>
      <c r="G74" s="31"/>
    </row>
    <row r="75" spans="1:7" ht="15" hidden="1" customHeight="1">
      <c r="A75" s="123" t="str">
        <f>IFERROR(IF(IFERROR(MATCH(19,المحفظة!$H$107:$H$206,0),0)=0,"",INDEX(المحفظة!$A$107:$A$206,IFERROR(MATCH(19,المحفظة!$H$107:$H$206,0),0))),"")</f>
        <v/>
      </c>
      <c r="B75" s="124" t="str">
        <f>IFERROR(IF(IFERROR(MATCH(19,المحفظة!$H$107:$H$206,0),0)=0,"",INDEX(المحفظة!$B$107:$B$206,IFERROR(MATCH(19,المحفظة!$H$107:$H$206,0),0))),"")</f>
        <v/>
      </c>
      <c r="C75" s="125" t="str">
        <f>IFERROR(IF(IFERROR(MATCH(19,المحفظة!$H$107:$H$206,0),0)=0,"",INDEX(المحفظة!$C$107:$C$206,IFERROR(MATCH(19,المحفظة!$H$107:$H$206,0),0))),"")</f>
        <v/>
      </c>
      <c r="D75" s="126" t="str">
        <f>IFERROR(IF(IFERROR(MATCH(19,المحفظة!$H$107:$H$206,0),0)=0,"",INDEX(المحفظة!$D$107:$D$206,IFERROR(MATCH(19,المحفظة!$H$107:$H$206,0),0))),"")</f>
        <v/>
      </c>
      <c r="E75" s="127" t="s">
        <v>6</v>
      </c>
      <c r="F75" s="124" t="str">
        <f>IFERROR(IF(IFERROR(MATCH(19,المحفظة!$H$107:$H$206,0),0)=0,"",INDEX(المحفظة!$F$107:$F$206,IFERROR(MATCH(19,المحفظة!$H$107:$H$206,0),0))),"")</f>
        <v/>
      </c>
      <c r="G75" s="24"/>
    </row>
    <row r="76" spans="1:7" ht="15" hidden="1" customHeight="1">
      <c r="A76" s="128" t="str">
        <f>IFERROR(IF(IFERROR(MATCH(20,المحفظة!$H$107:$H$206,0),0)=0,"",INDEX(المحفظة!$A$107:$A$206,IFERROR(MATCH(20,المحفظة!$H$107:$H$206,0),0))),"")</f>
        <v/>
      </c>
      <c r="B76" s="129" t="str">
        <f>IFERROR(IF(IFERROR(MATCH(20,المحفظة!$H$107:$H$206,0),0)=0,"",INDEX(المحفظة!$B$107:$B$206,IFERROR(MATCH(20,المحفظة!$H$107:$H$206,0),0))),"")</f>
        <v/>
      </c>
      <c r="C76" s="130" t="str">
        <f>IFERROR(IF(IFERROR(MATCH(20,المحفظة!$H$107:$H$206,0),0)=0,"",INDEX(المحفظة!$C$107:$C$206,IFERROR(MATCH(20,المحفظة!$H$107:$H$206,0),0))),"")</f>
        <v/>
      </c>
      <c r="D76" s="131" t="str">
        <f>IFERROR(IF(IFERROR(MATCH(20,المحفظة!$H$107:$H$206,0),0)=0,"",INDEX(المحفظة!$D$107:$D$206,IFERROR(MATCH(20,المحفظة!$H$107:$H$206,0),0))),"")</f>
        <v/>
      </c>
      <c r="E76" s="132" t="s">
        <v>6</v>
      </c>
      <c r="F76" s="129" t="str">
        <f>IFERROR(IF(IFERROR(MATCH(20,المحفظة!$H$107:$H$206,0),0)=0,"",INDEX(المحفظة!$F$107:$F$206,IFERROR(MATCH(20,المحفظة!$H$107:$H$206,0),0))),"")</f>
        <v/>
      </c>
      <c r="G76" s="31"/>
    </row>
    <row r="77" spans="1:7" ht="15" hidden="1" customHeight="1">
      <c r="A77" s="123" t="str">
        <f>IFERROR(IF(IFERROR(MATCH(21,المحفظة!$H$107:$H$206,0),0)=0,"",INDEX(المحفظة!$A$107:$A$206,IFERROR(MATCH(21,المحفظة!$H$107:$H$206,0),0))),"")</f>
        <v/>
      </c>
      <c r="B77" s="124" t="str">
        <f>IFERROR(IF(IFERROR(MATCH(21,المحفظة!$H$107:$H$206,0),0)=0,"",INDEX(المحفظة!$B$107:$B$206,IFERROR(MATCH(21,المحفظة!$H$107:$H$206,0),0))),"")</f>
        <v/>
      </c>
      <c r="C77" s="125" t="str">
        <f>IFERROR(IF(IFERROR(MATCH(21,المحفظة!$H$107:$H$206,0),0)=0,"",INDEX(المحفظة!$C$107:$C$206,IFERROR(MATCH(21,المحفظة!$H$107:$H$206,0),0))),"")</f>
        <v/>
      </c>
      <c r="D77" s="126" t="str">
        <f>IFERROR(IF(IFERROR(MATCH(21,المحفظة!$H$107:$H$206,0),0)=0,"",INDEX(المحفظة!$D$107:$D$206,IFERROR(MATCH(21,المحفظة!$H$107:$H$206,0),0))),"")</f>
        <v/>
      </c>
      <c r="E77" s="127" t="s">
        <v>6</v>
      </c>
      <c r="F77" s="124" t="str">
        <f>IFERROR(IF(IFERROR(MATCH(21,المحفظة!$H$107:$H$206,0),0)=0,"",INDEX(المحفظة!$F$107:$F$206,IFERROR(MATCH(21,المحفظة!$H$107:$H$206,0),0))),"")</f>
        <v/>
      </c>
      <c r="G77" s="24"/>
    </row>
    <row r="78" spans="1:7" ht="15" hidden="1" customHeight="1">
      <c r="A78" s="128" t="str">
        <f>IFERROR(IF(IFERROR(MATCH(22,المحفظة!$H$107:$H$206,0),0)=0,"",INDEX(المحفظة!$A$107:$A$206,IFERROR(MATCH(22,المحفظة!$H$107:$H$206,0),0))),"")</f>
        <v/>
      </c>
      <c r="B78" s="129" t="str">
        <f>IFERROR(IF(IFERROR(MATCH(22,المحفظة!$H$107:$H$206,0),0)=0,"",INDEX(المحفظة!$B$107:$B$206,IFERROR(MATCH(22,المحفظة!$H$107:$H$206,0),0))),"")</f>
        <v/>
      </c>
      <c r="C78" s="130" t="str">
        <f>IFERROR(IF(IFERROR(MATCH(22,المحفظة!$H$107:$H$206,0),0)=0,"",INDEX(المحفظة!$C$107:$C$206,IFERROR(MATCH(22,المحفظة!$H$107:$H$206,0),0))),"")</f>
        <v/>
      </c>
      <c r="D78" s="131" t="str">
        <f>IFERROR(IF(IFERROR(MATCH(22,المحفظة!$H$107:$H$206,0),0)=0,"",INDEX(المحفظة!$D$107:$D$206,IFERROR(MATCH(22,المحفظة!$H$107:$H$206,0),0))),"")</f>
        <v/>
      </c>
      <c r="E78" s="132" t="s">
        <v>6</v>
      </c>
      <c r="F78" s="129" t="str">
        <f>IFERROR(IF(IFERROR(MATCH(22,المحفظة!$H$107:$H$206,0),0)=0,"",INDEX(المحفظة!$F$107:$F$206,IFERROR(MATCH(22,المحفظة!$H$107:$H$206,0),0))),"")</f>
        <v/>
      </c>
      <c r="G78" s="31"/>
    </row>
    <row r="79" spans="1:7" ht="15" hidden="1" customHeight="1">
      <c r="A79" s="123" t="str">
        <f>IFERROR(IF(IFERROR(MATCH(23,المحفظة!$H$107:$H$206,0),0)=0,"",INDEX(المحفظة!$A$107:$A$206,IFERROR(MATCH(23,المحفظة!$H$107:$H$206,0),0))),"")</f>
        <v/>
      </c>
      <c r="B79" s="124" t="str">
        <f>IFERROR(IF(IFERROR(MATCH(23,المحفظة!$H$107:$H$206,0),0)=0,"",INDEX(المحفظة!$B$107:$B$206,IFERROR(MATCH(23,المحفظة!$H$107:$H$206,0),0))),"")</f>
        <v/>
      </c>
      <c r="C79" s="125" t="str">
        <f>IFERROR(IF(IFERROR(MATCH(23,المحفظة!$H$107:$H$206,0),0)=0,"",INDEX(المحفظة!$C$107:$C$206,IFERROR(MATCH(23,المحفظة!$H$107:$H$206,0),0))),"")</f>
        <v/>
      </c>
      <c r="D79" s="126" t="str">
        <f>IFERROR(IF(IFERROR(MATCH(23,المحفظة!$H$107:$H$206,0),0)=0,"",INDEX(المحفظة!$D$107:$D$206,IFERROR(MATCH(23,المحفظة!$H$107:$H$206,0),0))),"")</f>
        <v/>
      </c>
      <c r="E79" s="127" t="s">
        <v>6</v>
      </c>
      <c r="F79" s="124" t="str">
        <f>IFERROR(IF(IFERROR(MATCH(23,المحفظة!$H$107:$H$206,0),0)=0,"",INDEX(المحفظة!$F$107:$F$206,IFERROR(MATCH(23,المحفظة!$H$107:$H$206,0),0))),"")</f>
        <v/>
      </c>
      <c r="G79" s="24"/>
    </row>
    <row r="80" spans="1:7" ht="15" hidden="1" customHeight="1">
      <c r="A80" s="128" t="str">
        <f>IFERROR(IF(IFERROR(MATCH(24,المحفظة!$H$107:$H$206,0),0)=0,"",INDEX(المحفظة!$A$107:$A$206,IFERROR(MATCH(24,المحفظة!$H$107:$H$206,0),0))),"")</f>
        <v/>
      </c>
      <c r="B80" s="129" t="str">
        <f>IFERROR(IF(IFERROR(MATCH(24,المحفظة!$H$107:$H$206,0),0)=0,"",INDEX(المحفظة!$B$107:$B$206,IFERROR(MATCH(24,المحفظة!$H$107:$H$206,0),0))),"")</f>
        <v/>
      </c>
      <c r="C80" s="130" t="str">
        <f>IFERROR(IF(IFERROR(MATCH(24,المحفظة!$H$107:$H$206,0),0)=0,"",INDEX(المحفظة!$C$107:$C$206,IFERROR(MATCH(24,المحفظة!$H$107:$H$206,0),0))),"")</f>
        <v/>
      </c>
      <c r="D80" s="131" t="str">
        <f>IFERROR(IF(IFERROR(MATCH(24,المحفظة!$H$107:$H$206,0),0)=0,"",INDEX(المحفظة!$D$107:$D$206,IFERROR(MATCH(24,المحفظة!$H$107:$H$206,0),0))),"")</f>
        <v/>
      </c>
      <c r="E80" s="132" t="s">
        <v>6</v>
      </c>
      <c r="F80" s="129" t="str">
        <f>IFERROR(IF(IFERROR(MATCH(24,المحفظة!$H$107:$H$206,0),0)=0,"",INDEX(المحفظة!$F$107:$F$206,IFERROR(MATCH(24,المحفظة!$H$107:$H$206,0),0))),"")</f>
        <v/>
      </c>
      <c r="G80" s="31"/>
    </row>
    <row r="81" spans="1:7" ht="15" hidden="1" customHeight="1">
      <c r="A81" s="123" t="str">
        <f>IFERROR(IF(IFERROR(MATCH(25,المحفظة!$H$107:$H$206,0),0)=0,"",INDEX(المحفظة!$A$107:$A$206,IFERROR(MATCH(25,المحفظة!$H$107:$H$206,0),0))),"")</f>
        <v/>
      </c>
      <c r="B81" s="124" t="str">
        <f>IFERROR(IF(IFERROR(MATCH(25,المحفظة!$H$107:$H$206,0),0)=0,"",INDEX(المحفظة!$B$107:$B$206,IFERROR(MATCH(25,المحفظة!$H$107:$H$206,0),0))),"")</f>
        <v/>
      </c>
      <c r="C81" s="125" t="str">
        <f>IFERROR(IF(IFERROR(MATCH(25,المحفظة!$H$107:$H$206,0),0)=0,"",INDEX(المحفظة!$C$107:$C$206,IFERROR(MATCH(25,المحفظة!$H$107:$H$206,0),0))),"")</f>
        <v/>
      </c>
      <c r="D81" s="126" t="str">
        <f>IFERROR(IF(IFERROR(MATCH(25,المحفظة!$H$107:$H$206,0),0)=0,"",INDEX(المحفظة!$D$107:$D$206,IFERROR(MATCH(25,المحفظة!$H$107:$H$206,0),0))),"")</f>
        <v/>
      </c>
      <c r="E81" s="127" t="s">
        <v>6</v>
      </c>
      <c r="F81" s="124" t="str">
        <f>IFERROR(IF(IFERROR(MATCH(25,المحفظة!$H$107:$H$206,0),0)=0,"",INDEX(المحفظة!$F$107:$F$206,IFERROR(MATCH(25,المحفظة!$H$107:$H$206,0),0))),"")</f>
        <v/>
      </c>
      <c r="G81" s="24"/>
    </row>
    <row r="82" spans="1:7" ht="15" hidden="1" customHeight="1">
      <c r="A82" s="128" t="str">
        <f>IFERROR(IF(IFERROR(MATCH(26,المحفظة!$H$107:$H$206,0),0)=0,"",INDEX(المحفظة!$A$107:$A$206,IFERROR(MATCH(26,المحفظة!$H$107:$H$206,0),0))),"")</f>
        <v/>
      </c>
      <c r="B82" s="129" t="str">
        <f>IFERROR(IF(IFERROR(MATCH(26,المحفظة!$H$107:$H$206,0),0)=0,"",INDEX(المحفظة!$B$107:$B$206,IFERROR(MATCH(26,المحفظة!$H$107:$H$206,0),0))),"")</f>
        <v/>
      </c>
      <c r="C82" s="130" t="str">
        <f>IFERROR(IF(IFERROR(MATCH(26,المحفظة!$H$107:$H$206,0),0)=0,"",INDEX(المحفظة!$C$107:$C$206,IFERROR(MATCH(26,المحفظة!$H$107:$H$206,0),0))),"")</f>
        <v/>
      </c>
      <c r="D82" s="131" t="str">
        <f>IFERROR(IF(IFERROR(MATCH(26,المحفظة!$H$107:$H$206,0),0)=0,"",INDEX(المحفظة!$D$107:$D$206,IFERROR(MATCH(26,المحفظة!$H$107:$H$206,0),0))),"")</f>
        <v/>
      </c>
      <c r="E82" s="132" t="s">
        <v>6</v>
      </c>
      <c r="F82" s="129" t="str">
        <f>IFERROR(IF(IFERROR(MATCH(26,المحفظة!$H$107:$H$206,0),0)=0,"",INDEX(المحفظة!$F$107:$F$206,IFERROR(MATCH(26,المحفظة!$H$107:$H$206,0),0))),"")</f>
        <v/>
      </c>
      <c r="G82" s="31"/>
    </row>
    <row r="83" spans="1:7" ht="15" hidden="1" customHeight="1">
      <c r="A83" s="123" t="str">
        <f>IFERROR(IF(IFERROR(MATCH(27,المحفظة!$H$107:$H$206,0),0)=0,"",INDEX(المحفظة!$A$107:$A$206,IFERROR(MATCH(27,المحفظة!$H$107:$H$206,0),0))),"")</f>
        <v/>
      </c>
      <c r="B83" s="124" t="str">
        <f>IFERROR(IF(IFERROR(MATCH(27,المحفظة!$H$107:$H$206,0),0)=0,"",INDEX(المحفظة!$B$107:$B$206,IFERROR(MATCH(27,المحفظة!$H$107:$H$206,0),0))),"")</f>
        <v/>
      </c>
      <c r="C83" s="125" t="str">
        <f>IFERROR(IF(IFERROR(MATCH(27,المحفظة!$H$107:$H$206,0),0)=0,"",INDEX(المحفظة!$C$107:$C$206,IFERROR(MATCH(27,المحفظة!$H$107:$H$206,0),0))),"")</f>
        <v/>
      </c>
      <c r="D83" s="126" t="str">
        <f>IFERROR(IF(IFERROR(MATCH(27,المحفظة!$H$107:$H$206,0),0)=0,"",INDEX(المحفظة!$D$107:$D$206,IFERROR(MATCH(27,المحفظة!$H$107:$H$206,0),0))),"")</f>
        <v/>
      </c>
      <c r="E83" s="127" t="s">
        <v>6</v>
      </c>
      <c r="F83" s="124" t="str">
        <f>IFERROR(IF(IFERROR(MATCH(27,المحفظة!$H$107:$H$206,0),0)=0,"",INDEX(المحفظة!$F$107:$F$206,IFERROR(MATCH(27,المحفظة!$H$107:$H$206,0),0))),"")</f>
        <v/>
      </c>
      <c r="G83" s="24"/>
    </row>
    <row r="84" spans="1:7" ht="15" hidden="1" customHeight="1">
      <c r="A84" s="128" t="str">
        <f>IFERROR(IF(IFERROR(MATCH(28,المحفظة!$H$107:$H$206,0),0)=0,"",INDEX(المحفظة!$A$107:$A$206,IFERROR(MATCH(28,المحفظة!$H$107:$H$206,0),0))),"")</f>
        <v/>
      </c>
      <c r="B84" s="129" t="str">
        <f>IFERROR(IF(IFERROR(MATCH(28,المحفظة!$H$107:$H$206,0),0)=0,"",INDEX(المحفظة!$B$107:$B$206,IFERROR(MATCH(28,المحفظة!$H$107:$H$206,0),0))),"")</f>
        <v/>
      </c>
      <c r="C84" s="130" t="str">
        <f>IFERROR(IF(IFERROR(MATCH(28,المحفظة!$H$107:$H$206,0),0)=0,"",INDEX(المحفظة!$C$107:$C$206,IFERROR(MATCH(28,المحفظة!$H$107:$H$206,0),0))),"")</f>
        <v/>
      </c>
      <c r="D84" s="131" t="str">
        <f>IFERROR(IF(IFERROR(MATCH(28,المحفظة!$H$107:$H$206,0),0)=0,"",INDEX(المحفظة!$D$107:$D$206,IFERROR(MATCH(28,المحفظة!$H$107:$H$206,0),0))),"")</f>
        <v/>
      </c>
      <c r="E84" s="132" t="s">
        <v>6</v>
      </c>
      <c r="F84" s="129" t="str">
        <f>IFERROR(IF(IFERROR(MATCH(28,المحفظة!$H$107:$H$206,0),0)=0,"",INDEX(المحفظة!$F$107:$F$206,IFERROR(MATCH(28,المحفظة!$H$107:$H$206,0),0))),"")</f>
        <v/>
      </c>
      <c r="G84" s="31"/>
    </row>
    <row r="85" spans="1:7" ht="15" hidden="1" customHeight="1">
      <c r="A85" s="123" t="str">
        <f>IFERROR(IF(IFERROR(MATCH(29,المحفظة!$H$107:$H$206,0),0)=0,"",INDEX(المحفظة!$A$107:$A$206,IFERROR(MATCH(29,المحفظة!$H$107:$H$206,0),0))),"")</f>
        <v/>
      </c>
      <c r="B85" s="124" t="str">
        <f>IFERROR(IF(IFERROR(MATCH(29,المحفظة!$H$107:$H$206,0),0)=0,"",INDEX(المحفظة!$B$107:$B$206,IFERROR(MATCH(29,المحفظة!$H$107:$H$206,0),0))),"")</f>
        <v/>
      </c>
      <c r="C85" s="125" t="str">
        <f>IFERROR(IF(IFERROR(MATCH(29,المحفظة!$H$107:$H$206,0),0)=0,"",INDEX(المحفظة!$C$107:$C$206,IFERROR(MATCH(29,المحفظة!$H$107:$H$206,0),0))),"")</f>
        <v/>
      </c>
      <c r="D85" s="126" t="str">
        <f>IFERROR(IF(IFERROR(MATCH(29,المحفظة!$H$107:$H$206,0),0)=0,"",INDEX(المحفظة!$D$107:$D$206,IFERROR(MATCH(29,المحفظة!$H$107:$H$206,0),0))),"")</f>
        <v/>
      </c>
      <c r="E85" s="127" t="s">
        <v>6</v>
      </c>
      <c r="F85" s="124" t="str">
        <f>IFERROR(IF(IFERROR(MATCH(29,المحفظة!$H$107:$H$206,0),0)=0,"",INDEX(المحفظة!$F$107:$F$206,IFERROR(MATCH(29,المحفظة!$H$107:$H$206,0),0))),"")</f>
        <v/>
      </c>
      <c r="G85" s="24"/>
    </row>
    <row r="86" spans="1:7" ht="15" hidden="1" customHeight="1">
      <c r="A86" s="128" t="str">
        <f>IFERROR(IF(IFERROR(MATCH(30,المحفظة!$H$107:$H$206,0),0)=0,"",INDEX(المحفظة!$A$107:$A$206,IFERROR(MATCH(30,المحفظة!$H$107:$H$206,0),0))),"")</f>
        <v/>
      </c>
      <c r="B86" s="129" t="str">
        <f>IFERROR(IF(IFERROR(MATCH(30,المحفظة!$H$107:$H$206,0),0)=0,"",INDEX(المحفظة!$B$107:$B$206,IFERROR(MATCH(30,المحفظة!$H$107:$H$206,0),0))),"")</f>
        <v/>
      </c>
      <c r="C86" s="130" t="str">
        <f>IFERROR(IF(IFERROR(MATCH(30,المحفظة!$H$107:$H$206,0),0)=0,"",INDEX(المحفظة!$C$107:$C$206,IFERROR(MATCH(30,المحفظة!$H$107:$H$206,0),0))),"")</f>
        <v/>
      </c>
      <c r="D86" s="131" t="str">
        <f>IFERROR(IF(IFERROR(MATCH(30,المحفظة!$H$107:$H$206,0),0)=0,"",INDEX(المحفظة!$D$107:$D$206,IFERROR(MATCH(30,المحفظة!$H$107:$H$206,0),0))),"")</f>
        <v/>
      </c>
      <c r="E86" s="132" t="s">
        <v>6</v>
      </c>
      <c r="F86" s="129" t="str">
        <f>IFERROR(IF(IFERROR(MATCH(30,المحفظة!$H$107:$H$206,0),0)=0,"",INDEX(المحفظة!$F$107:$F$206,IFERROR(MATCH(30,المحفظة!$H$107:$H$206,0),0))),"")</f>
        <v/>
      </c>
      <c r="G86" s="31"/>
    </row>
    <row r="87" spans="1:7" ht="15" hidden="1" customHeight="1">
      <c r="A87" s="123" t="str">
        <f>IFERROR(IF(IFERROR(MATCH(31,المحفظة!$H$107:$H$206,0),0)=0,"",INDEX(المحفظة!$A$107:$A$206,IFERROR(MATCH(31,المحفظة!$H$107:$H$206,0),0))),"")</f>
        <v/>
      </c>
      <c r="B87" s="124" t="str">
        <f>IFERROR(IF(IFERROR(MATCH(31,المحفظة!$H$107:$H$206,0),0)=0,"",INDEX(المحفظة!$B$107:$B$206,IFERROR(MATCH(31,المحفظة!$H$107:$H$206,0),0))),"")</f>
        <v/>
      </c>
      <c r="C87" s="125" t="str">
        <f>IFERROR(IF(IFERROR(MATCH(31,المحفظة!$H$107:$H$206,0),0)=0,"",INDEX(المحفظة!$C$107:$C$206,IFERROR(MATCH(31,المحفظة!$H$107:$H$206,0),0))),"")</f>
        <v/>
      </c>
      <c r="D87" s="126" t="str">
        <f>IFERROR(IF(IFERROR(MATCH(31,المحفظة!$H$107:$H$206,0),0)=0,"",INDEX(المحفظة!$D$107:$D$206,IFERROR(MATCH(31,المحفظة!$H$107:$H$206,0),0))),"")</f>
        <v/>
      </c>
      <c r="E87" s="127" t="s">
        <v>6</v>
      </c>
      <c r="F87" s="124" t="str">
        <f>IFERROR(IF(IFERROR(MATCH(31,المحفظة!$H$107:$H$206,0),0)=0,"",INDEX(المحفظة!$F$107:$F$206,IFERROR(MATCH(31,المحفظة!$H$107:$H$206,0),0))),"")</f>
        <v/>
      </c>
      <c r="G87" s="24"/>
    </row>
    <row r="88" spans="1:7" ht="15" hidden="1" customHeight="1">
      <c r="A88" s="128" t="str">
        <f>IFERROR(IF(IFERROR(MATCH(32,المحفظة!$H$107:$H$206,0),0)=0,"",INDEX(المحفظة!$A$107:$A$206,IFERROR(MATCH(32,المحفظة!$H$107:$H$206,0),0))),"")</f>
        <v/>
      </c>
      <c r="B88" s="129" t="str">
        <f>IFERROR(IF(IFERROR(MATCH(32,المحفظة!$H$107:$H$206,0),0)=0,"",INDEX(المحفظة!$B$107:$B$206,IFERROR(MATCH(32,المحفظة!$H$107:$H$206,0),0))),"")</f>
        <v/>
      </c>
      <c r="C88" s="130" t="str">
        <f>IFERROR(IF(IFERROR(MATCH(32,المحفظة!$H$107:$H$206,0),0)=0,"",INDEX(المحفظة!$C$107:$C$206,IFERROR(MATCH(32,المحفظة!$H$107:$H$206,0),0))),"")</f>
        <v/>
      </c>
      <c r="D88" s="131" t="str">
        <f>IFERROR(IF(IFERROR(MATCH(32,المحفظة!$H$107:$H$206,0),0)=0,"",INDEX(المحفظة!$D$107:$D$206,IFERROR(MATCH(32,المحفظة!$H$107:$H$206,0),0))),"")</f>
        <v/>
      </c>
      <c r="E88" s="132" t="s">
        <v>6</v>
      </c>
      <c r="F88" s="129" t="str">
        <f>IFERROR(IF(IFERROR(MATCH(32,المحفظة!$H$107:$H$206,0),0)=0,"",INDEX(المحفظة!$F$107:$F$206,IFERROR(MATCH(32,المحفظة!$H$107:$H$206,0),0))),"")</f>
        <v/>
      </c>
      <c r="G88" s="31"/>
    </row>
    <row r="89" spans="1:7" ht="15" hidden="1" customHeight="1">
      <c r="A89" s="123" t="str">
        <f>IFERROR(IF(IFERROR(MATCH(33,المحفظة!$H$107:$H$206,0),0)=0,"",INDEX(المحفظة!$A$107:$A$206,IFERROR(MATCH(33,المحفظة!$H$107:$H$206,0),0))),"")</f>
        <v/>
      </c>
      <c r="B89" s="124" t="str">
        <f>IFERROR(IF(IFERROR(MATCH(33,المحفظة!$H$107:$H$206,0),0)=0,"",INDEX(المحفظة!$B$107:$B$206,IFERROR(MATCH(33,المحفظة!$H$107:$H$206,0),0))),"")</f>
        <v/>
      </c>
      <c r="C89" s="125" t="str">
        <f>IFERROR(IF(IFERROR(MATCH(33,المحفظة!$H$107:$H$206,0),0)=0,"",INDEX(المحفظة!$C$107:$C$206,IFERROR(MATCH(33,المحفظة!$H$107:$H$206,0),0))),"")</f>
        <v/>
      </c>
      <c r="D89" s="126" t="str">
        <f>IFERROR(IF(IFERROR(MATCH(33,المحفظة!$H$107:$H$206,0),0)=0,"",INDEX(المحفظة!$D$107:$D$206,IFERROR(MATCH(33,المحفظة!$H$107:$H$206,0),0))),"")</f>
        <v/>
      </c>
      <c r="E89" s="127" t="s">
        <v>6</v>
      </c>
      <c r="F89" s="124" t="str">
        <f>IFERROR(IF(IFERROR(MATCH(33,المحفظة!$H$107:$H$206,0),0)=0,"",INDEX(المحفظة!$F$107:$F$206,IFERROR(MATCH(33,المحفظة!$H$107:$H$206,0),0))),"")</f>
        <v/>
      </c>
      <c r="G89" s="24"/>
    </row>
    <row r="90" spans="1:7" ht="15" hidden="1" customHeight="1">
      <c r="A90" s="128" t="str">
        <f>IFERROR(IF(IFERROR(MATCH(34,المحفظة!$H$107:$H$206,0),0)=0,"",INDEX(المحفظة!$A$107:$A$206,IFERROR(MATCH(34,المحفظة!$H$107:$H$206,0),0))),"")</f>
        <v/>
      </c>
      <c r="B90" s="129" t="str">
        <f>IFERROR(IF(IFERROR(MATCH(34,المحفظة!$H$107:$H$206,0),0)=0,"",INDEX(المحفظة!$B$107:$B$206,IFERROR(MATCH(34,المحفظة!$H$107:$H$206,0),0))),"")</f>
        <v/>
      </c>
      <c r="C90" s="130" t="str">
        <f>IFERROR(IF(IFERROR(MATCH(34,المحفظة!$H$107:$H$206,0),0)=0,"",INDEX(المحفظة!$C$107:$C$206,IFERROR(MATCH(34,المحفظة!$H$107:$H$206,0),0))),"")</f>
        <v/>
      </c>
      <c r="D90" s="131" t="str">
        <f>IFERROR(IF(IFERROR(MATCH(34,المحفظة!$H$107:$H$206,0),0)=0,"",INDEX(المحفظة!$D$107:$D$206,IFERROR(MATCH(34,المحفظة!$H$107:$H$206,0),0))),"")</f>
        <v/>
      </c>
      <c r="E90" s="132" t="s">
        <v>6</v>
      </c>
      <c r="F90" s="129" t="str">
        <f>IFERROR(IF(IFERROR(MATCH(34,المحفظة!$H$107:$H$206,0),0)=0,"",INDEX(المحفظة!$F$107:$F$206,IFERROR(MATCH(34,المحفظة!$H$107:$H$206,0),0))),"")</f>
        <v/>
      </c>
      <c r="G90" s="31"/>
    </row>
    <row r="91" spans="1:7" ht="15" hidden="1" customHeight="1">
      <c r="A91" s="123" t="str">
        <f>IFERROR(IF(IFERROR(MATCH(35,المحفظة!$H$107:$H$206,0),0)=0,"",INDEX(المحفظة!$A$107:$A$206,IFERROR(MATCH(35,المحفظة!$H$107:$H$206,0),0))),"")</f>
        <v/>
      </c>
      <c r="B91" s="124" t="str">
        <f>IFERROR(IF(IFERROR(MATCH(35,المحفظة!$H$107:$H$206,0),0)=0,"",INDEX(المحفظة!$B$107:$B$206,IFERROR(MATCH(35,المحفظة!$H$107:$H$206,0),0))),"")</f>
        <v/>
      </c>
      <c r="C91" s="125" t="str">
        <f>IFERROR(IF(IFERROR(MATCH(35,المحفظة!$H$107:$H$206,0),0)=0,"",INDEX(المحفظة!$C$107:$C$206,IFERROR(MATCH(35,المحفظة!$H$107:$H$206,0),0))),"")</f>
        <v/>
      </c>
      <c r="D91" s="126" t="str">
        <f>IFERROR(IF(IFERROR(MATCH(35,المحفظة!$H$107:$H$206,0),0)=0,"",INDEX(المحفظة!$D$107:$D$206,IFERROR(MATCH(35,المحفظة!$H$107:$H$206,0),0))),"")</f>
        <v/>
      </c>
      <c r="E91" s="127" t="s">
        <v>6</v>
      </c>
      <c r="F91" s="124" t="str">
        <f>IFERROR(IF(IFERROR(MATCH(35,المحفظة!$H$107:$H$206,0),0)=0,"",INDEX(المحفظة!$F$107:$F$206,IFERROR(MATCH(35,المحفظة!$H$107:$H$206,0),0))),"")</f>
        <v/>
      </c>
      <c r="G91" s="24"/>
    </row>
    <row r="92" spans="1:7" ht="15" hidden="1" customHeight="1">
      <c r="A92" s="128" t="str">
        <f>IFERROR(IF(IFERROR(MATCH(36,المحفظة!$H$107:$H$206,0),0)=0,"",INDEX(المحفظة!$A$107:$A$206,IFERROR(MATCH(36,المحفظة!$H$107:$H$206,0),0))),"")</f>
        <v/>
      </c>
      <c r="B92" s="129" t="str">
        <f>IFERROR(IF(IFERROR(MATCH(36,المحفظة!$H$107:$H$206,0),0)=0,"",INDEX(المحفظة!$B$107:$B$206,IFERROR(MATCH(36,المحفظة!$H$107:$H$206,0),0))),"")</f>
        <v/>
      </c>
      <c r="C92" s="130" t="str">
        <f>IFERROR(IF(IFERROR(MATCH(36,المحفظة!$H$107:$H$206,0),0)=0,"",INDEX(المحفظة!$C$107:$C$206,IFERROR(MATCH(36,المحفظة!$H$107:$H$206,0),0))),"")</f>
        <v/>
      </c>
      <c r="D92" s="131" t="str">
        <f>IFERROR(IF(IFERROR(MATCH(36,المحفظة!$H$107:$H$206,0),0)=0,"",INDEX(المحفظة!$D$107:$D$206,IFERROR(MATCH(36,المحفظة!$H$107:$H$206,0),0))),"")</f>
        <v/>
      </c>
      <c r="E92" s="132" t="s">
        <v>6</v>
      </c>
      <c r="F92" s="129" t="str">
        <f>IFERROR(IF(IFERROR(MATCH(36,المحفظة!$H$107:$H$206,0),0)=0,"",INDEX(المحفظة!$F$107:$F$206,IFERROR(MATCH(36,المحفظة!$H$107:$H$206,0),0))),"")</f>
        <v/>
      </c>
      <c r="G92" s="31"/>
    </row>
    <row r="93" spans="1:7" ht="15" hidden="1" customHeight="1">
      <c r="A93" s="123" t="str">
        <f>IFERROR(IF(IFERROR(MATCH(37,المحفظة!$H$107:$H$206,0),0)=0,"",INDEX(المحفظة!$A$107:$A$206,IFERROR(MATCH(37,المحفظة!$H$107:$H$206,0),0))),"")</f>
        <v/>
      </c>
      <c r="B93" s="124" t="str">
        <f>IFERROR(IF(IFERROR(MATCH(37,المحفظة!$H$107:$H$206,0),0)=0,"",INDEX(المحفظة!$B$107:$B$206,IFERROR(MATCH(37,المحفظة!$H$107:$H$206,0),0))),"")</f>
        <v/>
      </c>
      <c r="C93" s="125" t="str">
        <f>IFERROR(IF(IFERROR(MATCH(37,المحفظة!$H$107:$H$206,0),0)=0,"",INDEX(المحفظة!$C$107:$C$206,IFERROR(MATCH(37,المحفظة!$H$107:$H$206,0),0))),"")</f>
        <v/>
      </c>
      <c r="D93" s="126" t="str">
        <f>IFERROR(IF(IFERROR(MATCH(37,المحفظة!$H$107:$H$206,0),0)=0,"",INDEX(المحفظة!$D$107:$D$206,IFERROR(MATCH(37,المحفظة!$H$107:$H$206,0),0))),"")</f>
        <v/>
      </c>
      <c r="E93" s="127" t="s">
        <v>6</v>
      </c>
      <c r="F93" s="124" t="str">
        <f>IFERROR(IF(IFERROR(MATCH(37,المحفظة!$H$107:$H$206,0),0)=0,"",INDEX(المحفظة!$F$107:$F$206,IFERROR(MATCH(37,المحفظة!$H$107:$H$206,0),0))),"")</f>
        <v/>
      </c>
      <c r="G93" s="24"/>
    </row>
    <row r="94" spans="1:7" ht="15" hidden="1" customHeight="1">
      <c r="A94" s="128" t="str">
        <f>IFERROR(IF(IFERROR(MATCH(38,المحفظة!$H$107:$H$206,0),0)=0,"",INDEX(المحفظة!$A$107:$A$206,IFERROR(MATCH(38,المحفظة!$H$107:$H$206,0),0))),"")</f>
        <v/>
      </c>
      <c r="B94" s="129" t="str">
        <f>IFERROR(IF(IFERROR(MATCH(38,المحفظة!$H$107:$H$206,0),0)=0,"",INDEX(المحفظة!$B$107:$B$206,IFERROR(MATCH(38,المحفظة!$H$107:$H$206,0),0))),"")</f>
        <v/>
      </c>
      <c r="C94" s="130" t="str">
        <f>IFERROR(IF(IFERROR(MATCH(38,المحفظة!$H$107:$H$206,0),0)=0,"",INDEX(المحفظة!$C$107:$C$206,IFERROR(MATCH(38,المحفظة!$H$107:$H$206,0),0))),"")</f>
        <v/>
      </c>
      <c r="D94" s="131" t="str">
        <f>IFERROR(IF(IFERROR(MATCH(38,المحفظة!$H$107:$H$206,0),0)=0,"",INDEX(المحفظة!$D$107:$D$206,IFERROR(MATCH(38,المحفظة!$H$107:$H$206,0),0))),"")</f>
        <v/>
      </c>
      <c r="E94" s="132" t="s">
        <v>6</v>
      </c>
      <c r="F94" s="129" t="str">
        <f>IFERROR(IF(IFERROR(MATCH(38,المحفظة!$H$107:$H$206,0),0)=0,"",INDEX(المحفظة!$F$107:$F$206,IFERROR(MATCH(38,المحفظة!$H$107:$H$206,0),0))),"")</f>
        <v/>
      </c>
      <c r="G94" s="31"/>
    </row>
    <row r="95" spans="1:7" ht="15" hidden="1" customHeight="1">
      <c r="A95" s="123" t="str">
        <f>IFERROR(IF(IFERROR(MATCH(39,المحفظة!$H$107:$H$206,0),0)=0,"",INDEX(المحفظة!$A$107:$A$206,IFERROR(MATCH(39,المحفظة!$H$107:$H$206,0),0))),"")</f>
        <v/>
      </c>
      <c r="B95" s="124" t="str">
        <f>IFERROR(IF(IFERROR(MATCH(39,المحفظة!$H$107:$H$206,0),0)=0,"",INDEX(المحفظة!$B$107:$B$206,IFERROR(MATCH(39,المحفظة!$H$107:$H$206,0),0))),"")</f>
        <v/>
      </c>
      <c r="C95" s="125" t="str">
        <f>IFERROR(IF(IFERROR(MATCH(39,المحفظة!$H$107:$H$206,0),0)=0,"",INDEX(المحفظة!$C$107:$C$206,IFERROR(MATCH(39,المحفظة!$H$107:$H$206,0),0))),"")</f>
        <v/>
      </c>
      <c r="D95" s="126" t="str">
        <f>IFERROR(IF(IFERROR(MATCH(39,المحفظة!$H$107:$H$206,0),0)=0,"",INDEX(المحفظة!$D$107:$D$206,IFERROR(MATCH(39,المحفظة!$H$107:$H$206,0),0))),"")</f>
        <v/>
      </c>
      <c r="E95" s="127" t="s">
        <v>6</v>
      </c>
      <c r="F95" s="124" t="str">
        <f>IFERROR(IF(IFERROR(MATCH(39,المحفظة!$H$107:$H$206,0),0)=0,"",INDEX(المحفظة!$F$107:$F$206,IFERROR(MATCH(39,المحفظة!$H$107:$H$206,0),0))),"")</f>
        <v/>
      </c>
      <c r="G95" s="24"/>
    </row>
    <row r="96" spans="1:7" ht="15" hidden="1" customHeight="1">
      <c r="A96" s="128" t="str">
        <f>IFERROR(IF(IFERROR(MATCH(40,المحفظة!$H$107:$H$206,0),0)=0,"",INDEX(المحفظة!$A$107:$A$206,IFERROR(MATCH(40,المحفظة!$H$107:$H$206,0),0))),"")</f>
        <v/>
      </c>
      <c r="B96" s="129" t="str">
        <f>IFERROR(IF(IFERROR(MATCH(40,المحفظة!$H$107:$H$206,0),0)=0,"",INDEX(المحفظة!$B$107:$B$206,IFERROR(MATCH(40,المحفظة!$H$107:$H$206,0),0))),"")</f>
        <v/>
      </c>
      <c r="C96" s="130" t="str">
        <f>IFERROR(IF(IFERROR(MATCH(40,المحفظة!$H$107:$H$206,0),0)=0,"",INDEX(المحفظة!$C$107:$C$206,IFERROR(MATCH(40,المحفظة!$H$107:$H$206,0),0))),"")</f>
        <v/>
      </c>
      <c r="D96" s="131" t="str">
        <f>IFERROR(IF(IFERROR(MATCH(40,المحفظة!$H$107:$H$206,0),0)=0,"",INDEX(المحفظة!$D$107:$D$206,IFERROR(MATCH(40,المحفظة!$H$107:$H$206,0),0))),"")</f>
        <v/>
      </c>
      <c r="E96" s="132" t="s">
        <v>6</v>
      </c>
      <c r="F96" s="129" t="str">
        <f>IFERROR(IF(IFERROR(MATCH(40,المحفظة!$H$107:$H$206,0),0)=0,"",INDEX(المحفظة!$F$107:$F$206,IFERROR(MATCH(40,المحفظة!$H$107:$H$206,0),0))),"")</f>
        <v/>
      </c>
      <c r="G96" s="31"/>
    </row>
    <row r="97" spans="1:7" ht="15" hidden="1" customHeight="1">
      <c r="A97" s="123" t="str">
        <f>IFERROR(IF(IFERROR(MATCH(41,المحفظة!$H$107:$H$206,0),0)=0,"",INDEX(المحفظة!$A$107:$A$206,IFERROR(MATCH(41,المحفظة!$H$107:$H$206,0),0))),"")</f>
        <v/>
      </c>
      <c r="B97" s="124" t="str">
        <f>IFERROR(IF(IFERROR(MATCH(41,المحفظة!$H$107:$H$206,0),0)=0,"",INDEX(المحفظة!$B$107:$B$206,IFERROR(MATCH(41,المحفظة!$H$107:$H$206,0),0))),"")</f>
        <v/>
      </c>
      <c r="C97" s="125" t="str">
        <f>IFERROR(IF(IFERROR(MATCH(41,المحفظة!$H$107:$H$206,0),0)=0,"",INDEX(المحفظة!$C$107:$C$206,IFERROR(MATCH(41,المحفظة!$H$107:$H$206,0),0))),"")</f>
        <v/>
      </c>
      <c r="D97" s="126" t="str">
        <f>IFERROR(IF(IFERROR(MATCH(41,المحفظة!$H$107:$H$206,0),0)=0,"",INDEX(المحفظة!$D$107:$D$206,IFERROR(MATCH(41,المحفظة!$H$107:$H$206,0),0))),"")</f>
        <v/>
      </c>
      <c r="E97" s="127" t="s">
        <v>6</v>
      </c>
      <c r="F97" s="124" t="str">
        <f>IFERROR(IF(IFERROR(MATCH(41,المحفظة!$H$107:$H$206,0),0)=0,"",INDEX(المحفظة!$F$107:$F$206,IFERROR(MATCH(41,المحفظة!$H$107:$H$206,0),0))),"")</f>
        <v/>
      </c>
      <c r="G97" s="24"/>
    </row>
    <row r="98" spans="1:7" ht="15" hidden="1" customHeight="1">
      <c r="A98" s="128" t="str">
        <f>IFERROR(IF(IFERROR(MATCH(42,المحفظة!$H$107:$H$206,0),0)=0,"",INDEX(المحفظة!$A$107:$A$206,IFERROR(MATCH(42,المحفظة!$H$107:$H$206,0),0))),"")</f>
        <v/>
      </c>
      <c r="B98" s="129" t="str">
        <f>IFERROR(IF(IFERROR(MATCH(42,المحفظة!$H$107:$H$206,0),0)=0,"",INDEX(المحفظة!$B$107:$B$206,IFERROR(MATCH(42,المحفظة!$H$107:$H$206,0),0))),"")</f>
        <v/>
      </c>
      <c r="C98" s="130" t="str">
        <f>IFERROR(IF(IFERROR(MATCH(42,المحفظة!$H$107:$H$206,0),0)=0,"",INDEX(المحفظة!$C$107:$C$206,IFERROR(MATCH(42,المحفظة!$H$107:$H$206,0),0))),"")</f>
        <v/>
      </c>
      <c r="D98" s="131" t="str">
        <f>IFERROR(IF(IFERROR(MATCH(42,المحفظة!$H$107:$H$206,0),0)=0,"",INDEX(المحفظة!$D$107:$D$206,IFERROR(MATCH(42,المحفظة!$H$107:$H$206,0),0))),"")</f>
        <v/>
      </c>
      <c r="E98" s="132" t="s">
        <v>6</v>
      </c>
      <c r="F98" s="129" t="str">
        <f>IFERROR(IF(IFERROR(MATCH(42,المحفظة!$H$107:$H$206,0),0)=0,"",INDEX(المحفظة!$F$107:$F$206,IFERROR(MATCH(42,المحفظة!$H$107:$H$206,0),0))),"")</f>
        <v/>
      </c>
      <c r="G98" s="31"/>
    </row>
    <row r="99" spans="1:7" ht="15" hidden="1" customHeight="1">
      <c r="A99" s="123" t="str">
        <f>IFERROR(IF(IFERROR(MATCH(43,المحفظة!$H$107:$H$206,0),0)=0,"",INDEX(المحفظة!$A$107:$A$206,IFERROR(MATCH(43,المحفظة!$H$107:$H$206,0),0))),"")</f>
        <v/>
      </c>
      <c r="B99" s="124" t="str">
        <f>IFERROR(IF(IFERROR(MATCH(43,المحفظة!$H$107:$H$206,0),0)=0,"",INDEX(المحفظة!$B$107:$B$206,IFERROR(MATCH(43,المحفظة!$H$107:$H$206,0),0))),"")</f>
        <v/>
      </c>
      <c r="C99" s="125" t="str">
        <f>IFERROR(IF(IFERROR(MATCH(43,المحفظة!$H$107:$H$206,0),0)=0,"",INDEX(المحفظة!$C$107:$C$206,IFERROR(MATCH(43,المحفظة!$H$107:$H$206,0),0))),"")</f>
        <v/>
      </c>
      <c r="D99" s="126" t="str">
        <f>IFERROR(IF(IFERROR(MATCH(43,المحفظة!$H$107:$H$206,0),0)=0,"",INDEX(المحفظة!$D$107:$D$206,IFERROR(MATCH(43,المحفظة!$H$107:$H$206,0),0))),"")</f>
        <v/>
      </c>
      <c r="E99" s="127" t="s">
        <v>6</v>
      </c>
      <c r="F99" s="124" t="str">
        <f>IFERROR(IF(IFERROR(MATCH(43,المحفظة!$H$107:$H$206,0),0)=0,"",INDEX(المحفظة!$F$107:$F$206,IFERROR(MATCH(43,المحفظة!$H$107:$H$206,0),0))),"")</f>
        <v/>
      </c>
      <c r="G99" s="24"/>
    </row>
    <row r="100" spans="1:7" ht="15" hidden="1" customHeight="1">
      <c r="A100" s="128" t="str">
        <f>IFERROR(IF(IFERROR(MATCH(44,المحفظة!$H$107:$H$206,0),0)=0,"",INDEX(المحفظة!$A$107:$A$206,IFERROR(MATCH(44,المحفظة!$H$107:$H$206,0),0))),"")</f>
        <v/>
      </c>
      <c r="B100" s="129" t="str">
        <f>IFERROR(IF(IFERROR(MATCH(44,المحفظة!$H$107:$H$206,0),0)=0,"",INDEX(المحفظة!$B$107:$B$206,IFERROR(MATCH(44,المحفظة!$H$107:$H$206,0),0))),"")</f>
        <v/>
      </c>
      <c r="C100" s="130" t="str">
        <f>IFERROR(IF(IFERROR(MATCH(44,المحفظة!$H$107:$H$206,0),0)=0,"",INDEX(المحفظة!$C$107:$C$206,IFERROR(MATCH(44,المحفظة!$H$107:$H$206,0),0))),"")</f>
        <v/>
      </c>
      <c r="D100" s="131" t="str">
        <f>IFERROR(IF(IFERROR(MATCH(44,المحفظة!$H$107:$H$206,0),0)=0,"",INDEX(المحفظة!$D$107:$D$206,IFERROR(MATCH(44,المحفظة!$H$107:$H$206,0),0))),"")</f>
        <v/>
      </c>
      <c r="E100" s="132" t="s">
        <v>6</v>
      </c>
      <c r="F100" s="129" t="str">
        <f>IFERROR(IF(IFERROR(MATCH(44,المحفظة!$H$107:$H$206,0),0)=0,"",INDEX(المحفظة!$F$107:$F$206,IFERROR(MATCH(44,المحفظة!$H$107:$H$206,0),0))),"")</f>
        <v/>
      </c>
      <c r="G100" s="31"/>
    </row>
    <row r="101" spans="1:7" ht="15" hidden="1" customHeight="1">
      <c r="A101" s="123" t="str">
        <f>IFERROR(IF(IFERROR(MATCH(45,المحفظة!$H$107:$H$206,0),0)=0,"",INDEX(المحفظة!$A$107:$A$206,IFERROR(MATCH(45,المحفظة!$H$107:$H$206,0),0))),"")</f>
        <v/>
      </c>
      <c r="B101" s="124" t="str">
        <f>IFERROR(IF(IFERROR(MATCH(45,المحفظة!$H$107:$H$206,0),0)=0,"",INDEX(المحفظة!$B$107:$B$206,IFERROR(MATCH(45,المحفظة!$H$107:$H$206,0),0))),"")</f>
        <v/>
      </c>
      <c r="C101" s="125" t="str">
        <f>IFERROR(IF(IFERROR(MATCH(45,المحفظة!$H$107:$H$206,0),0)=0,"",INDEX(المحفظة!$C$107:$C$206,IFERROR(MATCH(45,المحفظة!$H$107:$H$206,0),0))),"")</f>
        <v/>
      </c>
      <c r="D101" s="126" t="str">
        <f>IFERROR(IF(IFERROR(MATCH(45,المحفظة!$H$107:$H$206,0),0)=0,"",INDEX(المحفظة!$D$107:$D$206,IFERROR(MATCH(45,المحفظة!$H$107:$H$206,0),0))),"")</f>
        <v/>
      </c>
      <c r="E101" s="127" t="s">
        <v>6</v>
      </c>
      <c r="F101" s="124" t="str">
        <f>IFERROR(IF(IFERROR(MATCH(45,المحفظة!$H$107:$H$206,0),0)=0,"",INDEX(المحفظة!$F$107:$F$206,IFERROR(MATCH(45,المحفظة!$H$107:$H$206,0),0))),"")</f>
        <v/>
      </c>
      <c r="G101" s="24"/>
    </row>
    <row r="102" spans="1:7" ht="15" hidden="1" customHeight="1">
      <c r="A102" s="128" t="str">
        <f>IFERROR(IF(IFERROR(MATCH(46,المحفظة!$H$107:$H$206,0),0)=0,"",INDEX(المحفظة!$A$107:$A$206,IFERROR(MATCH(46,المحفظة!$H$107:$H$206,0),0))),"")</f>
        <v/>
      </c>
      <c r="B102" s="129" t="str">
        <f>IFERROR(IF(IFERROR(MATCH(46,المحفظة!$H$107:$H$206,0),0)=0,"",INDEX(المحفظة!$B$107:$B$206,IFERROR(MATCH(46,المحفظة!$H$107:$H$206,0),0))),"")</f>
        <v/>
      </c>
      <c r="C102" s="130" t="str">
        <f>IFERROR(IF(IFERROR(MATCH(46,المحفظة!$H$107:$H$206,0),0)=0,"",INDEX(المحفظة!$C$107:$C$206,IFERROR(MATCH(46,المحفظة!$H$107:$H$206,0),0))),"")</f>
        <v/>
      </c>
      <c r="D102" s="131" t="str">
        <f>IFERROR(IF(IFERROR(MATCH(46,المحفظة!$H$107:$H$206,0),0)=0,"",INDEX(المحفظة!$D$107:$D$206,IFERROR(MATCH(46,المحفظة!$H$107:$H$206,0),0))),"")</f>
        <v/>
      </c>
      <c r="E102" s="132" t="s">
        <v>6</v>
      </c>
      <c r="F102" s="129" t="str">
        <f>IFERROR(IF(IFERROR(MATCH(46,المحفظة!$H$107:$H$206,0),0)=0,"",INDEX(المحفظة!$F$107:$F$206,IFERROR(MATCH(46,المحفظة!$H$107:$H$206,0),0))),"")</f>
        <v/>
      </c>
      <c r="G102" s="31"/>
    </row>
    <row r="103" spans="1:7" ht="15" hidden="1" customHeight="1">
      <c r="A103" s="123" t="str">
        <f>IFERROR(IF(IFERROR(MATCH(47,المحفظة!$H$107:$H$206,0),0)=0,"",INDEX(المحفظة!$A$107:$A$206,IFERROR(MATCH(47,المحفظة!$H$107:$H$206,0),0))),"")</f>
        <v/>
      </c>
      <c r="B103" s="124" t="str">
        <f>IFERROR(IF(IFERROR(MATCH(47,المحفظة!$H$107:$H$206,0),0)=0,"",INDEX(المحفظة!$B$107:$B$206,IFERROR(MATCH(47,المحفظة!$H$107:$H$206,0),0))),"")</f>
        <v/>
      </c>
      <c r="C103" s="125" t="str">
        <f>IFERROR(IF(IFERROR(MATCH(47,المحفظة!$H$107:$H$206,0),0)=0,"",INDEX(المحفظة!$C$107:$C$206,IFERROR(MATCH(47,المحفظة!$H$107:$H$206,0),0))),"")</f>
        <v/>
      </c>
      <c r="D103" s="126" t="str">
        <f>IFERROR(IF(IFERROR(MATCH(47,المحفظة!$H$107:$H$206,0),0)=0,"",INDEX(المحفظة!$D$107:$D$206,IFERROR(MATCH(47,المحفظة!$H$107:$H$206,0),0))),"")</f>
        <v/>
      </c>
      <c r="E103" s="127" t="s">
        <v>6</v>
      </c>
      <c r="F103" s="124" t="str">
        <f>IFERROR(IF(IFERROR(MATCH(47,المحفظة!$H$107:$H$206,0),0)=0,"",INDEX(المحفظة!$F$107:$F$206,IFERROR(MATCH(47,المحفظة!$H$107:$H$206,0),0))),"")</f>
        <v/>
      </c>
      <c r="G103" s="24"/>
    </row>
    <row r="104" spans="1:7" ht="15" hidden="1" customHeight="1">
      <c r="A104" s="128" t="str">
        <f>IFERROR(IF(IFERROR(MATCH(48,المحفظة!$H$107:$H$206,0),0)=0,"",INDEX(المحفظة!$A$107:$A$206,IFERROR(MATCH(48,المحفظة!$H$107:$H$206,0),0))),"")</f>
        <v/>
      </c>
      <c r="B104" s="129" t="str">
        <f>IFERROR(IF(IFERROR(MATCH(48,المحفظة!$H$107:$H$206,0),0)=0,"",INDEX(المحفظة!$B$107:$B$206,IFERROR(MATCH(48,المحفظة!$H$107:$H$206,0),0))),"")</f>
        <v/>
      </c>
      <c r="C104" s="130" t="str">
        <f>IFERROR(IF(IFERROR(MATCH(48,المحفظة!$H$107:$H$206,0),0)=0,"",INDEX(المحفظة!$C$107:$C$206,IFERROR(MATCH(48,المحفظة!$H$107:$H$206,0),0))),"")</f>
        <v/>
      </c>
      <c r="D104" s="131" t="str">
        <f>IFERROR(IF(IFERROR(MATCH(48,المحفظة!$H$107:$H$206,0),0)=0,"",INDEX(المحفظة!$D$107:$D$206,IFERROR(MATCH(48,المحفظة!$H$107:$H$206,0),0))),"")</f>
        <v/>
      </c>
      <c r="E104" s="132" t="s">
        <v>6</v>
      </c>
      <c r="F104" s="129" t="str">
        <f>IFERROR(IF(IFERROR(MATCH(48,المحفظة!$H$107:$H$206,0),0)=0,"",INDEX(المحفظة!$F$107:$F$206,IFERROR(MATCH(48,المحفظة!$H$107:$H$206,0),0))),"")</f>
        <v/>
      </c>
      <c r="G104" s="31"/>
    </row>
    <row r="105" spans="1:7" ht="15" hidden="1" customHeight="1">
      <c r="A105" s="123" t="str">
        <f>IFERROR(IF(IFERROR(MATCH(49,المحفظة!$H$107:$H$206,0),0)=0,"",INDEX(المحفظة!$A$107:$A$206,IFERROR(MATCH(49,المحفظة!$H$107:$H$206,0),0))),"")</f>
        <v/>
      </c>
      <c r="B105" s="124" t="str">
        <f>IFERROR(IF(IFERROR(MATCH(49,المحفظة!$H$107:$H$206,0),0)=0,"",INDEX(المحفظة!$B$107:$B$206,IFERROR(MATCH(49,المحفظة!$H$107:$H$206,0),0))),"")</f>
        <v/>
      </c>
      <c r="C105" s="125" t="str">
        <f>IFERROR(IF(IFERROR(MATCH(49,المحفظة!$H$107:$H$206,0),0)=0,"",INDEX(المحفظة!$C$107:$C$206,IFERROR(MATCH(49,المحفظة!$H$107:$H$206,0),0))),"")</f>
        <v/>
      </c>
      <c r="D105" s="126" t="str">
        <f>IFERROR(IF(IFERROR(MATCH(49,المحفظة!$H$107:$H$206,0),0)=0,"",INDEX(المحفظة!$D$107:$D$206,IFERROR(MATCH(49,المحفظة!$H$107:$H$206,0),0))),"")</f>
        <v/>
      </c>
      <c r="E105" s="127" t="s">
        <v>6</v>
      </c>
      <c r="F105" s="124" t="str">
        <f>IFERROR(IF(IFERROR(MATCH(49,المحفظة!$H$107:$H$206,0),0)=0,"",INDEX(المحفظة!$F$107:$F$206,IFERROR(MATCH(49,المحفظة!$H$107:$H$206,0),0))),"")</f>
        <v/>
      </c>
      <c r="G105" s="24"/>
    </row>
    <row r="106" spans="1:7" ht="15" hidden="1" customHeight="1">
      <c r="A106" s="128" t="str">
        <f>IFERROR(IF(IFERROR(MATCH(50,المحفظة!$H$107:$H$206,0),0)=0,"",INDEX(المحفظة!$A$107:$A$206,IFERROR(MATCH(50,المحفظة!$H$107:$H$206,0),0))),"")</f>
        <v/>
      </c>
      <c r="B106" s="129" t="str">
        <f>IFERROR(IF(IFERROR(MATCH(50,المحفظة!$H$107:$H$206,0),0)=0,"",INDEX(المحفظة!$B$107:$B$206,IFERROR(MATCH(50,المحفظة!$H$107:$H$206,0),0))),"")</f>
        <v/>
      </c>
      <c r="C106" s="130" t="str">
        <f>IFERROR(IF(IFERROR(MATCH(50,المحفظة!$H$107:$H$206,0),0)=0,"",INDEX(المحفظة!$C$107:$C$206,IFERROR(MATCH(50,المحفظة!$H$107:$H$206,0),0))),"")</f>
        <v/>
      </c>
      <c r="D106" s="131" t="str">
        <f>IFERROR(IF(IFERROR(MATCH(50,المحفظة!$H$107:$H$206,0),0)=0,"",INDEX(المحفظة!$D$107:$D$206,IFERROR(MATCH(50,المحفظة!$H$107:$H$206,0),0))),"")</f>
        <v/>
      </c>
      <c r="E106" s="132" t="s">
        <v>6</v>
      </c>
      <c r="F106" s="129" t="str">
        <f>IFERROR(IF(IFERROR(MATCH(50,المحفظة!$H$107:$H$206,0),0)=0,"",INDEX(المحفظة!$F$107:$F$206,IFERROR(MATCH(50,المحفظة!$H$107:$H$206,0),0))),"")</f>
        <v/>
      </c>
      <c r="G106" s="31"/>
    </row>
    <row r="107" spans="1:7" ht="19.5" customHeight="1">
      <c r="A107" s="142" t="s">
        <v>228</v>
      </c>
      <c r="B107" s="142"/>
      <c r="C107" s="142"/>
      <c r="D107" s="133">
        <f>SUMIF(المحفظة!$H$107:$H$206,"&gt;0",المحفظة!$D$107:$D$206)</f>
        <v>62</v>
      </c>
      <c r="E107" s="101"/>
      <c r="F107" s="101"/>
      <c r="G107" s="101"/>
    </row>
    <row r="108" spans="1:7" ht="19.5" customHeight="1">
      <c r="A108" s="150" t="s">
        <v>229</v>
      </c>
      <c r="B108" s="150"/>
      <c r="C108" s="150"/>
      <c r="D108" s="100">
        <f>E55-D107</f>
        <v>4.5</v>
      </c>
      <c r="E108" s="155">
        <f>SUM(E5:E107)</f>
        <v>133</v>
      </c>
      <c r="F108" s="155"/>
      <c r="G108" s="155"/>
    </row>
  </sheetData>
  <mergeCells count="11">
    <mergeCell ref="A4:G4"/>
    <mergeCell ref="A55:D55"/>
    <mergeCell ref="A56:G56"/>
    <mergeCell ref="A107:C107"/>
    <mergeCell ref="A108:C108"/>
    <mergeCell ref="E108:G108"/>
    <mergeCell ref="A1:G1"/>
    <mergeCell ref="A2:B2"/>
    <mergeCell ref="D2:E2"/>
    <mergeCell ref="A3:B3"/>
    <mergeCell ref="D3:E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Hadi Ishak</cp:lastModifiedBy>
  <cp:revision>0</cp:revision>
  <cp:lastPrinted>2026-06-16T20:46:17Z</cp:lastPrinted>
  <dcterms:created xsi:type="dcterms:W3CDTF">2026-05-17T18:05:26Z</dcterms:created>
  <dcterms:modified xsi:type="dcterms:W3CDTF">2026-06-16T20:47:20Z</dcterms:modified>
  <dc:language>en-US</dc:language>
</cp:coreProperties>
</file>