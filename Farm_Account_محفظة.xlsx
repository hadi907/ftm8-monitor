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0" activeTab="0" autoFilterDateGrouping="1"/>
  </bookViews>
  <sheets>
    <sheet xmlns:r="http://schemas.openxmlformats.org/officeDocument/2006/relationships" name="المحفظة" sheetId="1" state="visible" r:id="rId1"/>
    <sheet xmlns:r="http://schemas.openxmlformats.org/officeDocument/2006/relationships" name="كشف الحساب" sheetId="2" state="visible" r:id="rId2"/>
    <sheet xmlns:r="http://schemas.openxmlformats.org/officeDocument/2006/relationships" name="بنود المحفظة" sheetId="3" state="visible" r:id="rId3"/>
    <sheet xmlns:r="http://schemas.openxmlformats.org/officeDocument/2006/relationships" name="تعليمات" sheetId="4" state="visible" r:id="rId4"/>
    <sheet xmlns:r="http://schemas.openxmlformats.org/officeDocument/2006/relationships" name="طباعة كشف الحساب" sheetId="5" state="visible" r:id="rId5"/>
    <sheet xmlns:r="http://schemas.openxmlformats.org/officeDocument/2006/relationships" name="طباعة المحفظة" sheetId="6" state="visible" r:id="rId6"/>
  </sheets>
  <definedNames>
    <definedName name="_xlnm.Print_Titles" localSheetId="4">'طباعة كشف الحساب'!$1:$4</definedName>
    <definedName name="_xlnm.Print_Area" localSheetId="4">'طباعة كشف الحساب'!$A$1:$K$156</definedName>
    <definedName name="_xlnm.Print_Titles" localSheetId="5">'طباعة المحفظة'!$1:$4</definedName>
    <definedName name="_xlnm.Print_Area" localSheetId="5">'طباعة المحفظة'!$A$1:$G$52,'طباعة المحفظة'!$A$55:$G$69,'طباعة المحفظة'!$A$107:$G$108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d\-mmm\-yy"/>
    <numFmt numFmtId="166" formatCode="m/d/yyyy"/>
    <numFmt numFmtId="167" formatCode="#,##0.000 &quot;KD&quot;"/>
  </numFmts>
  <fonts count="58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0"/>
    </font>
    <font>
      <name val="Arial"/>
      <charset val="1"/>
      <b val="1"/>
      <color rgb="FFC00000"/>
      <sz val="13"/>
    </font>
    <font>
      <name val="Arial"/>
      <charset val="1"/>
      <i val="1"/>
      <color rgb="FF808080"/>
      <sz val="9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13"/>
    </font>
    <font>
      <name val="Arial"/>
      <charset val="1"/>
      <i val="1"/>
      <color rgb="FFA9D1F5"/>
      <sz val="9"/>
    </font>
    <font>
      <name val="Arial"/>
      <charset val="1"/>
      <color rgb="FF375623"/>
      <sz val="10"/>
    </font>
    <font>
      <name val="Arial"/>
      <charset val="1"/>
      <b val="1"/>
      <color rgb="FF375623"/>
      <sz val="10"/>
    </font>
    <font>
      <name val="Arial"/>
      <charset val="1"/>
      <color rgb="FFAAAAAA"/>
      <sz val="10"/>
    </font>
    <font>
      <name val="Arial"/>
      <charset val="1"/>
      <sz val="9"/>
    </font>
    <font>
      <name val="Arial"/>
      <charset val="1"/>
      <color rgb="FF8B0000"/>
      <sz val="10"/>
    </font>
    <font>
      <name val="Arial"/>
      <charset val="1"/>
      <b val="1"/>
      <color rgb="FF8B0000"/>
      <sz val="10"/>
    </font>
    <font>
      <name val="Arial"/>
      <charset val="1"/>
      <b val="1"/>
      <color rgb="FF4B0082"/>
      <sz val="9"/>
    </font>
    <font>
      <name val="FreeSans"/>
      <charset val="1"/>
      <family val="2"/>
      <b val="1"/>
      <color rgb="FF002060"/>
      <sz val="11"/>
    </font>
    <font>
      <name val="FreeSans"/>
      <charset val="1"/>
      <family val="2"/>
      <b val="1"/>
      <sz val="10"/>
    </font>
    <font>
      <name val="Cambria"/>
      <charset val="1"/>
      <b val="1"/>
      <sz val="10"/>
    </font>
    <font>
      <name val="FreeSans"/>
      <charset val="1"/>
      <family val="2"/>
      <b val="1"/>
      <sz val="11"/>
    </font>
    <font>
      <name val="FreeSans"/>
      <charset val="1"/>
      <family val="2"/>
      <b val="1"/>
      <color rgb="FF843C0C"/>
      <sz val="11"/>
    </font>
    <font>
      <name val="Arial"/>
      <charset val="1"/>
      <b val="1"/>
      <color rgb="FFFFFFFF"/>
      <sz val="9"/>
    </font>
    <font>
      <name val="Arial"/>
      <charset val="1"/>
      <color rgb="FFFFFFFF"/>
      <sz val="7"/>
    </font>
    <font>
      <name val="Arial"/>
      <charset val="1"/>
      <color rgb="FFAAAAAA"/>
      <sz val="8"/>
    </font>
    <font>
      <name val="Arial"/>
      <charset val="1"/>
      <sz val="10"/>
    </font>
    <font>
      <name val="Arial"/>
      <charset val="1"/>
      <color rgb="FF000000"/>
      <sz val="10"/>
    </font>
    <font>
      <name val="Arial"/>
      <charset val="1"/>
      <color rgb="FF1E5C1E"/>
      <sz val="10"/>
    </font>
    <font>
      <name val="Arial"/>
      <charset val="1"/>
      <b val="1"/>
      <sz val="10"/>
    </font>
    <font>
      <name val="Arial"/>
      <charset val="1"/>
      <i val="1"/>
      <color rgb="FF7030A0"/>
      <sz val="9"/>
    </font>
    <font>
      <name val="Arial"/>
      <charset val="1"/>
      <i val="1"/>
      <color rgb="FF606060"/>
      <sz val="9"/>
    </font>
    <font>
      <name val="Arial"/>
      <charset val="1"/>
      <b val="1"/>
      <sz val="9"/>
    </font>
    <font>
      <name val="Arial"/>
      <charset val="1"/>
      <b val="1"/>
      <color rgb="FFFFFFFF"/>
      <sz val="12"/>
    </font>
    <font>
      <name val="Arial"/>
      <charset val="1"/>
      <b val="1"/>
      <color rgb="FF000000"/>
      <sz val="10"/>
    </font>
    <font>
      <name val="Arial"/>
      <charset val="1"/>
      <b val="1"/>
      <color rgb="FFC00000"/>
      <sz val="12"/>
    </font>
    <font>
      <name val="Arial"/>
      <charset val="1"/>
      <b val="1"/>
      <color rgb="FF1F4E79"/>
      <sz val="10"/>
    </font>
    <font>
      <name val="Arial"/>
      <charset val="1"/>
      <b val="1"/>
      <color rgb="FFC00000"/>
      <sz val="11"/>
    </font>
    <font>
      <name val="Arial"/>
      <charset val="1"/>
      <color rgb="FF8B0000"/>
      <sz val="9"/>
    </font>
    <font>
      <name val="Arial"/>
      <charset val="1"/>
      <color rgb="FF375623"/>
      <sz val="9"/>
    </font>
    <font>
      <name val="Calibri"/>
      <charset val="1"/>
      <color theme="1"/>
      <sz val="10"/>
    </font>
    <font>
      <name val="Calibri"/>
      <charset val="1"/>
      <color theme="1"/>
      <sz val="9"/>
    </font>
    <font>
      <name val="Arial"/>
      <charset val="1"/>
      <b val="1"/>
      <color rgb="FF375623"/>
      <sz val="12"/>
    </font>
    <font>
      <name val="Arial"/>
      <charset val="1"/>
      <color rgb="FFAAAAAA"/>
      <sz val="9"/>
    </font>
    <font>
      <name val="Arial"/>
      <charset val="1"/>
      <b val="1"/>
      <color rgb="FF375623"/>
      <sz val="9"/>
    </font>
    <font>
      <name val="Arial"/>
      <charset val="1"/>
      <b val="1"/>
      <color rgb="FF8B0000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color rgb="000D2137"/>
      <sz val="8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1A7A1A"/>
      <sz val="9"/>
    </font>
    <font>
      <name val="Arial"/>
      <color rgb="00C0392B"/>
      <sz val="9"/>
    </font>
    <font>
      <name val="Arial"/>
      <b val="1"/>
      <color rgb="001B2631"/>
      <sz val="9"/>
    </font>
    <font>
      <name val="Arial"/>
      <b val="1"/>
      <color rgb="00A9DFBF"/>
      <sz val="10"/>
    </font>
    <font>
      <name val="Arial"/>
      <b val="1"/>
      <color rgb="00F1948A"/>
      <sz val="10"/>
    </font>
    <font>
      <name val="Arial"/>
      <b val="1"/>
      <color rgb="006C3483"/>
      <sz val="10"/>
    </font>
    <font>
      <name val="Arial"/>
      <b val="1"/>
      <color rgb="006C3483"/>
      <sz val="9"/>
    </font>
    <font>
      <name val="Arial"/>
      <color rgb="00000000"/>
      <sz val="10"/>
    </font>
    <font>
      <name val="Arial"/>
      <b val="1"/>
      <color rgb="004A235A"/>
      <sz val="10"/>
    </font>
  </fonts>
  <fills count="53">
    <fill>
      <patternFill/>
    </fill>
    <fill>
      <patternFill patternType="gray125"/>
    </fill>
    <fill>
      <patternFill patternType="solid">
        <fgColor rgb="FF1F4E79"/>
        <bgColor rgb="FF1A3C5E"/>
      </patternFill>
    </fill>
    <fill>
      <patternFill patternType="solid">
        <fgColor rgb="FF2E75B6"/>
        <bgColor rgb="FF008080"/>
      </patternFill>
    </fill>
    <fill>
      <patternFill patternType="solid">
        <fgColor rgb="FFFFF2CC"/>
        <bgColor rgb="FFFFFACD"/>
      </patternFill>
    </fill>
    <fill>
      <patternFill patternType="solid">
        <fgColor rgb="FF1A3C5E"/>
        <bgColor rgb="FF1F4E79"/>
      </patternFill>
    </fill>
    <fill>
      <patternFill patternType="solid">
        <fgColor rgb="FF1E5C1E"/>
        <bgColor rgb="FF375623"/>
      </patternFill>
    </fill>
    <fill>
      <patternFill patternType="solid">
        <fgColor rgb="FFE5FFE5"/>
        <bgColor rgb="FFE0FFE0"/>
      </patternFill>
    </fill>
    <fill>
      <patternFill patternType="solid">
        <fgColor rgb="FFD0FFD0"/>
        <bgColor rgb="FFCCFFCC"/>
      </patternFill>
    </fill>
    <fill>
      <patternFill patternType="solid">
        <fgColor rgb="FF8B0000"/>
        <bgColor rgb="FF800000"/>
      </patternFill>
    </fill>
    <fill>
      <patternFill patternType="solid">
        <fgColor rgb="FFFFE5E5"/>
        <bgColor rgb="FFFFE5CC"/>
      </patternFill>
    </fill>
    <fill>
      <patternFill patternType="solid">
        <fgColor rgb="FFFFD0D0"/>
        <bgColor rgb="FFFFCCCC"/>
      </patternFill>
    </fill>
    <fill>
      <patternFill patternType="solid">
        <fgColor rgb="FFBDD7EE"/>
        <bgColor rgb="FFC2D8EE"/>
      </patternFill>
    </fill>
    <fill>
      <patternFill patternType="solid">
        <fgColor rgb="FF404040"/>
        <bgColor rgb="FF375623"/>
      </patternFill>
    </fill>
    <fill>
      <patternFill patternType="solid">
        <fgColor rgb="FFF5F5F5"/>
        <bgColor rgb="FFF0F4F8"/>
      </patternFill>
    </fill>
    <fill>
      <patternFill patternType="solid">
        <fgColor rgb="FFFFF8DC"/>
        <bgColor rgb="FFFFFACD"/>
      </patternFill>
    </fill>
    <fill>
      <patternFill patternType="solid">
        <fgColor rgb="FFF0F0FF"/>
        <bgColor rgb="FFF5EEFF"/>
      </patternFill>
    </fill>
    <fill>
      <patternFill patternType="solid">
        <fgColor rgb="FFF0FFF0"/>
        <bgColor rgb="FFE5FFE5"/>
      </patternFill>
    </fill>
    <fill>
      <patternFill patternType="solid">
        <fgColor rgb="FFF5EEFF"/>
        <bgColor rgb="FFF0F0FF"/>
      </patternFill>
    </fill>
    <fill>
      <patternFill patternType="solid">
        <fgColor rgb="FFC2D8EE"/>
        <bgColor rgb="FFBDD7EE"/>
      </patternFill>
    </fill>
    <fill>
      <patternFill patternType="solid">
        <fgColor rgb="FFFFFFFF"/>
        <bgColor rgb="FFF0FFF0"/>
      </patternFill>
    </fill>
    <fill>
      <patternFill patternType="solid">
        <fgColor rgb="FFFFFACD"/>
        <bgColor rgb="FFFFF8DC"/>
      </patternFill>
    </fill>
    <fill>
      <patternFill patternType="solid">
        <fgColor rgb="FFE8E8FF"/>
        <bgColor rgb="FFEDE0FF"/>
      </patternFill>
    </fill>
    <fill>
      <patternFill patternType="solid">
        <fgColor rgb="FFE0FFE0"/>
        <bgColor rgb="FFE5FFE5"/>
      </patternFill>
    </fill>
    <fill>
      <patternFill patternType="solid">
        <fgColor rgb="FFEDE0FF"/>
        <bgColor rgb="FFE8E8FF"/>
      </patternFill>
    </fill>
    <fill>
      <patternFill patternType="solid">
        <fgColor rgb="FFD6E4F0"/>
        <bgColor rgb="FFE8E8FF"/>
      </patternFill>
    </fill>
    <fill>
      <patternFill patternType="solid">
        <fgColor rgb="FFC00000"/>
        <bgColor rgb="FF8B0000"/>
      </patternFill>
    </fill>
    <fill>
      <patternFill patternType="solid">
        <fgColor rgb="FFFFCCCC"/>
        <bgColor rgb="FFFFD0D0"/>
      </patternFill>
    </fill>
    <fill>
      <patternFill patternType="solid">
        <fgColor rgb="FFCCFFCC"/>
        <bgColor rgb="FFD0FFD0"/>
      </patternFill>
    </fill>
    <fill>
      <patternFill patternType="solid">
        <fgColor rgb="FFFFE5CC"/>
        <bgColor rgb="FFFFE5E5"/>
      </patternFill>
    </fill>
    <fill>
      <patternFill patternType="solid">
        <fgColor rgb="FFEBF3FB"/>
        <bgColor rgb="FFF0F4F8"/>
      </patternFill>
    </fill>
    <fill>
      <patternFill patternType="solid">
        <fgColor rgb="FFF0F4F8"/>
        <bgColor rgb="FFF5F5F5"/>
      </patternFill>
    </fill>
    <fill>
      <patternFill patternType="solid">
        <fgColor rgb="FFFF0000"/>
        <bgColor rgb="FFF0FFF0"/>
      </patternFill>
    </fill>
    <fill>
      <patternFill patternType="solid">
        <fgColor rgb="FFFF0000"/>
        <bgColor rgb="FFFFE5CC"/>
      </patternFill>
    </fill>
    <fill>
      <patternFill patternType="solid">
        <fgColor rgb="FFFF0000"/>
        <bgColor rgb="FFE0FFE0"/>
      </patternFill>
    </fill>
    <fill>
      <patternFill patternType="solid">
        <fgColor rgb="FFFF0000"/>
        <bgColor rgb="FFFFF8DC"/>
      </patternFill>
    </fill>
    <fill>
      <patternFill patternType="solid">
        <fgColor rgb="FFFF0000"/>
        <bgColor rgb="FFEDE0FF"/>
      </patternFill>
    </fill>
    <fill>
      <patternFill patternType="solid">
        <fgColor rgb="FFFF0000"/>
        <bgColor rgb="FFE5FFE5"/>
      </patternFill>
    </fill>
    <fill>
      <patternFill patternType="solid">
        <fgColor rgb="FFFF0000"/>
        <bgColor rgb="FFE8E8FF"/>
      </patternFill>
    </fill>
    <fill>
      <patternFill patternType="solid">
        <fgColor rgb="001B3A6B"/>
      </patternFill>
    </fill>
    <fill>
      <patternFill patternType="solid">
        <fgColor rgb="002C5F9E"/>
      </patternFill>
    </fill>
    <fill>
      <patternFill patternType="solid">
        <fgColor rgb="001E8449"/>
      </patternFill>
    </fill>
    <fill>
      <patternFill patternType="solid">
        <fgColor rgb="000D2137"/>
      </patternFill>
    </fill>
    <fill>
      <patternFill patternType="solid">
        <fgColor rgb="001A5276"/>
      </patternFill>
    </fill>
    <fill>
      <patternFill patternType="solid">
        <fgColor rgb="002980B9"/>
      </patternFill>
    </fill>
    <fill>
      <patternFill patternType="solid">
        <fgColor rgb="00E8F5E9"/>
      </patternFill>
    </fill>
    <fill>
      <patternFill patternType="solid">
        <fgColor rgb="00FDEDEC"/>
      </patternFill>
    </fill>
    <fill>
      <patternFill patternType="solid">
        <fgColor rgb="000D3349"/>
      </patternFill>
    </fill>
    <fill>
      <patternFill patternType="solid">
        <fgColor rgb="0027AE60"/>
      </patternFill>
    </fill>
    <fill>
      <patternFill patternType="solid">
        <fgColor rgb="004A235A"/>
      </patternFill>
    </fill>
    <fill>
      <patternFill patternType="solid">
        <fgColor rgb="006C3483"/>
      </patternFill>
    </fill>
    <fill>
      <patternFill patternType="solid">
        <fgColor rgb="00F3E5F5"/>
      </patternFill>
    </fill>
    <fill>
      <patternFill patternType="solid">
        <fgColor rgb="00D7BDE2"/>
      </patternFill>
    </fill>
  </fills>
  <borders count="12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07">
    <xf numFmtId="0" fontId="0" fillId="0" borderId="0" pivotButton="0" quotePrefix="0" xfId="0"/>
    <xf numFmtId="164" fontId="3" fillId="4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165" fontId="8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right" vertical="center" wrapText="1"/>
    </xf>
    <xf numFmtId="0" fontId="10" fillId="7" borderId="2" applyAlignment="1" pivotButton="0" quotePrefix="0" xfId="0">
      <alignment horizontal="center" vertical="center"/>
    </xf>
    <xf numFmtId="164" fontId="9" fillId="7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center" vertical="center"/>
    </xf>
    <xf numFmtId="0" fontId="0" fillId="7" borderId="2" pivotButton="0" quotePrefix="0" xfId="0"/>
    <xf numFmtId="165" fontId="8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right" vertical="center" wrapText="1"/>
    </xf>
    <xf numFmtId="0" fontId="10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center" vertical="center"/>
    </xf>
    <xf numFmtId="0" fontId="0" fillId="8" borderId="2" pivotButton="0" quotePrefix="0" xfId="0"/>
    <xf numFmtId="164" fontId="5" fillId="6" borderId="2" applyAlignment="1" pivotButton="0" quotePrefix="0" xfId="0">
      <alignment horizontal="right" vertical="center"/>
    </xf>
    <xf numFmtId="165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right" vertical="center" wrapText="1"/>
    </xf>
    <xf numFmtId="164" fontId="13" fillId="10" borderId="2" applyAlignment="1" pivotButton="0" quotePrefix="0" xfId="0">
      <alignment horizontal="right" vertical="center"/>
    </xf>
    <xf numFmtId="0" fontId="10" fillId="10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0" fillId="10" borderId="2" pivotButton="0" quotePrefix="0" xfId="0"/>
    <xf numFmtId="165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right" vertical="center" wrapText="1"/>
    </xf>
    <xf numFmtId="164" fontId="13" fillId="11" borderId="2" applyAlignment="1" pivotButton="0" quotePrefix="0" xfId="0">
      <alignment horizontal="right" vertical="center"/>
    </xf>
    <xf numFmtId="0" fontId="10" fillId="11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0" fillId="11" borderId="2" pivotButton="0" quotePrefix="0" xfId="0"/>
    <xf numFmtId="164" fontId="5" fillId="9" borderId="2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right" vertical="center"/>
    </xf>
    <xf numFmtId="0" fontId="15" fillId="12" borderId="0" pivotButton="0" quotePrefix="0" xfId="0"/>
    <xf numFmtId="0" fontId="16" fillId="12" borderId="0" applyAlignment="1" pivotButton="0" quotePrefix="0" xfId="0">
      <alignment horizontal="center"/>
    </xf>
    <xf numFmtId="0" fontId="17" fillId="12" borderId="0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2" borderId="2" applyAlignment="1" pivotButton="0" quotePrefix="0" xfId="0">
      <alignment horizontal="center" vertical="center" wrapText="1"/>
    </xf>
    <xf numFmtId="0" fontId="21" fillId="13" borderId="2" applyAlignment="1" pivotButton="0" quotePrefix="0" xfId="0">
      <alignment horizontal="center" vertical="center"/>
    </xf>
    <xf numFmtId="0" fontId="22" fillId="0" borderId="0" pivotButton="0" quotePrefix="0" xfId="0"/>
    <xf numFmtId="165" fontId="23" fillId="14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right" vertical="center" wrapText="1"/>
    </xf>
    <xf numFmtId="164" fontId="12" fillId="11" borderId="2" applyAlignment="1" pivotButton="0" quotePrefix="0" xfId="0">
      <alignment horizontal="right" vertical="center"/>
    </xf>
    <xf numFmtId="164" fontId="25" fillId="8" borderId="2" applyAlignment="1" pivotButton="0" quotePrefix="0" xfId="0">
      <alignment horizontal="right" vertical="center"/>
    </xf>
    <xf numFmtId="0" fontId="26" fillId="15" borderId="2" applyAlignment="1" pivotButton="0" quotePrefix="0" xfId="0">
      <alignment horizontal="center" vertical="center"/>
    </xf>
    <xf numFmtId="0" fontId="26" fillId="16" borderId="2" applyAlignment="1" pivotButton="0" quotePrefix="0" xfId="0">
      <alignment horizontal="center" vertical="center"/>
    </xf>
    <xf numFmtId="0" fontId="26" fillId="17" borderId="2" applyAlignment="1" pivotButton="0" quotePrefix="0" xfId="0">
      <alignment horizontal="center" vertical="center"/>
    </xf>
    <xf numFmtId="0" fontId="27" fillId="18" borderId="2" applyAlignment="1" pivotButton="0" quotePrefix="0" xfId="0">
      <alignment horizontal="right" vertical="center"/>
    </xf>
    <xf numFmtId="164" fontId="26" fillId="19" borderId="2" applyAlignment="1" pivotButton="0" quotePrefix="0" xfId="0">
      <alignment horizontal="right" vertical="center"/>
    </xf>
    <xf numFmtId="0" fontId="28" fillId="14" borderId="2" applyAlignment="1" pivotButton="0" quotePrefix="0" xfId="0">
      <alignment horizontal="right" vertical="center"/>
    </xf>
    <xf numFmtId="165" fontId="23" fillId="20" borderId="2" applyAlignment="1" pivotButton="0" quotePrefix="0" xfId="0">
      <alignment horizontal="center" vertical="center"/>
    </xf>
    <xf numFmtId="0" fontId="24" fillId="20" borderId="2" applyAlignment="1" pivotButton="0" quotePrefix="0" xfId="0">
      <alignment horizontal="center" vertical="center"/>
    </xf>
    <xf numFmtId="0" fontId="23" fillId="20" borderId="2" applyAlignment="1" pivotButton="0" quotePrefix="0" xfId="0">
      <alignment horizontal="right" vertical="center" wrapText="1"/>
    </xf>
    <xf numFmtId="164" fontId="12" fillId="10" borderId="2" applyAlignment="1" pivotButton="0" quotePrefix="0" xfId="0">
      <alignment horizontal="right" vertical="center"/>
    </xf>
    <xf numFmtId="164" fontId="25" fillId="7" borderId="2" applyAlignment="1" pivotButton="0" quotePrefix="0" xfId="0">
      <alignment horizontal="right" vertical="center"/>
    </xf>
    <xf numFmtId="0" fontId="26" fillId="21" borderId="2" applyAlignment="1" pivotButton="0" quotePrefix="0" xfId="0">
      <alignment horizontal="center" vertical="center"/>
    </xf>
    <xf numFmtId="0" fontId="26" fillId="22" borderId="2" applyAlignment="1" pivotButton="0" quotePrefix="0" xfId="0">
      <alignment horizontal="center" vertical="center"/>
    </xf>
    <xf numFmtId="0" fontId="26" fillId="23" borderId="2" applyAlignment="1" pivotButton="0" quotePrefix="0" xfId="0">
      <alignment horizontal="center" vertical="center"/>
    </xf>
    <xf numFmtId="0" fontId="27" fillId="24" borderId="2" applyAlignment="1" pivotButton="0" quotePrefix="0" xfId="0">
      <alignment horizontal="right" vertical="center"/>
    </xf>
    <xf numFmtId="164" fontId="26" fillId="25" borderId="2" applyAlignment="1" pivotButton="0" quotePrefix="0" xfId="0">
      <alignment horizontal="right" vertical="center"/>
    </xf>
    <xf numFmtId="0" fontId="28" fillId="20" borderId="2" applyAlignment="1" pivotButton="0" quotePrefix="0" xfId="0">
      <alignment horizontal="right" vertical="center"/>
    </xf>
    <xf numFmtId="0" fontId="0" fillId="0" borderId="0" pivotButton="0" quotePrefix="0" xfId="0"/>
    <xf numFmtId="166" fontId="23" fillId="14" borderId="2" applyAlignment="1" pivotButton="0" quotePrefix="0" xfId="0">
      <alignment horizontal="center" vertical="center"/>
    </xf>
    <xf numFmtId="0" fontId="0" fillId="0" borderId="3" pivotButton="0" quotePrefix="0" xfId="0"/>
    <xf numFmtId="164" fontId="5" fillId="2" borderId="2" applyAlignment="1" pivotButton="0" quotePrefix="0" xfId="0">
      <alignment horizontal="right" vertical="center"/>
    </xf>
    <xf numFmtId="0" fontId="2" fillId="26" borderId="1" applyAlignment="1" pivotButton="0" quotePrefix="0" xfId="0">
      <alignment horizontal="center" vertical="center"/>
    </xf>
    <xf numFmtId="0" fontId="29" fillId="27" borderId="2" applyAlignment="1" pivotButton="0" quotePrefix="0" xfId="0">
      <alignment horizontal="center" vertical="center"/>
    </xf>
    <xf numFmtId="0" fontId="29" fillId="28" borderId="2" applyAlignment="1" pivotButton="0" quotePrefix="0" xfId="0">
      <alignment horizontal="center" vertical="center"/>
    </xf>
    <xf numFmtId="0" fontId="29" fillId="29" borderId="2" applyAlignment="1" pivotButton="0" quotePrefix="0" xfId="0">
      <alignment horizontal="center" vertical="center"/>
    </xf>
    <xf numFmtId="0" fontId="29" fillId="25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right" vertical="center"/>
    </xf>
    <xf numFmtId="0" fontId="24" fillId="20" borderId="2" applyAlignment="1" pivotButton="0" quotePrefix="0" xfId="0">
      <alignment horizontal="right" vertical="center"/>
    </xf>
    <xf numFmtId="0" fontId="31" fillId="20" borderId="2" applyAlignment="1" pivotButton="0" quotePrefix="0" xfId="0">
      <alignment horizontal="center" vertical="center"/>
    </xf>
    <xf numFmtId="0" fontId="31" fillId="14" borderId="2" applyAlignment="1" pivotButton="0" quotePrefix="0" xfId="0">
      <alignment horizontal="center" vertical="center"/>
    </xf>
    <xf numFmtId="0" fontId="32" fillId="4" borderId="2" applyAlignment="1" pivotButton="0" quotePrefix="0" xfId="0">
      <alignment horizontal="center" vertical="center"/>
    </xf>
    <xf numFmtId="164" fontId="34" fillId="4" borderId="2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3" fillId="20" borderId="2" applyAlignment="1" pivotButton="0" quotePrefix="0" xfId="0">
      <alignment horizontal="center" vertical="center"/>
    </xf>
    <xf numFmtId="164" fontId="8" fillId="7" borderId="2" applyAlignment="1" pivotButton="0" quotePrefix="0" xfId="0">
      <alignment horizontal="right" vertical="center"/>
    </xf>
    <xf numFmtId="0" fontId="23" fillId="14" borderId="2" applyAlignment="1" pivotButton="0" quotePrefix="0" xfId="0">
      <alignment horizontal="center" vertical="center"/>
    </xf>
    <xf numFmtId="164" fontId="8" fillId="8" borderId="2" applyAlignment="1" pivotButton="0" quotePrefix="0" xfId="0">
      <alignment horizontal="right" vertical="center"/>
    </xf>
    <xf numFmtId="165" fontId="11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right" vertical="center" wrapText="1"/>
    </xf>
    <xf numFmtId="164" fontId="35" fillId="10" borderId="2" applyAlignment="1" pivotButton="0" quotePrefix="0" xfId="0">
      <alignment horizontal="right" vertical="center"/>
    </xf>
    <xf numFmtId="164" fontId="36" fillId="7" borderId="2" applyAlignment="1" pivotButton="0" quotePrefix="0" xfId="0">
      <alignment horizontal="right" vertical="center"/>
    </xf>
    <xf numFmtId="164" fontId="29" fillId="25" borderId="2" applyAlignment="1" pivotButton="0" quotePrefix="0" xfId="0">
      <alignment horizontal="right" vertical="center"/>
    </xf>
    <xf numFmtId="165" fontId="11" fillId="14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right" vertical="center" wrapText="1"/>
    </xf>
    <xf numFmtId="164" fontId="35" fillId="11" borderId="2" applyAlignment="1" pivotButton="0" quotePrefix="0" xfId="0">
      <alignment horizontal="right" vertical="center"/>
    </xf>
    <xf numFmtId="164" fontId="36" fillId="8" borderId="2" applyAlignment="1" pivotButton="0" quotePrefix="0" xfId="0">
      <alignment horizontal="right" vertical="center"/>
    </xf>
    <xf numFmtId="164" fontId="29" fillId="19" borderId="2" applyAlignment="1" pivotButton="0" quotePrefix="0" xfId="0">
      <alignment horizontal="right" vertical="center"/>
    </xf>
    <xf numFmtId="164" fontId="2" fillId="2" borderId="2" applyAlignment="1" pivotButton="0" quotePrefix="0" xfId="0">
      <alignment horizontal="right" vertical="center"/>
    </xf>
    <xf numFmtId="0" fontId="37" fillId="0" borderId="0" pivotButton="0" quotePrefix="0" xfId="0"/>
    <xf numFmtId="0" fontId="38" fillId="0" borderId="0" pivotButton="0" quotePrefix="0" xfId="0"/>
    <xf numFmtId="164" fontId="39" fillId="28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right" vertical="center"/>
    </xf>
    <xf numFmtId="0" fontId="37" fillId="7" borderId="2" pivotButton="0" quotePrefix="0" xfId="0"/>
    <xf numFmtId="0" fontId="8" fillId="8" borderId="2" applyAlignment="1" pivotButton="0" quotePrefix="0" xfId="0">
      <alignment horizontal="right" vertical="center"/>
    </xf>
    <xf numFmtId="0" fontId="37" fillId="8" borderId="2" pivotButton="0" quotePrefix="0" xfId="0"/>
    <xf numFmtId="165" fontId="36" fillId="8" borderId="2" applyAlignment="1" pivotButton="0" quotePrefix="0" xfId="0">
      <alignment horizontal="center" vertical="center"/>
    </xf>
    <xf numFmtId="0" fontId="36" fillId="8" borderId="2" applyAlignment="1" pivotButton="0" quotePrefix="0" xfId="0">
      <alignment horizontal="center" vertical="center"/>
    </xf>
    <xf numFmtId="0" fontId="36" fillId="8" borderId="2" applyAlignment="1" pivotButton="0" quotePrefix="0" xfId="0">
      <alignment horizontal="right" vertical="center"/>
    </xf>
    <xf numFmtId="0" fontId="40" fillId="8" borderId="2" applyAlignment="1" pivotButton="0" quotePrefix="0" xfId="0">
      <alignment horizontal="center" vertical="center"/>
    </xf>
    <xf numFmtId="164" fontId="41" fillId="8" borderId="2" applyAlignment="1" pivotButton="0" quotePrefix="0" xfId="0">
      <alignment horizontal="right" vertical="center"/>
    </xf>
    <xf numFmtId="165" fontId="36" fillId="7" borderId="2" applyAlignment="1" pivotButton="0" quotePrefix="0" xfId="0">
      <alignment horizontal="center" vertical="center"/>
    </xf>
    <xf numFmtId="0" fontId="36" fillId="7" borderId="2" applyAlignment="1" pivotButton="0" quotePrefix="0" xfId="0">
      <alignment horizontal="center" vertical="center"/>
    </xf>
    <xf numFmtId="0" fontId="36" fillId="7" borderId="2" applyAlignment="1" pivotButton="0" quotePrefix="0" xfId="0">
      <alignment horizontal="right" vertical="center"/>
    </xf>
    <xf numFmtId="0" fontId="40" fillId="7" borderId="2" applyAlignment="1" pivotButton="0" quotePrefix="0" xfId="0">
      <alignment horizontal="center" vertical="center"/>
    </xf>
    <xf numFmtId="164" fontId="41" fillId="7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0" fontId="12" fillId="10" borderId="2" applyAlignment="1" pivotButton="0" quotePrefix="0" xfId="0">
      <alignment horizontal="right" vertical="center"/>
    </xf>
    <xf numFmtId="0" fontId="37" fillId="10" borderId="2" pivotButton="0" quotePrefix="0" xfId="0"/>
    <xf numFmtId="0" fontId="12" fillId="11" borderId="2" applyAlignment="1" pivotButton="0" quotePrefix="0" xfId="0">
      <alignment horizontal="right" vertical="center"/>
    </xf>
    <xf numFmtId="0" fontId="37" fillId="11" borderId="2" pivotButton="0" quotePrefix="0" xfId="0"/>
    <xf numFmtId="165" fontId="35" fillId="10" borderId="2" applyAlignment="1" pivotButton="0" quotePrefix="0" xfId="0">
      <alignment horizontal="center" vertical="center"/>
    </xf>
    <xf numFmtId="0" fontId="35" fillId="10" borderId="2" applyAlignment="1" pivotButton="0" quotePrefix="0" xfId="0">
      <alignment horizontal="center" vertical="center"/>
    </xf>
    <xf numFmtId="0" fontId="35" fillId="10" borderId="2" applyAlignment="1" pivotButton="0" quotePrefix="0" xfId="0">
      <alignment horizontal="right" vertical="center"/>
    </xf>
    <xf numFmtId="164" fontId="42" fillId="10" borderId="2" applyAlignment="1" pivotButton="0" quotePrefix="0" xfId="0">
      <alignment horizontal="right" vertical="center"/>
    </xf>
    <xf numFmtId="0" fontId="40" fillId="10" borderId="2" applyAlignment="1" pivotButton="0" quotePrefix="0" xfId="0">
      <alignment horizontal="center" vertical="center"/>
    </xf>
    <xf numFmtId="165" fontId="35" fillId="11" borderId="2" applyAlignment="1" pivotButton="0" quotePrefix="0" xfId="0">
      <alignment horizontal="center" vertical="center"/>
    </xf>
    <xf numFmtId="0" fontId="35" fillId="11" borderId="2" applyAlignment="1" pivotButton="0" quotePrefix="0" xfId="0">
      <alignment horizontal="center" vertical="center"/>
    </xf>
    <xf numFmtId="0" fontId="35" fillId="11" borderId="2" applyAlignment="1" pivotButton="0" quotePrefix="0" xfId="0">
      <alignment horizontal="right" vertical="center"/>
    </xf>
    <xf numFmtId="164" fontId="42" fillId="11" borderId="2" applyAlignment="1" pivotButton="0" quotePrefix="0" xfId="0">
      <alignment horizontal="right" vertical="center"/>
    </xf>
    <xf numFmtId="0" fontId="40" fillId="11" borderId="2" applyAlignment="1" pivotButton="0" quotePrefix="0" xfId="0">
      <alignment horizontal="center" vertical="center"/>
    </xf>
    <xf numFmtId="164" fontId="2" fillId="9" borderId="2" applyAlignment="1" pivotButton="0" quotePrefix="0" xfId="0">
      <alignment horizontal="right" vertical="center"/>
    </xf>
    <xf numFmtId="165" fontId="23" fillId="20" borderId="2" applyAlignment="1" pivotButton="0" quotePrefix="0" xfId="0">
      <alignment horizontal="center" vertical="center"/>
    </xf>
    <xf numFmtId="165" fontId="23" fillId="20" borderId="2" applyAlignment="1" pivotButton="0" quotePrefix="0" xfId="0">
      <alignment horizontal="center" vertical="center"/>
    </xf>
    <xf numFmtId="165" fontId="23" fillId="20" borderId="2" applyAlignment="1" pivotButton="0" quotePrefix="0" xfId="0">
      <alignment horizontal="center" vertical="center"/>
    </xf>
    <xf numFmtId="165" fontId="23" fillId="20" borderId="2" applyAlignment="1" pivotButton="0" quotePrefix="0" xfId="0">
      <alignment horizontal="center" vertical="center"/>
    </xf>
    <xf numFmtId="165" fontId="23" fillId="20" borderId="2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5" fontId="23" fillId="20" borderId="2" applyAlignment="1" pivotButton="0" quotePrefix="0" xfId="0">
      <alignment horizontal="center" vertical="center"/>
    </xf>
    <xf numFmtId="0" fontId="26" fillId="21" borderId="2" applyAlignment="1" pivotButton="0" quotePrefix="0" xfId="0">
      <alignment horizontal="center" vertical="center"/>
    </xf>
    <xf numFmtId="0" fontId="30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33" fillId="30" borderId="0" applyAlignment="1" pivotButton="0" quotePrefix="0" xfId="0">
      <alignment horizontal="right" vertical="center"/>
    </xf>
    <xf numFmtId="0" fontId="33" fillId="31" borderId="1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0" fontId="24" fillId="32" borderId="2" applyAlignment="1" pivotButton="0" quotePrefix="0" xfId="0">
      <alignment horizontal="center" vertical="center"/>
    </xf>
    <xf numFmtId="0" fontId="23" fillId="32" borderId="2" applyAlignment="1" pivotButton="0" quotePrefix="0" xfId="0">
      <alignment horizontal="right" vertical="center" wrapText="1"/>
    </xf>
    <xf numFmtId="164" fontId="12" fillId="33" borderId="2" applyAlignment="1" pivotButton="0" quotePrefix="0" xfId="0">
      <alignment horizontal="right" vertical="center"/>
    </xf>
    <xf numFmtId="164" fontId="25" fillId="34" borderId="2" applyAlignment="1" pivotButton="0" quotePrefix="0" xfId="0">
      <alignment horizontal="right" vertical="center"/>
    </xf>
    <xf numFmtId="0" fontId="26" fillId="35" borderId="2" applyAlignment="1" pivotButton="0" quotePrefix="0" xfId="0">
      <alignment horizontal="center" vertical="center"/>
    </xf>
    <xf numFmtId="0" fontId="26" fillId="36" borderId="2" applyAlignment="1" pivotButton="0" quotePrefix="0" xfId="0">
      <alignment horizontal="center" vertical="center"/>
    </xf>
    <xf numFmtId="0" fontId="26" fillId="37" borderId="2" applyAlignment="1" pivotButton="0" quotePrefix="0" xfId="0">
      <alignment horizontal="center" vertical="center"/>
    </xf>
    <xf numFmtId="0" fontId="27" fillId="38" borderId="2" applyAlignment="1" pivotButton="0" quotePrefix="0" xfId="0">
      <alignment horizontal="right" vertical="center"/>
    </xf>
    <xf numFmtId="164" fontId="26" fillId="38" borderId="2" applyAlignment="1" pivotButton="0" quotePrefix="0" xfId="0">
      <alignment horizontal="right" vertical="center"/>
    </xf>
    <xf numFmtId="0" fontId="28" fillId="32" borderId="2" applyAlignment="1" pivotButton="0" quotePrefix="0" xfId="0">
      <alignment horizontal="right" vertical="center"/>
    </xf>
    <xf numFmtId="0" fontId="43" fillId="39" borderId="7" applyAlignment="1" pivotButton="0" quotePrefix="0" xfId="0">
      <alignment horizontal="center" vertical="center" readingOrder="2"/>
    </xf>
    <xf numFmtId="0" fontId="44" fillId="40" borderId="7" applyAlignment="1" pivotButton="0" quotePrefix="0" xfId="0">
      <alignment horizontal="center" vertical="center" readingOrder="2"/>
    </xf>
    <xf numFmtId="167" fontId="45" fillId="41" borderId="7" applyAlignment="1" pivotButton="0" quotePrefix="0" xfId="0">
      <alignment horizontal="center" vertical="center" readingOrder="2"/>
    </xf>
    <xf numFmtId="0" fontId="46" fillId="42" borderId="7" applyAlignment="1" pivotButton="0" quotePrefix="0" xfId="0">
      <alignment horizontal="center" vertical="center" readingOrder="2"/>
    </xf>
    <xf numFmtId="0" fontId="44" fillId="43" borderId="7" applyAlignment="1" pivotButton="0" quotePrefix="0" xfId="0">
      <alignment horizontal="center" vertical="center" readingOrder="2"/>
    </xf>
    <xf numFmtId="0" fontId="47" fillId="44" borderId="7" applyAlignment="1" pivotButton="0" quotePrefix="0" xfId="0">
      <alignment horizontal="center" vertical="center" readingOrder="2"/>
    </xf>
    <xf numFmtId="0" fontId="48" fillId="45" borderId="7" applyAlignment="1" pivotButton="0" quotePrefix="0" xfId="0">
      <alignment horizontal="right" vertical="center" readingOrder="2"/>
    </xf>
    <xf numFmtId="0" fontId="48" fillId="45" borderId="7" applyAlignment="1" pivotButton="0" quotePrefix="0" xfId="0">
      <alignment horizontal="center" vertical="center" readingOrder="2"/>
    </xf>
    <xf numFmtId="164" fontId="49" fillId="45" borderId="7" applyAlignment="1" pivotButton="0" quotePrefix="0" xfId="0">
      <alignment horizontal="center" vertical="center" readingOrder="2"/>
    </xf>
    <xf numFmtId="164" fontId="50" fillId="45" borderId="7" applyAlignment="1" pivotButton="0" quotePrefix="0" xfId="0">
      <alignment horizontal="center" vertical="center" readingOrder="2"/>
    </xf>
    <xf numFmtId="164" fontId="51" fillId="45" borderId="7" applyAlignment="1" pivotButton="0" quotePrefix="0" xfId="0">
      <alignment horizontal="center" vertical="center" readingOrder="2"/>
    </xf>
    <xf numFmtId="0" fontId="48" fillId="46" borderId="7" applyAlignment="1" pivotButton="0" quotePrefix="0" xfId="0">
      <alignment horizontal="right" vertical="center" readingOrder="2"/>
    </xf>
    <xf numFmtId="0" fontId="48" fillId="46" borderId="7" applyAlignment="1" pivotButton="0" quotePrefix="0" xfId="0">
      <alignment horizontal="center" vertical="center" readingOrder="2"/>
    </xf>
    <xf numFmtId="164" fontId="48" fillId="46" borderId="7" applyAlignment="1" pivotButton="0" quotePrefix="0" xfId="0">
      <alignment horizontal="center" vertical="center" readingOrder="2"/>
    </xf>
    <xf numFmtId="164" fontId="50" fillId="46" borderId="7" applyAlignment="1" pivotButton="0" quotePrefix="0" xfId="0">
      <alignment horizontal="center" vertical="center" readingOrder="2"/>
    </xf>
    <xf numFmtId="164" fontId="51" fillId="46" borderId="7" applyAlignment="1" pivotButton="0" quotePrefix="0" xfId="0">
      <alignment horizontal="center" vertical="center" readingOrder="2"/>
    </xf>
    <xf numFmtId="0" fontId="48" fillId="47" borderId="7" applyAlignment="1" pivotButton="0" quotePrefix="0" xfId="0">
      <alignment horizontal="right" vertical="center" readingOrder="2"/>
    </xf>
    <xf numFmtId="0" fontId="47" fillId="47" borderId="7" applyAlignment="1" pivotButton="0" quotePrefix="0" xfId="0">
      <alignment horizontal="center" vertical="center" readingOrder="2"/>
    </xf>
    <xf numFmtId="164" fontId="52" fillId="47" borderId="7" applyAlignment="1" pivotButton="0" quotePrefix="0" xfId="0">
      <alignment horizontal="center" vertical="center" readingOrder="2"/>
    </xf>
    <xf numFmtId="164" fontId="53" fillId="47" borderId="7" applyAlignment="1" pivotButton="0" quotePrefix="0" xfId="0">
      <alignment horizontal="center" vertical="center" readingOrder="2"/>
    </xf>
    <xf numFmtId="164" fontId="47" fillId="48" borderId="7" applyAlignment="1" pivotButton="0" quotePrefix="0" xfId="0">
      <alignment horizontal="center" vertical="center" readingOrder="2"/>
    </xf>
    <xf numFmtId="0" fontId="44" fillId="49" borderId="7" applyAlignment="1" pivotButton="0" quotePrefix="0" xfId="0">
      <alignment horizontal="center" vertical="center" readingOrder="2"/>
    </xf>
    <xf numFmtId="0" fontId="47" fillId="50" borderId="7" applyAlignment="1" pivotButton="0" quotePrefix="0" xfId="0">
      <alignment horizontal="center" vertical="center" readingOrder="2"/>
    </xf>
    <xf numFmtId="0" fontId="48" fillId="51" borderId="7" applyAlignment="1" pivotButton="0" quotePrefix="0" xfId="0">
      <alignment horizontal="right" vertical="center" readingOrder="2"/>
    </xf>
    <xf numFmtId="0" fontId="48" fillId="51" borderId="7" applyAlignment="1" pivotButton="0" quotePrefix="0" xfId="0">
      <alignment horizontal="center" vertical="center" readingOrder="2"/>
    </xf>
    <xf numFmtId="164" fontId="54" fillId="51" borderId="7" applyAlignment="1" pivotButton="0" quotePrefix="0" xfId="0">
      <alignment horizontal="center" vertical="center" readingOrder="2"/>
    </xf>
    <xf numFmtId="0" fontId="55" fillId="51" borderId="7" applyAlignment="1" pivotButton="0" quotePrefix="0" xfId="0">
      <alignment horizontal="center" vertical="center" readingOrder="2"/>
    </xf>
    <xf numFmtId="0" fontId="56" fillId="49" borderId="7" applyAlignment="1" pivotButton="0" quotePrefix="0" xfId="0">
      <alignment horizontal="right" vertical="center" readingOrder="2"/>
    </xf>
    <xf numFmtId="0" fontId="47" fillId="49" borderId="7" applyAlignment="1" pivotButton="0" quotePrefix="0" xfId="0">
      <alignment horizontal="center" vertical="center" readingOrder="2"/>
    </xf>
    <xf numFmtId="164" fontId="47" fillId="49" borderId="7" applyAlignment="1" pivotButton="0" quotePrefix="0" xfId="0">
      <alignment horizontal="center" vertical="center" readingOrder="2"/>
    </xf>
    <xf numFmtId="0" fontId="56" fillId="52" borderId="7" applyAlignment="1" pivotButton="0" quotePrefix="0" xfId="0">
      <alignment horizontal="right" vertical="center" readingOrder="2"/>
    </xf>
    <xf numFmtId="0" fontId="57" fillId="52" borderId="7" applyAlignment="1" pivotButton="0" quotePrefix="0" xfId="0">
      <alignment horizontal="right" vertical="center" readingOrder="2"/>
    </xf>
    <xf numFmtId="164" fontId="57" fillId="52" borderId="7" applyAlignment="1" pivotButton="0" quotePrefix="0" xfId="0">
      <alignment horizontal="center" vertical="center" readingOrder="2"/>
    </xf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dxfs count="6">
    <dxf>
      <font>
        <b val="1"/>
        <color rgb="FF375623"/>
      </font>
    </dxf>
    <dxf>
      <font>
        <b val="1"/>
        <color rgb="FFC00000"/>
      </font>
    </dxf>
    <dxf>
      <font>
        <name val="Arial"/>
        <charset val="1"/>
        <b val="1"/>
        <color rgb="FF4B0082"/>
      </font>
      <fill>
        <patternFill>
          <bgColor rgb="FFD9B3FF"/>
        </patternFill>
      </fill>
    </dxf>
    <dxf>
      <font>
        <name val="Arial"/>
        <charset val="1"/>
        <b val="1"/>
        <color rgb="FFFFFFFF"/>
      </font>
      <fill>
        <patternFill>
          <bgColor rgb="FFFF6B35"/>
        </patternFill>
      </fill>
    </dxf>
    <dxf>
      <font>
        <b val="1"/>
        <color rgb="FF375623"/>
      </font>
    </dxf>
    <dxf>
      <font>
        <b val="1"/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F5F5F5"/>
      <rgbColor rgb="FF0000FF"/>
      <rgbColor rgb="FFFFF8DC"/>
      <rgbColor rgb="FFFF00FF"/>
      <rgbColor rgb="FFEBF3FB"/>
      <rgbColor rgb="FF8B0000"/>
      <rgbColor rgb="FF1E5C1E"/>
      <rgbColor rgb="FF000080"/>
      <rgbColor rgb="FFF5EEFF"/>
      <rgbColor rgb="FF800080"/>
      <rgbColor rgb="FF008080"/>
      <rgbColor rgb="FFBBBBBB"/>
      <rgbColor rgb="FF808080"/>
      <rgbColor rgb="FFBDD7EE"/>
      <rgbColor rgb="FF7030A0"/>
      <rgbColor rgb="FFFFFACD"/>
      <rgbColor rgb="FFE0FFE0"/>
      <rgbColor rgb="FF4B0082"/>
      <rgbColor rgb="FFFFE5E5"/>
      <rgbColor rgb="FF1F4E79"/>
      <rgbColor rgb="FFC2D8EE"/>
      <rgbColor rgb="FF000080"/>
      <rgbColor rgb="FFFF00FF"/>
      <rgbColor rgb="FFE5FFE5"/>
      <rgbColor rgb="FFF0FFF0"/>
      <rgbColor rgb="FF800080"/>
      <rgbColor rgb="FF800000"/>
      <rgbColor rgb="FF008080"/>
      <rgbColor rgb="FF0000FF"/>
      <rgbColor rgb="FFF0F4F8"/>
      <rgbColor rgb="FFD0FFD0"/>
      <rgbColor rgb="FFCCFFCC"/>
      <rgbColor rgb="FFFFF2CC"/>
      <rgbColor rgb="FFA9D1F5"/>
      <rgbColor rgb="FFFFD0D0"/>
      <rgbColor rgb="FFD9B3FF"/>
      <rgbColor rgb="FFFFCCCC"/>
      <rgbColor rgb="FF2E75B6"/>
      <rgbColor rgb="FFE8E8FF"/>
      <rgbColor rgb="FFD6E4F0"/>
      <rgbColor rgb="FFFFE5CC"/>
      <rgbColor rgb="FFEDE0FF"/>
      <rgbColor rgb="FFFF6B35"/>
      <rgbColor rgb="FF606060"/>
      <rgbColor rgb="FFAAAAAA"/>
      <rgbColor rgb="FF002060"/>
      <rgbColor rgb="FFF0F0FF"/>
      <rgbColor rgb="FF003300"/>
      <rgbColor rgb="FF375623"/>
      <rgbColor rgb="FF843C0C"/>
      <rgbColor rgb="FF993366"/>
      <rgbColor rgb="FF1A3C5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rightToLeft="1" workbookViewId="0">
      <selection activeCell="A1" sqref="A1"/>
    </sheetView>
  </sheetViews>
  <sheetFormatPr baseColWidth="8" defaultRowHeight="15"/>
  <cols>
    <col width="13" customWidth="1" style="67" min="1" max="1"/>
    <col width="12" customWidth="1" style="67" min="2" max="2"/>
    <col width="40" customWidth="1" style="67" min="3" max="3"/>
    <col width="12" customWidth="1" style="67" min="4" max="4"/>
    <col width="12" customWidth="1" style="67" min="5" max="5"/>
    <col width="14" customWidth="1" style="67" min="6" max="6"/>
  </cols>
  <sheetData>
    <row r="1" ht="38" customHeight="1" s="67">
      <c r="A1" s="171" t="inlineStr">
        <is>
          <t>💰  محفظة مزرعة هادي إسحاق</t>
        </is>
      </c>
      <c r="B1" s="205" t="n"/>
      <c r="C1" s="205" t="n"/>
      <c r="D1" s="205" t="n"/>
      <c r="E1" s="205" t="n"/>
      <c r="F1" s="206" t="n"/>
    </row>
    <row r="2" ht="30" customHeight="1" s="67">
      <c r="A2" s="172" t="inlineStr">
        <is>
          <t>رصيد المحفظة الحالي</t>
        </is>
      </c>
      <c r="B2" s="205" t="n"/>
      <c r="C2" s="205" t="n"/>
      <c r="D2" s="205" t="n"/>
      <c r="E2" s="206" t="n"/>
      <c r="F2" s="173">
        <f>'كشف الحساب'!J100</f>
        <v/>
      </c>
    </row>
    <row r="3" ht="6" customHeight="1" s="67">
      <c r="A3" s="174" t="inlineStr"/>
      <c r="B3" s="205" t="n"/>
      <c r="C3" s="205" t="n"/>
      <c r="D3" s="205" t="n"/>
      <c r="E3" s="205" t="n"/>
      <c r="F3" s="206" t="n"/>
    </row>
    <row r="4" ht="28" customHeight="1" s="67">
      <c r="A4" s="175" t="inlineStr">
        <is>
          <t>📋  جدول حركات المحفظة  (دخل وصرف)</t>
        </is>
      </c>
      <c r="B4" s="205" t="n"/>
      <c r="C4" s="205" t="n"/>
      <c r="D4" s="205" t="n"/>
      <c r="E4" s="205" t="n"/>
      <c r="F4" s="206" t="n"/>
    </row>
    <row r="5" ht="24" customHeight="1" s="67">
      <c r="A5" s="176" t="inlineStr">
        <is>
          <t>التاريخ</t>
        </is>
      </c>
      <c r="B5" s="176" t="inlineStr">
        <is>
          <t>المرجع</t>
        </is>
      </c>
      <c r="C5" s="176" t="inlineStr">
        <is>
          <t>البيان / الوصف</t>
        </is>
      </c>
      <c r="D5" s="176" t="inlineStr">
        <is>
          <t>دخل (KD)</t>
        </is>
      </c>
      <c r="E5" s="176" t="inlineStr">
        <is>
          <t>صرف (KD)</t>
        </is>
      </c>
      <c r="F5" s="176" t="inlineStr">
        <is>
          <t>رصيد (KD)</t>
        </is>
      </c>
    </row>
    <row r="6" ht="18" customHeight="1" s="67">
      <c r="A6" s="177" t="inlineStr">
        <is>
          <t>2026-04-09</t>
        </is>
      </c>
      <c r="B6" s="178" t="inlineStr">
        <is>
          <t>Inv-001</t>
        </is>
      </c>
      <c r="C6" s="177" t="inlineStr">
        <is>
          <t>بيع عدد١ اناناس</t>
        </is>
      </c>
      <c r="D6" s="179" t="n">
        <v>5</v>
      </c>
      <c r="E6" s="180" t="n"/>
      <c r="F6" s="181" t="n">
        <v>5</v>
      </c>
    </row>
    <row r="7" ht="18" customHeight="1" s="67">
      <c r="A7" s="182" t="inlineStr">
        <is>
          <t>2026-04-22</t>
        </is>
      </c>
      <c r="B7" s="183" t="inlineStr">
        <is>
          <t>8127</t>
        </is>
      </c>
      <c r="C7" s="182" t="inlineStr">
        <is>
          <t>تاير لعربة الرش</t>
        </is>
      </c>
      <c r="D7" s="184" t="n"/>
      <c r="E7" s="185" t="n">
        <v>3</v>
      </c>
      <c r="F7" s="186" t="n">
        <v>2</v>
      </c>
    </row>
    <row r="8" ht="18" customHeight="1" s="67">
      <c r="A8" s="177" t="inlineStr">
        <is>
          <t>2026-04-30</t>
        </is>
      </c>
      <c r="B8" s="178" t="inlineStr"/>
      <c r="C8" s="177" t="inlineStr">
        <is>
          <t>مدخول شهر ابريل</t>
        </is>
      </c>
      <c r="D8" s="179" t="n">
        <v>40.5</v>
      </c>
      <c r="E8" s="180" t="n"/>
      <c r="F8" s="181" t="n">
        <v>42.5</v>
      </c>
    </row>
    <row r="9" ht="18" customHeight="1" s="67">
      <c r="A9" s="177" t="inlineStr">
        <is>
          <t>2026-05-09</t>
        </is>
      </c>
      <c r="B9" s="178" t="inlineStr">
        <is>
          <t>Inv-013</t>
        </is>
      </c>
      <c r="C9" s="177" t="inlineStr">
        <is>
          <t>فل عدد 21 سعر الحبه .0.750</t>
        </is>
      </c>
      <c r="D9" s="179" t="n">
        <v>15.75</v>
      </c>
      <c r="E9" s="180" t="n"/>
      <c r="F9" s="181" t="n">
        <v>58.25</v>
      </c>
    </row>
    <row r="10" ht="18" customHeight="1" s="67">
      <c r="A10" s="177" t="inlineStr">
        <is>
          <t>2026-05-09</t>
        </is>
      </c>
      <c r="B10" s="178" t="inlineStr">
        <is>
          <t>Inv-013A</t>
        </is>
      </c>
      <c r="C10" s="177" t="inlineStr">
        <is>
          <t>برازيليا عدد 25 سعر الحبه .500</t>
        </is>
      </c>
      <c r="D10" s="179" t="n">
        <v>12.5</v>
      </c>
      <c r="E10" s="180" t="n"/>
      <c r="F10" s="181" t="n">
        <v>70.75</v>
      </c>
    </row>
    <row r="11" ht="18" customHeight="1" s="67">
      <c r="A11" s="177" t="inlineStr">
        <is>
          <t>2026-05-10</t>
        </is>
      </c>
      <c r="B11" s="178" t="inlineStr">
        <is>
          <t>Inv-016</t>
        </is>
      </c>
      <c r="C11" s="177" t="inlineStr">
        <is>
          <t>ودليه عدد 3 الحبه 0.750</t>
        </is>
      </c>
      <c r="D11" s="179" t="n">
        <v>2.25</v>
      </c>
      <c r="E11" s="180" t="n"/>
      <c r="F11" s="181" t="n">
        <v>73</v>
      </c>
    </row>
    <row r="12" ht="18" customHeight="1" s="67">
      <c r="A12" s="177" t="inlineStr">
        <is>
          <t>2026-05-13</t>
        </is>
      </c>
      <c r="B12" s="178" t="inlineStr">
        <is>
          <t>Inv-017</t>
        </is>
      </c>
      <c r="C12" s="177" t="inlineStr">
        <is>
          <t>فل عدد 10 الحبه 0.750</t>
        </is>
      </c>
      <c r="D12" s="179" t="n">
        <v>7.5</v>
      </c>
      <c r="E12" s="180" t="n"/>
      <c r="F12" s="181" t="n">
        <v>80.5</v>
      </c>
    </row>
    <row r="13" ht="18" customHeight="1" s="67">
      <c r="A13" s="177" t="inlineStr">
        <is>
          <t>2026-05-14</t>
        </is>
      </c>
      <c r="B13" s="178" t="inlineStr">
        <is>
          <t>Inv-18A</t>
        </is>
      </c>
      <c r="C13" s="177" t="inlineStr">
        <is>
          <t>ربل 4 حبات الحبه 1.500</t>
        </is>
      </c>
      <c r="D13" s="179" t="n">
        <v>6</v>
      </c>
      <c r="E13" s="180" t="n"/>
      <c r="F13" s="181" t="n">
        <v>86.5</v>
      </c>
    </row>
    <row r="14" ht="18" customHeight="1" s="67">
      <c r="A14" s="177" t="inlineStr">
        <is>
          <t>2026-05-14</t>
        </is>
      </c>
      <c r="B14" s="178" t="inlineStr">
        <is>
          <t>Inv-18</t>
        </is>
      </c>
      <c r="C14" s="177" t="inlineStr">
        <is>
          <t>ودليه 8 حبات الحبه 1</t>
        </is>
      </c>
      <c r="D14" s="179" t="n">
        <v>8</v>
      </c>
      <c r="E14" s="180" t="n"/>
      <c r="F14" s="181" t="n">
        <v>94.5</v>
      </c>
    </row>
    <row r="15" ht="18" customHeight="1" s="67">
      <c r="A15" s="177" t="inlineStr">
        <is>
          <t>2026-05-16</t>
        </is>
      </c>
      <c r="B15" s="178" t="inlineStr">
        <is>
          <t>Inv-19</t>
        </is>
      </c>
      <c r="C15" s="177" t="inlineStr">
        <is>
          <t>فل عدد 2 الحبه 0.750</t>
        </is>
      </c>
      <c r="D15" s="179" t="n">
        <v>1.5</v>
      </c>
      <c r="E15" s="180" t="n"/>
      <c r="F15" s="181" t="n">
        <v>96</v>
      </c>
    </row>
    <row r="16" ht="18" customHeight="1" s="67">
      <c r="A16" s="177" t="inlineStr">
        <is>
          <t>2026-05-16</t>
        </is>
      </c>
      <c r="B16" s="178" t="inlineStr">
        <is>
          <t>Inv-20</t>
        </is>
      </c>
      <c r="C16" s="177" t="inlineStr">
        <is>
          <t>صبار اوليفيرا عدد 3 الحبه 0.750</t>
        </is>
      </c>
      <c r="D16" s="179" t="n">
        <v>2.25</v>
      </c>
      <c r="E16" s="180" t="n"/>
      <c r="F16" s="181" t="n">
        <v>98.25</v>
      </c>
    </row>
    <row r="17" ht="18" customHeight="1" s="67">
      <c r="A17" s="177" t="inlineStr">
        <is>
          <t>2026-05-16</t>
        </is>
      </c>
      <c r="B17" s="178" t="inlineStr">
        <is>
          <t>Inv-21</t>
        </is>
      </c>
      <c r="C17" s="177" t="inlineStr">
        <is>
          <t>دارسينا عدد 1 الحبه 2.500</t>
        </is>
      </c>
      <c r="D17" s="179" t="n">
        <v>2.5</v>
      </c>
      <c r="E17" s="180" t="n"/>
      <c r="F17" s="181" t="n">
        <v>100.75</v>
      </c>
    </row>
    <row r="18" ht="18" customHeight="1" s="67">
      <c r="A18" s="177" t="inlineStr">
        <is>
          <t>2026-05-17</t>
        </is>
      </c>
      <c r="B18" s="178" t="inlineStr">
        <is>
          <t>Inv-22</t>
        </is>
      </c>
      <c r="C18" s="177" t="inlineStr">
        <is>
          <t>فل عدد 30 الحبه 0.750</t>
        </is>
      </c>
      <c r="D18" s="179" t="n">
        <v>22.5</v>
      </c>
      <c r="E18" s="180" t="n"/>
      <c r="F18" s="181" t="n">
        <v>123.25</v>
      </c>
    </row>
    <row r="19" ht="18" customHeight="1" s="67">
      <c r="A19" s="177" t="inlineStr">
        <is>
          <t>2026-05-17</t>
        </is>
      </c>
      <c r="B19" s="178" t="inlineStr">
        <is>
          <t>Inv-23</t>
        </is>
      </c>
      <c r="C19" s="177" t="inlineStr">
        <is>
          <t>برازيليا عدد 16 الحبه 0.500</t>
        </is>
      </c>
      <c r="D19" s="179" t="n">
        <v>8</v>
      </c>
      <c r="E19" s="180" t="n"/>
      <c r="F19" s="181" t="n">
        <v>131.25</v>
      </c>
    </row>
    <row r="20" ht="18" customHeight="1" s="67">
      <c r="A20" s="177" t="inlineStr">
        <is>
          <t>2026-05-18</t>
        </is>
      </c>
      <c r="B20" s="178" t="inlineStr">
        <is>
          <t>Inv-24</t>
        </is>
      </c>
      <c r="C20" s="177" t="inlineStr">
        <is>
          <t>فل عدد10 الحبه 0.750</t>
        </is>
      </c>
      <c r="D20" s="179" t="n">
        <v>7.5</v>
      </c>
      <c r="E20" s="180" t="n"/>
      <c r="F20" s="181" t="n">
        <v>138.75</v>
      </c>
    </row>
    <row r="21" ht="18" customHeight="1" s="67">
      <c r="A21" s="177" t="inlineStr">
        <is>
          <t>2026-05-18</t>
        </is>
      </c>
      <c r="B21" s="178" t="inlineStr">
        <is>
          <t>Inv-25</t>
        </is>
      </c>
      <c r="C21" s="177" t="inlineStr">
        <is>
          <t>دارسيناحمراء عدد 1</t>
        </is>
      </c>
      <c r="D21" s="179" t="n">
        <v>5</v>
      </c>
      <c r="E21" s="180" t="n"/>
      <c r="F21" s="181" t="n">
        <v>143.75</v>
      </c>
    </row>
    <row r="22" ht="18" customHeight="1" s="67">
      <c r="A22" s="177" t="inlineStr">
        <is>
          <t>2026-05-18</t>
        </is>
      </c>
      <c r="B22" s="178" t="inlineStr">
        <is>
          <t>Inv-26</t>
        </is>
      </c>
      <c r="C22" s="177" t="inlineStr">
        <is>
          <t>دارسينا خضراء عدد 2 الحبه 1.500</t>
        </is>
      </c>
      <c r="D22" s="179" t="n">
        <v>3</v>
      </c>
      <c r="E22" s="180" t="n"/>
      <c r="F22" s="181" t="n">
        <v>146.75</v>
      </c>
    </row>
    <row r="23" ht="18" customHeight="1" s="67">
      <c r="A23" s="177" t="inlineStr">
        <is>
          <t>2026-05-18</t>
        </is>
      </c>
      <c r="B23" s="178" t="inlineStr">
        <is>
          <t>Inv-27</t>
        </is>
      </c>
      <c r="C23" s="177" t="inlineStr">
        <is>
          <t>ربل عدد 2 الحبه 1.500</t>
        </is>
      </c>
      <c r="D23" s="179" t="n">
        <v>3</v>
      </c>
      <c r="E23" s="180" t="n"/>
      <c r="F23" s="181" t="n">
        <v>149.75</v>
      </c>
    </row>
    <row r="24" ht="18" customHeight="1" s="67">
      <c r="A24" s="177" t="inlineStr">
        <is>
          <t>2026-05-18</t>
        </is>
      </c>
      <c r="B24" s="178" t="inlineStr">
        <is>
          <t>Inv-28</t>
        </is>
      </c>
      <c r="C24" s="177" t="inlineStr">
        <is>
          <t>دارسينا حمراء عدد2 الحبه 2.500</t>
        </is>
      </c>
      <c r="D24" s="179" t="n">
        <v>5</v>
      </c>
      <c r="E24" s="180" t="n"/>
      <c r="F24" s="181" t="n">
        <v>154.75</v>
      </c>
    </row>
    <row r="25" ht="18" customHeight="1" s="67">
      <c r="A25" s="177" t="inlineStr">
        <is>
          <t>2026-05-18</t>
        </is>
      </c>
      <c r="B25" s="178" t="inlineStr">
        <is>
          <t>Inv-29</t>
        </is>
      </c>
      <c r="C25" s="177" t="inlineStr">
        <is>
          <t>برازيليا عدد 10 الحبه 0.500</t>
        </is>
      </c>
      <c r="D25" s="179" t="n">
        <v>5</v>
      </c>
      <c r="E25" s="180" t="n"/>
      <c r="F25" s="181" t="n">
        <v>159.75</v>
      </c>
    </row>
    <row r="26" ht="18" customHeight="1" s="67">
      <c r="A26" s="182" t="inlineStr">
        <is>
          <t>2026-05-18</t>
        </is>
      </c>
      <c r="B26" s="183" t="inlineStr">
        <is>
          <t>85164</t>
        </is>
      </c>
      <c r="C26" s="182" t="inlineStr">
        <is>
          <t>مبيد اسيتبلان عدد 1</t>
        </is>
      </c>
      <c r="D26" s="184" t="n"/>
      <c r="E26" s="185" t="n">
        <v>9</v>
      </c>
      <c r="F26" s="186" t="n">
        <v>150.75</v>
      </c>
    </row>
    <row r="27" ht="18" customHeight="1" s="67">
      <c r="A27" s="177" t="inlineStr">
        <is>
          <t>2026-05-19</t>
        </is>
      </c>
      <c r="B27" s="178" t="inlineStr">
        <is>
          <t>Inv-30</t>
        </is>
      </c>
      <c r="C27" s="177" t="inlineStr">
        <is>
          <t>فل عدد 30 الحبه 0.750</t>
        </is>
      </c>
      <c r="D27" s="179" t="n">
        <v>22.5</v>
      </c>
      <c r="E27" s="180" t="n"/>
      <c r="F27" s="181" t="n">
        <v>173.25</v>
      </c>
    </row>
    <row r="28" ht="18" customHeight="1" s="67">
      <c r="A28" s="177" t="inlineStr">
        <is>
          <t>2026-05-20</t>
        </is>
      </c>
      <c r="B28" s="178" t="inlineStr">
        <is>
          <t>Inv-31</t>
        </is>
      </c>
      <c r="C28" s="177" t="inlineStr">
        <is>
          <t>فل عدد30 الحبه 0.750</t>
        </is>
      </c>
      <c r="D28" s="179" t="n">
        <v>22.5</v>
      </c>
      <c r="E28" s="180" t="n"/>
      <c r="F28" s="181" t="n">
        <v>195.75</v>
      </c>
    </row>
    <row r="29" ht="18" customHeight="1" s="67">
      <c r="A29" s="177" t="inlineStr">
        <is>
          <t>2026-05-20</t>
        </is>
      </c>
      <c r="B29" s="178" t="inlineStr">
        <is>
          <t>Inv-32</t>
        </is>
      </c>
      <c r="C29" s="177" t="inlineStr">
        <is>
          <t>برازيليا عدد 50 الحبه0.500</t>
        </is>
      </c>
      <c r="D29" s="179" t="n">
        <v>25</v>
      </c>
      <c r="E29" s="180" t="n"/>
      <c r="F29" s="181" t="n">
        <v>220.75</v>
      </c>
    </row>
    <row r="30" ht="18" customHeight="1" s="67">
      <c r="A30" s="177" t="inlineStr">
        <is>
          <t>2026-05-21</t>
        </is>
      </c>
      <c r="B30" s="178" t="inlineStr">
        <is>
          <t>Inv-33</t>
        </is>
      </c>
      <c r="C30" s="177" t="inlineStr">
        <is>
          <t>برازيليا عدد 75 الحبه 0.500</t>
        </is>
      </c>
      <c r="D30" s="179" t="n">
        <v>37.5</v>
      </c>
      <c r="E30" s="180" t="n"/>
      <c r="F30" s="181" t="n">
        <v>258.25</v>
      </c>
    </row>
    <row r="31" ht="18" customHeight="1" s="67">
      <c r="A31" s="177" t="inlineStr">
        <is>
          <t>2026-05-21</t>
        </is>
      </c>
      <c r="B31" s="178" t="inlineStr">
        <is>
          <t>Inv-34</t>
        </is>
      </c>
      <c r="C31" s="177" t="inlineStr">
        <is>
          <t>دارسينيا احمر عدد1 حبه 2.500</t>
        </is>
      </c>
      <c r="D31" s="179" t="n">
        <v>2.5</v>
      </c>
      <c r="E31" s="180" t="n"/>
      <c r="F31" s="181" t="n">
        <v>260.75</v>
      </c>
    </row>
    <row r="32" ht="18" customHeight="1" s="67">
      <c r="A32" s="177" t="inlineStr">
        <is>
          <t>2026-05-22</t>
        </is>
      </c>
      <c r="B32" s="178" t="inlineStr">
        <is>
          <t>Inv-35</t>
        </is>
      </c>
      <c r="C32" s="177" t="inlineStr">
        <is>
          <t>دارسينا حمراء عدد 6 الحبه 2,500</t>
        </is>
      </c>
      <c r="D32" s="179" t="n">
        <v>15</v>
      </c>
      <c r="E32" s="180" t="n"/>
      <c r="F32" s="181" t="n">
        <v>275.75</v>
      </c>
    </row>
    <row r="33" ht="18" customHeight="1" s="67">
      <c r="A33" s="177" t="inlineStr">
        <is>
          <t>2026-05-22</t>
        </is>
      </c>
      <c r="B33" s="178" t="inlineStr">
        <is>
          <t>Inv-36</t>
        </is>
      </c>
      <c r="C33" s="177" t="inlineStr">
        <is>
          <t>ربل عدد4 الحبه 1.500</t>
        </is>
      </c>
      <c r="D33" s="179" t="n">
        <v>6</v>
      </c>
      <c r="E33" s="180" t="n"/>
      <c r="F33" s="181" t="n">
        <v>281.75</v>
      </c>
    </row>
    <row r="34" ht="18" customHeight="1" s="67">
      <c r="A34" s="177" t="inlineStr">
        <is>
          <t>2026-05-25</t>
        </is>
      </c>
      <c r="B34" s="178" t="inlineStr">
        <is>
          <t>Inv-37</t>
        </is>
      </c>
      <c r="C34" s="177" t="inlineStr">
        <is>
          <t>عطره عدد 10 الحبه 0.750</t>
        </is>
      </c>
      <c r="D34" s="179" t="n">
        <v>7.5</v>
      </c>
      <c r="E34" s="180" t="n"/>
      <c r="F34" s="181" t="n">
        <v>289.25</v>
      </c>
    </row>
    <row r="35" ht="18" customHeight="1" s="67">
      <c r="A35" s="177" t="inlineStr">
        <is>
          <t>2026-05-25</t>
        </is>
      </c>
      <c r="B35" s="178" t="inlineStr">
        <is>
          <t>Inv-38</t>
        </is>
      </c>
      <c r="C35" s="177" t="inlineStr">
        <is>
          <t>ودليه عدد 2 الحبه 1</t>
        </is>
      </c>
      <c r="D35" s="179" t="n">
        <v>2</v>
      </c>
      <c r="E35" s="180" t="n"/>
      <c r="F35" s="181" t="n">
        <v>291.25</v>
      </c>
    </row>
    <row r="36" ht="18" customHeight="1" s="67">
      <c r="A36" s="177" t="inlineStr">
        <is>
          <t>2026-05-25</t>
        </is>
      </c>
      <c r="B36" s="178" t="inlineStr">
        <is>
          <t>Inv-39</t>
        </is>
      </c>
      <c r="C36" s="177" t="inlineStr">
        <is>
          <t>داراسينا حمراء عدد4 الحبه 1</t>
        </is>
      </c>
      <c r="D36" s="179" t="n">
        <v>4</v>
      </c>
      <c r="E36" s="180" t="n"/>
      <c r="F36" s="181" t="n">
        <v>295.25</v>
      </c>
    </row>
    <row r="37" ht="18" customHeight="1" s="67">
      <c r="A37" s="177" t="inlineStr">
        <is>
          <t>2026-05-04</t>
        </is>
      </c>
      <c r="B37" s="178" t="inlineStr">
        <is>
          <t>Inv-40</t>
        </is>
      </c>
      <c r="C37" s="177" t="inlineStr">
        <is>
          <t>other</t>
        </is>
      </c>
      <c r="D37" s="179" t="n">
        <v>9</v>
      </c>
      <c r="E37" s="180" t="n"/>
      <c r="F37" s="181" t="n">
        <v>304.25</v>
      </c>
    </row>
    <row r="38" ht="18" customHeight="1" s="67">
      <c r="A38" s="177" t="inlineStr">
        <is>
          <t>2026-05-04</t>
        </is>
      </c>
      <c r="B38" s="178" t="inlineStr">
        <is>
          <t>Inv-41</t>
        </is>
      </c>
      <c r="C38" s="177" t="inlineStr">
        <is>
          <t>other</t>
        </is>
      </c>
      <c r="D38" s="179" t="n">
        <v>9</v>
      </c>
      <c r="E38" s="180" t="n"/>
      <c r="F38" s="181" t="n">
        <v>313.25</v>
      </c>
    </row>
    <row r="39" ht="18" customHeight="1" s="67">
      <c r="A39" s="177" t="inlineStr">
        <is>
          <t>2026-05-04</t>
        </is>
      </c>
      <c r="B39" s="178" t="inlineStr">
        <is>
          <t>Inv-42</t>
        </is>
      </c>
      <c r="C39" s="177" t="inlineStr">
        <is>
          <t>other</t>
        </is>
      </c>
      <c r="D39" s="179" t="n">
        <v>2</v>
      </c>
      <c r="E39" s="180" t="n"/>
      <c r="F39" s="181" t="n">
        <v>315.25</v>
      </c>
    </row>
    <row r="40" ht="18" customHeight="1" s="67">
      <c r="A40" s="177" t="inlineStr">
        <is>
          <t>2026-05-05</t>
        </is>
      </c>
      <c r="B40" s="178" t="inlineStr">
        <is>
          <t>Inv-43</t>
        </is>
      </c>
      <c r="C40" s="177" t="inlineStr">
        <is>
          <t>other</t>
        </is>
      </c>
      <c r="D40" s="179" t="n">
        <v>3.75</v>
      </c>
      <c r="E40" s="180" t="n"/>
      <c r="F40" s="181" t="n">
        <v>319</v>
      </c>
    </row>
    <row r="41" ht="18" customHeight="1" s="67">
      <c r="A41" s="177" t="inlineStr">
        <is>
          <t>2026-05-07</t>
        </is>
      </c>
      <c r="B41" s="178" t="inlineStr">
        <is>
          <t>Inv-44a</t>
        </is>
      </c>
      <c r="C41" s="177" t="inlineStr">
        <is>
          <t>other</t>
        </is>
      </c>
      <c r="D41" s="179" t="n">
        <v>5</v>
      </c>
      <c r="E41" s="180" t="n"/>
      <c r="F41" s="181" t="n">
        <v>324</v>
      </c>
    </row>
    <row r="42" ht="18" customHeight="1" s="67">
      <c r="A42" s="177" t="inlineStr">
        <is>
          <t>2026-05-13</t>
        </is>
      </c>
      <c r="B42" s="178" t="inlineStr">
        <is>
          <t>Inv-44</t>
        </is>
      </c>
      <c r="C42" s="177" t="inlineStr">
        <is>
          <t>other</t>
        </is>
      </c>
      <c r="D42" s="179" t="n">
        <v>15</v>
      </c>
      <c r="E42" s="180" t="n"/>
      <c r="F42" s="181" t="n">
        <v>339</v>
      </c>
    </row>
    <row r="43" ht="18" customHeight="1" s="67">
      <c r="A43" s="177" t="inlineStr">
        <is>
          <t>2026-05-13</t>
        </is>
      </c>
      <c r="B43" s="178" t="inlineStr">
        <is>
          <t>Inv-45</t>
        </is>
      </c>
      <c r="C43" s="177" t="inlineStr">
        <is>
          <t>other</t>
        </is>
      </c>
      <c r="D43" s="179" t="n">
        <v>4</v>
      </c>
      <c r="E43" s="180" t="n"/>
      <c r="F43" s="181" t="n">
        <v>343</v>
      </c>
    </row>
    <row r="44" ht="18" customHeight="1" s="67">
      <c r="A44" s="177" t="inlineStr">
        <is>
          <t>2026-05-13</t>
        </is>
      </c>
      <c r="B44" s="178" t="inlineStr">
        <is>
          <t>Inv-46</t>
        </is>
      </c>
      <c r="C44" s="177" t="inlineStr">
        <is>
          <t>other</t>
        </is>
      </c>
      <c r="D44" s="179" t="n">
        <v>3.6</v>
      </c>
      <c r="E44" s="180" t="n"/>
      <c r="F44" s="181" t="n">
        <v>346.6</v>
      </c>
    </row>
    <row r="45" ht="18" customHeight="1" s="67">
      <c r="A45" s="177" t="inlineStr">
        <is>
          <t>2026-05-16</t>
        </is>
      </c>
      <c r="B45" s="178" t="inlineStr">
        <is>
          <t>Inv-47</t>
        </is>
      </c>
      <c r="C45" s="177" t="inlineStr">
        <is>
          <t>other</t>
        </is>
      </c>
      <c r="D45" s="179" t="n">
        <v>3</v>
      </c>
      <c r="E45" s="180" t="n"/>
      <c r="F45" s="181" t="n">
        <v>349.6</v>
      </c>
    </row>
    <row r="46" ht="18" customHeight="1" s="67">
      <c r="A46" s="182" t="inlineStr">
        <is>
          <t>2026-05-13</t>
        </is>
      </c>
      <c r="B46" s="183" t="inlineStr"/>
      <c r="C46" s="182" t="inlineStr">
        <is>
          <t>جبس لتغطيه المحميه</t>
        </is>
      </c>
      <c r="D46" s="184" t="n"/>
      <c r="E46" s="185" t="n">
        <v>2.75</v>
      </c>
      <c r="F46" s="186" t="n">
        <v>346.85</v>
      </c>
    </row>
    <row r="47" ht="18" customHeight="1" s="67">
      <c r="A47" s="177" t="inlineStr">
        <is>
          <t>2026-06-02</t>
        </is>
      </c>
      <c r="B47" s="178" t="inlineStr">
        <is>
          <t>Inv-53</t>
        </is>
      </c>
      <c r="C47" s="177" t="inlineStr">
        <is>
          <t>فل عدد 24 الحبه .750</t>
        </is>
      </c>
      <c r="D47" s="179" t="n">
        <v>18</v>
      </c>
      <c r="E47" s="180" t="n"/>
      <c r="F47" s="181" t="n">
        <v>364.85</v>
      </c>
    </row>
    <row r="48" ht="18" customHeight="1" s="67">
      <c r="A48" s="177" t="inlineStr">
        <is>
          <t>2026-06-02</t>
        </is>
      </c>
      <c r="B48" s="178" t="inlineStr">
        <is>
          <t>Inv-54</t>
        </is>
      </c>
      <c r="C48" s="177" t="inlineStr">
        <is>
          <t>دارسينا خضراء عدد 1 الحبه 2</t>
        </is>
      </c>
      <c r="D48" s="179" t="n">
        <v>2</v>
      </c>
      <c r="E48" s="180" t="n"/>
      <c r="F48" s="181" t="n">
        <v>366.85</v>
      </c>
    </row>
    <row r="49" ht="18" customHeight="1" s="67">
      <c r="A49" s="177" t="inlineStr">
        <is>
          <t>2026-06-02</t>
        </is>
      </c>
      <c r="B49" s="178" t="inlineStr">
        <is>
          <t>Inv-55</t>
        </is>
      </c>
      <c r="C49" s="177" t="inlineStr">
        <is>
          <t>افوبيا عدد 2 الحبه .750</t>
        </is>
      </c>
      <c r="D49" s="179" t="n">
        <v>1.5</v>
      </c>
      <c r="E49" s="180" t="n"/>
      <c r="F49" s="181" t="n">
        <v>368.35</v>
      </c>
    </row>
    <row r="50" ht="18" customHeight="1" s="67">
      <c r="A50" s="177" t="inlineStr">
        <is>
          <t>2026-06-02</t>
        </is>
      </c>
      <c r="B50" s="178" t="inlineStr">
        <is>
          <t>Inv-56</t>
        </is>
      </c>
      <c r="C50" s="177" t="inlineStr">
        <is>
          <t>دارسينا سوداء عدد 3 الحبه 1</t>
        </is>
      </c>
      <c r="D50" s="179" t="n">
        <v>3</v>
      </c>
      <c r="E50" s="180" t="n"/>
      <c r="F50" s="181" t="n">
        <v>371.35</v>
      </c>
    </row>
    <row r="51" ht="18" customHeight="1" s="67">
      <c r="A51" s="177" t="inlineStr">
        <is>
          <t>2026-06-04</t>
        </is>
      </c>
      <c r="B51" s="178" t="inlineStr">
        <is>
          <t>inv-57</t>
        </is>
      </c>
      <c r="C51" s="177" t="inlineStr">
        <is>
          <t>فوزير عدد1 قيمه 1</t>
        </is>
      </c>
      <c r="D51" s="179" t="n">
        <v>1</v>
      </c>
      <c r="E51" s="180" t="n"/>
      <c r="F51" s="181" t="n">
        <v>372.35</v>
      </c>
    </row>
    <row r="52" ht="18" customHeight="1" s="67">
      <c r="A52" s="182" t="inlineStr">
        <is>
          <t>2026-06-04</t>
        </is>
      </c>
      <c r="B52" s="183" t="inlineStr"/>
      <c r="C52" s="182" t="inlineStr">
        <is>
          <t>سماد</t>
        </is>
      </c>
      <c r="D52" s="184" t="n"/>
      <c r="E52" s="185" t="n">
        <v>10</v>
      </c>
      <c r="F52" s="186" t="n">
        <v>362.35</v>
      </c>
    </row>
    <row r="53" ht="18" customHeight="1" s="67">
      <c r="A53" s="182" t="inlineStr">
        <is>
          <t>2026-06-04</t>
        </is>
      </c>
      <c r="B53" s="183" t="inlineStr"/>
      <c r="C53" s="182" t="inlineStr">
        <is>
          <t>تاير لعربة الرش</t>
        </is>
      </c>
      <c r="D53" s="184" t="n"/>
      <c r="E53" s="185" t="n">
        <v>3.25</v>
      </c>
      <c r="F53" s="186" t="n">
        <v>359.1</v>
      </c>
    </row>
    <row r="54" ht="18" customHeight="1" s="67">
      <c r="A54" s="182" t="inlineStr">
        <is>
          <t>2026-06-04</t>
        </is>
      </c>
      <c r="B54" s="183" t="inlineStr"/>
      <c r="C54" s="182" t="inlineStr">
        <is>
          <t>حفاره خلط السماد</t>
        </is>
      </c>
      <c r="D54" s="184" t="n"/>
      <c r="E54" s="185" t="n">
        <v>12</v>
      </c>
      <c r="F54" s="186" t="n">
        <v>347.1</v>
      </c>
    </row>
    <row r="55" ht="18" customHeight="1" s="67">
      <c r="A55" s="177" t="inlineStr">
        <is>
          <t>2026-06-06</t>
        </is>
      </c>
      <c r="B55" s="178" t="inlineStr">
        <is>
          <t>Inv-58</t>
        </is>
      </c>
      <c r="C55" s="177" t="inlineStr">
        <is>
          <t>دارسينا عدد3 بقيمه 1 للحبه</t>
        </is>
      </c>
      <c r="D55" s="179" t="n">
        <v>3</v>
      </c>
      <c r="E55" s="180" t="n"/>
      <c r="F55" s="181" t="n">
        <v>350.1</v>
      </c>
    </row>
    <row r="56" ht="18" customHeight="1" s="67">
      <c r="A56" s="177" t="inlineStr">
        <is>
          <t>2026-06-06</t>
        </is>
      </c>
      <c r="B56" s="178" t="inlineStr">
        <is>
          <t>Inv-59</t>
        </is>
      </c>
      <c r="C56" s="177" t="inlineStr">
        <is>
          <t>ودليه عدد 1 بقيمه 1</t>
        </is>
      </c>
      <c r="D56" s="179" t="n">
        <v>1</v>
      </c>
      <c r="E56" s="180" t="n"/>
      <c r="F56" s="181" t="n">
        <v>351.1</v>
      </c>
    </row>
    <row r="57" ht="18" customHeight="1" s="67">
      <c r="A57" s="177" t="inlineStr">
        <is>
          <t>2026-06-06</t>
        </is>
      </c>
      <c r="B57" s="178" t="inlineStr">
        <is>
          <t>Inv-60</t>
        </is>
      </c>
      <c r="C57" s="177" t="inlineStr">
        <is>
          <t>دارسينا حمراء عدد 1 بقيمه 3</t>
        </is>
      </c>
      <c r="D57" s="179" t="n">
        <v>3</v>
      </c>
      <c r="E57" s="180" t="n"/>
      <c r="F57" s="181" t="n">
        <v>354.1</v>
      </c>
    </row>
    <row r="58" ht="18" customHeight="1" s="67">
      <c r="A58" s="177" t="inlineStr">
        <is>
          <t>2026-06-08</t>
        </is>
      </c>
      <c r="B58" s="178" t="inlineStr">
        <is>
          <t>Inv-61</t>
        </is>
      </c>
      <c r="C58" s="177" t="inlineStr">
        <is>
          <t>فل عدد 20 بقيمه 0.750</t>
        </is>
      </c>
      <c r="D58" s="179" t="n">
        <v>15</v>
      </c>
      <c r="E58" s="180" t="n"/>
      <c r="F58" s="181" t="n">
        <v>369.1</v>
      </c>
    </row>
    <row r="59" ht="18" customHeight="1" s="67">
      <c r="A59" s="182" t="inlineStr">
        <is>
          <t>2026-06-08</t>
        </is>
      </c>
      <c r="B59" s="183" t="inlineStr"/>
      <c r="C59" s="182" t="inlineStr">
        <is>
          <t>اسمنت اسود للمحميه الصغيره الجديده</t>
        </is>
      </c>
      <c r="D59" s="184" t="n"/>
      <c r="E59" s="185" t="n">
        <v>2.8</v>
      </c>
      <c r="F59" s="186" t="n">
        <v>366.3</v>
      </c>
    </row>
    <row r="60" ht="18" customHeight="1" s="67">
      <c r="A60" s="182" t="inlineStr">
        <is>
          <t>2026-06-08</t>
        </is>
      </c>
      <c r="B60" s="183" t="inlineStr"/>
      <c r="C60" s="182" t="inlineStr">
        <is>
          <t>حديد اسود للمحميه الصغيره الجديده</t>
        </is>
      </c>
      <c r="D60" s="184" t="n"/>
      <c r="E60" s="185" t="n">
        <v>46.75</v>
      </c>
      <c r="F60" s="186" t="n">
        <v>319.55</v>
      </c>
    </row>
    <row r="61" ht="18" customHeight="1" s="67">
      <c r="A61" s="177" t="inlineStr">
        <is>
          <t>2026-06-09</t>
        </is>
      </c>
      <c r="B61" s="178" t="inlineStr">
        <is>
          <t>Inv-62</t>
        </is>
      </c>
      <c r="C61" s="177" t="inlineStr">
        <is>
          <t>فل عدد 30 الحبه 0.750</t>
        </is>
      </c>
      <c r="D61" s="179" t="n">
        <v>22.5</v>
      </c>
      <c r="E61" s="180" t="n"/>
      <c r="F61" s="181" t="n">
        <v>342.05</v>
      </c>
    </row>
    <row r="62" ht="18" customHeight="1" s="67">
      <c r="A62" s="182" t="inlineStr">
        <is>
          <t>2026-06-11</t>
        </is>
      </c>
      <c r="B62" s="183" t="inlineStr"/>
      <c r="C62" s="182" t="inlineStr">
        <is>
          <t>براغي</t>
        </is>
      </c>
      <c r="D62" s="184" t="n"/>
      <c r="E62" s="185" t="n">
        <v>3.5</v>
      </c>
      <c r="F62" s="186" t="n">
        <v>338.55</v>
      </c>
    </row>
    <row r="63" ht="18" customHeight="1" s="67">
      <c r="A63" s="182" t="inlineStr">
        <is>
          <t>2026-06-12</t>
        </is>
      </c>
      <c r="B63" s="183" t="inlineStr"/>
      <c r="C63" s="182" t="inlineStr">
        <is>
          <t>رول لحيم</t>
        </is>
      </c>
      <c r="D63" s="184" t="n"/>
      <c r="E63" s="185" t="n">
        <v>2</v>
      </c>
      <c r="F63" s="186" t="n">
        <v>336.55</v>
      </c>
    </row>
    <row r="64" ht="18" customHeight="1" s="67">
      <c r="A64" s="177" t="inlineStr">
        <is>
          <t>2026-06-13</t>
        </is>
      </c>
      <c r="B64" s="178" t="inlineStr">
        <is>
          <t>Inv-64</t>
        </is>
      </c>
      <c r="C64" s="177" t="inlineStr">
        <is>
          <t>معلقات عدد 10 الحبه 1</t>
        </is>
      </c>
      <c r="D64" s="179" t="n">
        <v>10</v>
      </c>
      <c r="E64" s="180" t="n"/>
      <c r="F64" s="181" t="n">
        <v>346.55</v>
      </c>
    </row>
    <row r="65" ht="18" customHeight="1" s="67">
      <c r="A65" s="177" t="inlineStr">
        <is>
          <t>2026-06-13</t>
        </is>
      </c>
      <c r="B65" s="178" t="inlineStr">
        <is>
          <t>Inv-65</t>
        </is>
      </c>
      <c r="C65" s="177" t="inlineStr">
        <is>
          <t>ودوليه عدد 5 الحبه 1</t>
        </is>
      </c>
      <c r="D65" s="179" t="n">
        <v>5</v>
      </c>
      <c r="E65" s="180" t="n"/>
      <c r="F65" s="181" t="n">
        <v>351.55</v>
      </c>
    </row>
    <row r="66" ht="18" customHeight="1" s="67">
      <c r="A66" s="177" t="inlineStr">
        <is>
          <t>2026-06-16</t>
        </is>
      </c>
      <c r="B66" s="178" t="inlineStr">
        <is>
          <t>Inv-66</t>
        </is>
      </c>
      <c r="C66" s="177" t="inlineStr">
        <is>
          <t>شوكليرا عدد10 الحبه 1.500</t>
        </is>
      </c>
      <c r="D66" s="179" t="n">
        <v>15</v>
      </c>
      <c r="E66" s="180" t="n"/>
      <c r="F66" s="181" t="n">
        <v>366.55</v>
      </c>
    </row>
    <row r="67" ht="18" customHeight="1" s="67">
      <c r="A67" s="177" t="inlineStr">
        <is>
          <t>2026-06-16</t>
        </is>
      </c>
      <c r="B67" s="178" t="inlineStr">
        <is>
          <t>Inv-67</t>
        </is>
      </c>
      <c r="C67" s="177" t="inlineStr">
        <is>
          <t>فيكس عدد7 الحبه 1</t>
        </is>
      </c>
      <c r="D67" s="179" t="n">
        <v>7</v>
      </c>
      <c r="E67" s="180" t="n"/>
      <c r="F67" s="181" t="n">
        <v>373.55</v>
      </c>
    </row>
    <row r="68" ht="18" customHeight="1" s="67">
      <c r="A68" s="177" t="inlineStr">
        <is>
          <t>2026-06-16</t>
        </is>
      </c>
      <c r="B68" s="178" t="inlineStr">
        <is>
          <t>Inv-68</t>
        </is>
      </c>
      <c r="C68" s="177" t="inlineStr">
        <is>
          <t>ربل عدد 5 الحبه 2</t>
        </is>
      </c>
      <c r="D68" s="179" t="n">
        <v>10</v>
      </c>
      <c r="E68" s="180" t="n"/>
      <c r="F68" s="181" t="n">
        <v>383.55</v>
      </c>
    </row>
    <row r="69" ht="18" customHeight="1" s="67">
      <c r="A69" s="177" t="inlineStr">
        <is>
          <t>2026-06-16</t>
        </is>
      </c>
      <c r="B69" s="178" t="inlineStr">
        <is>
          <t>Inv-69</t>
        </is>
      </c>
      <c r="C69" s="177" t="inlineStr">
        <is>
          <t>فل عدد 24 الحبه .750</t>
        </is>
      </c>
      <c r="D69" s="179" t="n">
        <v>18</v>
      </c>
      <c r="E69" s="180" t="n"/>
      <c r="F69" s="181" t="n">
        <v>401.55</v>
      </c>
    </row>
    <row r="70" ht="18" customHeight="1" s="67">
      <c r="A70" s="182" t="inlineStr">
        <is>
          <t>2026-06-15</t>
        </is>
      </c>
      <c r="B70" s="183" t="inlineStr"/>
      <c r="C70" s="182" t="inlineStr">
        <is>
          <t>أقامه عبدول</t>
        </is>
      </c>
      <c r="D70" s="184" t="n"/>
      <c r="E70" s="185" t="n">
        <v>25</v>
      </c>
      <c r="F70" s="186" t="n">
        <v>376.55</v>
      </c>
    </row>
    <row r="71" ht="18" customHeight="1" s="67">
      <c r="A71" s="177" t="inlineStr">
        <is>
          <t>2026-06-17</t>
        </is>
      </c>
      <c r="B71" s="178" t="inlineStr">
        <is>
          <t>Inv-70</t>
        </is>
      </c>
      <c r="C71" s="177" t="inlineStr">
        <is>
          <t>افوبياعدد 1 الحبه .0.750</t>
        </is>
      </c>
      <c r="D71" s="179" t="n">
        <v>0.75</v>
      </c>
      <c r="E71" s="180" t="n"/>
      <c r="F71" s="181" t="n">
        <v>377.3</v>
      </c>
    </row>
    <row r="72" ht="18" customHeight="1" s="67">
      <c r="A72" s="177" t="inlineStr">
        <is>
          <t>2026-06-17</t>
        </is>
      </c>
      <c r="B72" s="178" t="inlineStr">
        <is>
          <t>Inv-71</t>
        </is>
      </c>
      <c r="C72" s="177" t="inlineStr">
        <is>
          <t>دارسينا عدد 1 الحبه 1.500</t>
        </is>
      </c>
      <c r="D72" s="179" t="n">
        <v>1.5</v>
      </c>
      <c r="E72" s="180" t="n"/>
      <c r="F72" s="181" t="n">
        <v>378.8</v>
      </c>
    </row>
    <row r="73" ht="18" customHeight="1" s="67">
      <c r="A73" s="177" t="inlineStr">
        <is>
          <t>2026-06-18</t>
        </is>
      </c>
      <c r="B73" s="178" t="inlineStr">
        <is>
          <t>Inv-72</t>
        </is>
      </c>
      <c r="C73" s="177" t="inlineStr">
        <is>
          <t>فل عدد 1 الحبه 0.750</t>
        </is>
      </c>
      <c r="D73" s="179" t="n">
        <v>0.75</v>
      </c>
      <c r="E73" s="180" t="n"/>
      <c r="F73" s="181" t="n">
        <v>379.55</v>
      </c>
    </row>
    <row r="74" ht="18" customHeight="1" s="67">
      <c r="A74" s="177" t="inlineStr">
        <is>
          <t>2026-06-18</t>
        </is>
      </c>
      <c r="B74" s="178" t="inlineStr">
        <is>
          <t>Inv-73</t>
        </is>
      </c>
      <c r="C74" s="177" t="inlineStr">
        <is>
          <t>ودليه عدد 3 الحبه 1</t>
        </is>
      </c>
      <c r="D74" s="179" t="n">
        <v>3</v>
      </c>
      <c r="E74" s="180" t="n"/>
      <c r="F74" s="181" t="n">
        <v>382.55</v>
      </c>
    </row>
    <row r="75" ht="18" customHeight="1" s="67">
      <c r="A75" s="177" t="inlineStr">
        <is>
          <t>2026-06-26</t>
        </is>
      </c>
      <c r="B75" s="178" t="inlineStr">
        <is>
          <t>Inv-74</t>
        </is>
      </c>
      <c r="C75" s="177" t="inlineStr">
        <is>
          <t>ربل عدد 11 الحبه 2</t>
        </is>
      </c>
      <c r="D75" s="179" t="n">
        <v>22</v>
      </c>
      <c r="E75" s="180" t="n"/>
      <c r="F75" s="181" t="n">
        <v>404.55</v>
      </c>
    </row>
    <row r="76" ht="18" customHeight="1" s="67">
      <c r="A76" s="177" t="inlineStr">
        <is>
          <t>2026-06-26</t>
        </is>
      </c>
      <c r="B76" s="178" t="inlineStr">
        <is>
          <t>Inv-75</t>
        </is>
      </c>
      <c r="C76" s="177" t="inlineStr">
        <is>
          <t>شوفليرا عدد6 الحبه 1.500</t>
        </is>
      </c>
      <c r="D76" s="179" t="n">
        <v>9</v>
      </c>
      <c r="E76" s="180" t="n"/>
      <c r="F76" s="181" t="n">
        <v>413.55</v>
      </c>
    </row>
    <row r="77" ht="18" customHeight="1" s="67">
      <c r="A77" s="182" t="inlineStr">
        <is>
          <t>2026-06-24</t>
        </is>
      </c>
      <c r="B77" s="183" t="inlineStr"/>
      <c r="C77" s="182" t="inlineStr">
        <is>
          <t>nbk 18-18-18</t>
        </is>
      </c>
      <c r="D77" s="184" t="n"/>
      <c r="E77" s="185" t="n">
        <v>12</v>
      </c>
      <c r="F77" s="186" t="n">
        <v>401.55</v>
      </c>
    </row>
    <row r="78" ht="18" customHeight="1" s="67">
      <c r="A78" s="177" t="inlineStr">
        <is>
          <t>2026-06-28</t>
        </is>
      </c>
      <c r="B78" s="178" t="inlineStr">
        <is>
          <t>Inv-76</t>
        </is>
      </c>
      <c r="C78" s="177" t="inlineStr">
        <is>
          <t>فل عدد 11 الحبه 0.750</t>
        </is>
      </c>
      <c r="D78" s="179" t="n">
        <v>8.25</v>
      </c>
      <c r="E78" s="180" t="n"/>
      <c r="F78" s="181" t="n">
        <v>409.8</v>
      </c>
    </row>
    <row r="79" ht="18" customHeight="1" s="67">
      <c r="A79" s="177" t="inlineStr">
        <is>
          <t>2026-06-29</t>
        </is>
      </c>
      <c r="B79" s="178" t="inlineStr">
        <is>
          <t>Inv-77</t>
        </is>
      </c>
      <c r="C79" s="177" t="inlineStr">
        <is>
          <t>عطره عدد 3 الحبه 0.750</t>
        </is>
      </c>
      <c r="D79" s="179" t="n">
        <v>2.25</v>
      </c>
      <c r="E79" s="180" t="n"/>
      <c r="F79" s="181" t="n">
        <v>412.05</v>
      </c>
    </row>
    <row r="80" ht="18" customHeight="1" s="67">
      <c r="A80" s="177" t="inlineStr">
        <is>
          <t>2026-06-29</t>
        </is>
      </c>
      <c r="B80" s="178" t="inlineStr">
        <is>
          <t>Inv-78</t>
        </is>
      </c>
      <c r="C80" s="177" t="inlineStr">
        <is>
          <t>معلقات عدد 3 الحبه 1</t>
        </is>
      </c>
      <c r="D80" s="179" t="n">
        <v>3</v>
      </c>
      <c r="E80" s="180" t="n"/>
      <c r="F80" s="181" t="n">
        <v>415.05</v>
      </c>
    </row>
    <row r="81" ht="18" customHeight="1" s="67">
      <c r="A81" s="177" t="inlineStr">
        <is>
          <t>2026-06-30</t>
        </is>
      </c>
      <c r="B81" s="178" t="inlineStr">
        <is>
          <t>Inv-79</t>
        </is>
      </c>
      <c r="C81" s="177" t="inlineStr">
        <is>
          <t>معلقات عدد 4 الحبه 1</t>
        </is>
      </c>
      <c r="D81" s="179" t="n">
        <v>4</v>
      </c>
      <c r="E81" s="180" t="n"/>
      <c r="F81" s="181" t="n">
        <v>419.05</v>
      </c>
    </row>
    <row r="82" ht="18" customHeight="1" s="67">
      <c r="A82" s="177" t="inlineStr">
        <is>
          <t>2026-06-30</t>
        </is>
      </c>
      <c r="B82" s="178" t="inlineStr">
        <is>
          <t>Inv-80</t>
        </is>
      </c>
      <c r="C82" s="177" t="inlineStr">
        <is>
          <t>معلقات عدد4 الحبه 1</t>
        </is>
      </c>
      <c r="D82" s="179" t="n">
        <v>4</v>
      </c>
      <c r="E82" s="180" t="n"/>
      <c r="F82" s="181" t="n">
        <v>423.05</v>
      </c>
    </row>
    <row r="83" ht="18" customHeight="1" s="67">
      <c r="A83" s="177" t="inlineStr">
        <is>
          <t>2026-06-30</t>
        </is>
      </c>
      <c r="B83" s="178" t="inlineStr">
        <is>
          <t>Inv-81</t>
        </is>
      </c>
      <c r="C83" s="177" t="inlineStr">
        <is>
          <t>افوبيا عدد 2 الحبه 1</t>
        </is>
      </c>
      <c r="D83" s="179" t="n">
        <v>2</v>
      </c>
      <c r="E83" s="180" t="n"/>
      <c r="F83" s="181" t="n">
        <v>425.05</v>
      </c>
    </row>
    <row r="84" ht="18" customHeight="1" s="67">
      <c r="A84" s="182" t="inlineStr">
        <is>
          <t>2026-06-30</t>
        </is>
      </c>
      <c r="B84" s="183" t="inlineStr"/>
      <c r="C84" s="182" t="inlineStr">
        <is>
          <t>رواتب عماله شهر يونيو 2026</t>
        </is>
      </c>
      <c r="D84" s="184" t="n"/>
      <c r="E84" s="185" t="n">
        <v>420</v>
      </c>
      <c r="F84" s="186" t="n">
        <v>5.05</v>
      </c>
    </row>
    <row r="85" ht="18" customHeight="1" s="67">
      <c r="A85" s="177" t="inlineStr">
        <is>
          <t>2026-06-30</t>
        </is>
      </c>
      <c r="B85" s="178" t="inlineStr"/>
      <c r="C85" s="177" t="inlineStr">
        <is>
          <t>تكمله رواتب يونيو 2026 ابوادم</t>
        </is>
      </c>
      <c r="D85" s="179" t="n">
        <v>50</v>
      </c>
      <c r="E85" s="180" t="n"/>
      <c r="F85" s="181" t="n">
        <v>55.05</v>
      </c>
    </row>
    <row r="86" ht="18" customHeight="1" s="67">
      <c r="A86" s="177" t="inlineStr">
        <is>
          <t>2026-06-30</t>
        </is>
      </c>
      <c r="B86" s="178" t="inlineStr"/>
      <c r="C86" s="177" t="inlineStr">
        <is>
          <t>تكمله رواتب يونيو 2026 ابواسحاق</t>
        </is>
      </c>
      <c r="D86" s="179" t="n">
        <v>50</v>
      </c>
      <c r="E86" s="180" t="n"/>
      <c r="F86" s="181" t="n">
        <v>105.05</v>
      </c>
    </row>
    <row r="87" ht="18" customHeight="1" s="67">
      <c r="A87" s="182" t="inlineStr">
        <is>
          <t>2026-06-30</t>
        </is>
      </c>
      <c r="B87" s="183" t="inlineStr"/>
      <c r="C87" s="182" t="inlineStr">
        <is>
          <t>احواض عدد 1000 مقاس 25 سم</t>
        </is>
      </c>
      <c r="D87" s="184" t="n"/>
      <c r="E87" s="185" t="n">
        <v>80</v>
      </c>
      <c r="F87" s="186" t="n">
        <v>25.05</v>
      </c>
    </row>
    <row r="88" ht="24" customHeight="1" s="67">
      <c r="A88" s="187" t="inlineStr"/>
      <c r="B88" s="187" t="inlineStr"/>
      <c r="C88" s="188" t="inlineStr">
        <is>
          <t>الإجمالي</t>
        </is>
      </c>
      <c r="D88" s="189" t="n">
        <v>657.1</v>
      </c>
      <c r="E88" s="190" t="n">
        <v>632.05</v>
      </c>
      <c r="F88" s="191" t="n">
        <v>25.05</v>
      </c>
    </row>
    <row r="90" ht="28" customHeight="1" s="67">
      <c r="A90" s="192" t="inlineStr">
        <is>
          <t>🔵  مصروفات الشركاء  —  مستحقة السداد للمزرعة</t>
        </is>
      </c>
      <c r="B90" s="205" t="n"/>
      <c r="C90" s="205" t="n"/>
      <c r="D90" s="205" t="n"/>
      <c r="E90" s="205" t="n"/>
      <c r="F90" s="206" t="n"/>
    </row>
    <row r="91" ht="22" customHeight="1" s="67">
      <c r="A91" s="193" t="inlineStr">
        <is>
          <t>التاريخ</t>
        </is>
      </c>
      <c r="B91" s="193" t="inlineStr">
        <is>
          <t>المرجع</t>
        </is>
      </c>
      <c r="C91" s="193" t="inlineStr">
        <is>
          <t>البيان / الوصف</t>
        </is>
      </c>
      <c r="D91" s="193" t="inlineStr">
        <is>
          <t>المبلغ (KD)</t>
        </is>
      </c>
      <c r="E91" s="193" t="inlineStr">
        <is>
          <t>الشريك</t>
        </is>
      </c>
      <c r="F91" s="193" t="inlineStr"/>
    </row>
    <row r="92" ht="18" customHeight="1" s="67">
      <c r="A92" s="194" t="inlineStr">
        <is>
          <t>2026-04-19</t>
        </is>
      </c>
      <c r="B92" s="195" t="inlineStr"/>
      <c r="C92" s="194" t="inlineStr">
        <is>
          <t>تبديل كمبرسيور ثلاجة العمال</t>
        </is>
      </c>
      <c r="D92" s="196" t="n">
        <v>45</v>
      </c>
      <c r="E92" s="197" t="inlineStr">
        <is>
          <t>أبو اسحاق</t>
        </is>
      </c>
      <c r="F92" s="194" t="inlineStr"/>
    </row>
    <row r="93" ht="18" customHeight="1" s="67">
      <c r="A93" s="194" t="inlineStr">
        <is>
          <t>2026-04-22</t>
        </is>
      </c>
      <c r="B93" s="195" t="inlineStr">
        <is>
          <t>11300</t>
        </is>
      </c>
      <c r="C93" s="194" t="inlineStr">
        <is>
          <t>فلاتر كيميكال لمحطة التحلية</t>
        </is>
      </c>
      <c r="D93" s="196" t="n">
        <v>55</v>
      </c>
      <c r="E93" s="197" t="inlineStr">
        <is>
          <t>أبو اسحاق</t>
        </is>
      </c>
      <c r="F93" s="194" t="inlineStr"/>
    </row>
    <row r="94" ht="18" customHeight="1" s="67">
      <c r="A94" s="194" t="inlineStr">
        <is>
          <t>2026-04-22</t>
        </is>
      </c>
      <c r="B94" s="195" t="inlineStr"/>
      <c r="C94" s="194" t="inlineStr">
        <is>
          <t>ديزل لمكينة الكهرباء</t>
        </is>
      </c>
      <c r="D94" s="196" t="n">
        <v>20</v>
      </c>
      <c r="E94" s="197" t="inlineStr">
        <is>
          <t>أبو اسحاق</t>
        </is>
      </c>
      <c r="F94" s="194" t="inlineStr"/>
    </row>
    <row r="95" ht="18" customHeight="1" s="67">
      <c r="A95" s="194" t="inlineStr">
        <is>
          <t>2026-04-22</t>
        </is>
      </c>
      <c r="B95" s="195" t="inlineStr">
        <is>
          <t>242</t>
        </is>
      </c>
      <c r="C95" s="194" t="inlineStr">
        <is>
          <t>احواض حجم25سم عدد 2000</t>
        </is>
      </c>
      <c r="D95" s="196" t="n">
        <v>190</v>
      </c>
      <c r="E95" s="197" t="inlineStr">
        <is>
          <t>أبو آدم</t>
        </is>
      </c>
      <c r="F95" s="194" t="inlineStr"/>
    </row>
    <row r="96" ht="18" customHeight="1" s="67">
      <c r="A96" s="194" t="inlineStr">
        <is>
          <t>2026-05-09</t>
        </is>
      </c>
      <c r="B96" s="195" t="inlineStr">
        <is>
          <t>18213</t>
        </is>
      </c>
      <c r="C96" s="194" t="inlineStr">
        <is>
          <t>شراء دريل</t>
        </is>
      </c>
      <c r="D96" s="196" t="n">
        <v>9</v>
      </c>
      <c r="E96" s="197" t="inlineStr">
        <is>
          <t>أبو اسحاق</t>
        </is>
      </c>
      <c r="F96" s="194" t="inlineStr"/>
    </row>
    <row r="97" ht="18" customHeight="1" s="67">
      <c r="A97" s="194" t="inlineStr">
        <is>
          <t>2026-05-25</t>
        </is>
      </c>
      <c r="B97" s="195" t="inlineStr"/>
      <c r="C97" s="194" t="inlineStr">
        <is>
          <t>يزل ماكينه كهرباء</t>
        </is>
      </c>
      <c r="D97" s="196" t="n">
        <v>26</v>
      </c>
      <c r="E97" s="197" t="inlineStr">
        <is>
          <t>أبو اسحاق</t>
        </is>
      </c>
      <c r="F97" s="194" t="inlineStr"/>
    </row>
    <row r="98" ht="18" customHeight="1" s="67">
      <c r="A98" s="194" t="inlineStr">
        <is>
          <t>2026-05-25</t>
        </is>
      </c>
      <c r="B98" s="195" t="inlineStr"/>
      <c r="C98" s="194" t="inlineStr">
        <is>
          <t>راتب عماله مايو 2025</t>
        </is>
      </c>
      <c r="D98" s="196" t="n">
        <v>250</v>
      </c>
      <c r="E98" s="197" t="inlineStr">
        <is>
          <t>أبو آدم</t>
        </is>
      </c>
      <c r="F98" s="194" t="inlineStr"/>
    </row>
    <row r="99" ht="18" customHeight="1" s="67">
      <c r="A99" s="194" t="inlineStr">
        <is>
          <t>2026-05-25</t>
        </is>
      </c>
      <c r="B99" s="195" t="inlineStr"/>
      <c r="C99" s="194" t="inlineStr">
        <is>
          <t>راتب عماله مايو 2025</t>
        </is>
      </c>
      <c r="D99" s="196" t="n">
        <v>250</v>
      </c>
      <c r="E99" s="197" t="inlineStr">
        <is>
          <t>أبو اسحاق</t>
        </is>
      </c>
      <c r="F99" s="194" t="inlineStr"/>
    </row>
    <row r="100" ht="18" customHeight="1" s="67">
      <c r="A100" s="194" t="inlineStr">
        <is>
          <t>2026-06-14</t>
        </is>
      </c>
      <c r="B100" s="195" t="inlineStr"/>
      <c r="C100" s="194" t="inlineStr">
        <is>
          <t>عصايا عدد 2000 احواض معاقات عدد 250</t>
        </is>
      </c>
      <c r="D100" s="196" t="n">
        <v>107.5</v>
      </c>
      <c r="E100" s="197" t="inlineStr">
        <is>
          <t>أبو اسحاق</t>
        </is>
      </c>
      <c r="F100" s="194" t="inlineStr"/>
    </row>
    <row r="101" ht="24" customHeight="1" s="67">
      <c r="A101" s="198" t="inlineStr"/>
      <c r="B101" s="198" t="inlineStr"/>
      <c r="C101" s="199" t="inlineStr">
        <is>
          <t>إجمالي مدفوعات الشركاء</t>
        </is>
      </c>
      <c r="D101" s="200" t="n">
        <v>952.5</v>
      </c>
      <c r="E101" s="198" t="inlineStr"/>
      <c r="F101" s="198" t="inlineStr"/>
    </row>
    <row r="102" ht="22" customHeight="1" s="67">
      <c r="A102" s="201" t="inlineStr"/>
      <c r="B102" s="201" t="inlineStr"/>
      <c r="C102" s="202" t="inlineStr">
        <is>
          <t>دين أبو اسحاق</t>
        </is>
      </c>
      <c r="D102" s="203" t="n">
        <v>512.5</v>
      </c>
      <c r="E102" s="201" t="inlineStr"/>
      <c r="F102" s="201" t="inlineStr"/>
    </row>
    <row r="103" ht="22" customHeight="1" s="67">
      <c r="A103" s="201" t="inlineStr"/>
      <c r="B103" s="201" t="inlineStr"/>
      <c r="C103" s="202" t="inlineStr">
        <is>
          <t>دين أبو آدم</t>
        </is>
      </c>
      <c r="D103" s="203" t="n">
        <v>440</v>
      </c>
      <c r="E103" s="201" t="inlineStr"/>
      <c r="F103" s="201" t="inlineStr"/>
    </row>
  </sheetData>
  <mergeCells count="5">
    <mergeCell ref="A90:F90"/>
    <mergeCell ref="A2:E2"/>
    <mergeCell ref="A1:F1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6"/>
  <sheetViews>
    <sheetView rightToLeft="1" topLeftCell="B1" zoomScaleNormal="100" workbookViewId="0">
      <pane ySplit="3" topLeftCell="A97" activePane="bottomLeft" state="frozen"/>
      <selection pane="bottomLeft" activeCell="M97" sqref="M97"/>
    </sheetView>
  </sheetViews>
  <sheetFormatPr baseColWidth="8" defaultColWidth="8.7109375" defaultRowHeight="15"/>
  <cols>
    <col width="13" customWidth="1" style="67" min="1" max="1"/>
    <col width="14" customWidth="1" style="67" min="2" max="2"/>
    <col width="27.85546875" customWidth="1" style="67" min="3" max="3"/>
    <col width="16" customWidth="1" style="67" min="4" max="6"/>
    <col width="14" customWidth="1" style="67" min="7" max="8"/>
    <col width="22" customWidth="1" style="67" min="9" max="10"/>
    <col width="20" customWidth="1" style="67" min="11" max="11"/>
    <col hidden="1" width="4" customWidth="1" style="67" min="12" max="14"/>
  </cols>
  <sheetData>
    <row r="1" ht="31.5" customHeight="1" s="67">
      <c r="A1" s="145" t="inlineStr">
        <is>
          <t>كشف حساب المزرعة  —  Farm Account Statement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</row>
    <row r="2" ht="24" customHeight="1" s="67">
      <c r="A2" s="146" t="inlineStr">
        <is>
          <t>الرصيد الافتتاحي  /  Opening Balance</t>
        </is>
      </c>
      <c r="B2" s="69" t="n"/>
      <c r="C2" s="69" t="n"/>
      <c r="D2" s="1" t="n">
        <v>0</v>
      </c>
      <c r="E2" s="147" t="inlineStr">
        <is>
          <t>← اكتب الرصيد الافتتاحي هنا</t>
        </is>
      </c>
    </row>
    <row r="3" ht="36" customHeight="1" s="67">
      <c r="A3" s="42" t="inlineStr">
        <is>
          <t>التاريخ
Date</t>
        </is>
      </c>
      <c r="B3" s="42" t="inlineStr">
        <is>
          <t>المرجع
Ref #</t>
        </is>
      </c>
      <c r="C3" s="42" t="inlineStr">
        <is>
          <t>البيان / الوصف
Description</t>
        </is>
      </c>
      <c r="D3" s="42" t="inlineStr">
        <is>
          <t>سحب (مدين)
Debit</t>
        </is>
      </c>
      <c r="E3" s="42" t="inlineStr">
        <is>
          <t>إيداع (دائن)
Credit</t>
        </is>
      </c>
      <c r="F3" s="42" t="inlineStr">
        <is>
          <t>طريقة الدفع
Pay Method</t>
        </is>
      </c>
      <c r="G3" s="42" t="inlineStr">
        <is>
          <t>الدافع / من المحفظة
Paid By</t>
        </is>
      </c>
      <c r="H3" s="42" t="inlineStr">
        <is>
          <t>الحالة
Status</t>
        </is>
      </c>
      <c r="I3" s="42" t="inlineStr">
        <is>
          <t>بند الصرف
Wallet Band</t>
        </is>
      </c>
      <c r="J3" s="42" t="inlineStr">
        <is>
          <t>الرصيد
Balance</t>
        </is>
      </c>
      <c r="K3" s="42" t="inlineStr">
        <is>
          <t>ملاحظات
Notes</t>
        </is>
      </c>
      <c r="L3" s="43" t="inlineStr">
        <is>
          <t># إيداع</t>
        </is>
      </c>
      <c r="M3" s="43" t="inlineStr">
        <is>
          <t># محفظة</t>
        </is>
      </c>
      <c r="N3" s="44" t="inlineStr">
        <is>
          <t># طباعة</t>
        </is>
      </c>
      <c r="O3" s="44" t="inlineStr">
        <is>
          <t># شركاء</t>
        </is>
      </c>
    </row>
    <row r="4" ht="18.75" customHeight="1" s="67">
      <c r="A4" s="45" t="n">
        <v>46117</v>
      </c>
      <c r="B4" s="46" t="inlineStr">
        <is>
          <t>82869</t>
        </is>
      </c>
      <c r="C4" s="47" t="inlineStr">
        <is>
          <t>مبيدات الاتحاد الكويتي للمزارعين(4.500)</t>
        </is>
      </c>
      <c r="D4" s="48" t="n"/>
      <c r="E4" s="49" t="n"/>
      <c r="F4" s="50" t="inlineStr">
        <is>
          <t>نقداً</t>
        </is>
      </c>
      <c r="G4" s="51" t="inlineStr">
        <is>
          <t>المحفظة</t>
        </is>
      </c>
      <c r="H4" s="52" t="inlineStr">
        <is>
          <t>تم الدفع</t>
        </is>
      </c>
      <c r="I4" s="53" t="inlineStr">
        <is>
          <t>مبيدات وأسمدة</t>
        </is>
      </c>
      <c r="J4" s="54">
        <f>IFERROR(IF(AND(D4="",E4="",A4="",B4="",C4=""),"", D2+IF(E4="",0,E4)-IF(OR(G4="أبو اسحاق",G4="أبو آدم",G4="أبو اسحاق ",G4="أبو آدم "),0,IF(D4="",0,D4))),D2)</f>
        <v/>
      </c>
      <c r="K4" s="55" t="n"/>
      <c r="L4">
        <f>IF(E4&gt;0,COUNTIF($E$4:E4,"&gt;0"),"")</f>
        <v/>
      </c>
      <c r="M4">
        <f>IF(AND(D4&gt;0,G4="المحفظة"),COUNTIFS($D$4:D4,"&gt;"&amp;0,$G$4:G4,"المحفظة"),"")</f>
        <v/>
      </c>
      <c r="N4">
        <f>IF(AND(OR('طباعة كشف الحساب'!$C$2="الكل",MONTH(A4)=IFERROR(MATCH('طباعة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الحساب'!$F$2="الكل",YEAR(A4)=IFERROR(VALUE('طباعة كشف الحساب'!$F$2),0)),A4&lt;&gt;""),1,"")</f>
        <v/>
      </c>
      <c r="O4">
        <f>IF(AND(D4&gt;0,F4="أحد الشركاء"),1,"")</f>
        <v/>
      </c>
    </row>
    <row r="5" ht="18.75" customHeight="1" s="67">
      <c r="A5" s="150" t="n">
        <v>46121</v>
      </c>
      <c r="B5" s="57" t="inlineStr">
        <is>
          <t>Inv-001</t>
        </is>
      </c>
      <c r="C5" s="58" t="inlineStr">
        <is>
          <t>بيع عدد١ اناناس</t>
        </is>
      </c>
      <c r="D5" s="59" t="n"/>
      <c r="E5" s="60" t="n">
        <v>5</v>
      </c>
      <c r="F5" s="151" t="inlineStr">
        <is>
          <t>نقداً</t>
        </is>
      </c>
      <c r="G5" s="62" t="n"/>
      <c r="H5" s="63" t="inlineStr">
        <is>
          <t>تم الدفع</t>
        </is>
      </c>
      <c r="I5" s="64" t="n"/>
      <c r="J5" s="65">
        <f>IF(AND(D5="",E5="",A5="",B5="",C5=""),"", IFERROR(IF(J4="",D2,J4),D2)+IF(E5="",0,E5)-IF(OR(G5="أبو اسحاق",G5="أبو آدم",G5="أبو اسحاق ",G5="أبو آدم "),0,IF(D5="",0,D5)))</f>
        <v/>
      </c>
      <c r="K5" s="66" t="n"/>
      <c r="L5">
        <f>IF(E5&gt;0,COUNTIF($E$4:E5,"&gt;0"),"")</f>
        <v/>
      </c>
      <c r="M5">
        <f>IF(AND(D5&gt;0,G5="المحفظة"),COUNTIFS($D$4:D5,"&gt;"&amp;0,$G$4:G5,"المحفظة"),"")</f>
        <v/>
      </c>
      <c r="N5">
        <f>IF(AND(OR('طباعة كشف الحساب'!$C$2="الكل",MONTH(A5)=IFERROR(MATCH('طباعة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الحساب'!$F$2="الكل",YEAR(A5)=IFERROR(VALUE('طباعة كشف الحساب'!$F$2),0)),A5&lt;&gt;""),IFERROR(MAX($N$4:N4),0)+1,"")</f>
        <v/>
      </c>
      <c r="O5">
        <f>IF(AND(D5&gt;0,F5="أحد الشركاء"),COUNTIFS($D$4:D5,"&gt;"&amp;0,$F$4:F5,"أحد الشركاء"),"")</f>
        <v/>
      </c>
    </row>
    <row r="6" ht="18.75" customHeight="1" s="67">
      <c r="A6" s="45" t="n">
        <v>46124</v>
      </c>
      <c r="B6" s="46" t="inlineStr">
        <is>
          <t>242</t>
        </is>
      </c>
      <c r="C6" s="47" t="inlineStr">
        <is>
          <t>احواض حجم 18سم عدد 2000-(90)</t>
        </is>
      </c>
      <c r="D6" s="48" t="n"/>
      <c r="E6" s="49" t="n"/>
      <c r="F6" s="50" t="inlineStr">
        <is>
          <t>نقداً</t>
        </is>
      </c>
      <c r="G6" s="51" t="inlineStr">
        <is>
          <t>المحفظة</t>
        </is>
      </c>
      <c r="H6" s="52" t="inlineStr">
        <is>
          <t>تم الدفع</t>
        </is>
      </c>
      <c r="I6" s="53" t="inlineStr">
        <is>
          <t>مستلزمات زراعية</t>
        </is>
      </c>
      <c r="J6" s="54">
        <f>IF(AND(D6="",E6="",A6="",B6="",C6=""),"", IFERROR(IF(J5="",D2,J5),D2)+IF(E6="",0,E6)-IF(OR(G6="أبو اسحاق",G6="أبو آدم",G6="أبو اسحاق ",G6="أبو آدم "),0,IF(D6="",0,D6)))</f>
        <v/>
      </c>
      <c r="K6" s="55" t="n"/>
      <c r="L6">
        <f>IF(E6&gt;0,COUNTIF($E$4:E6,"&gt;0"),"")</f>
        <v/>
      </c>
      <c r="M6">
        <f>IF(AND(D6&gt;0,G6="المحفظة"),COUNTIFS($D$4:D6,"&gt;"&amp;0,$G$4:G6,"المحفظة"),"")</f>
        <v/>
      </c>
      <c r="N6">
        <f>IF(AND(OR('طباعة كشف الحساب'!$C$2="الكل",MONTH(A6)=IFERROR(MATCH('طباعة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الحساب'!$F$2="الكل",YEAR(A6)=IFERROR(VALUE('طباعة كشف الحساب'!$F$2),0)),A6&lt;&gt;""),IFERROR(MAX($N$4:N5),0)+1,"")</f>
        <v/>
      </c>
      <c r="O6">
        <f>IF(AND(D6&gt;0,F6="أحد الشركاء"),COUNTIFS($D$4:D6,"&gt;"&amp;0,$F$4:F6,"أحد الشركاء"),"")</f>
        <v/>
      </c>
    </row>
    <row r="7" ht="18.75" customHeight="1" s="67">
      <c r="A7" s="150" t="n">
        <v>46131</v>
      </c>
      <c r="B7" s="57" t="n"/>
      <c r="C7" s="58" t="inlineStr">
        <is>
          <t>تبديل كمبرسيور ثلاجة العمال</t>
        </is>
      </c>
      <c r="D7" s="59" t="n">
        <v>45</v>
      </c>
      <c r="E7" s="60" t="n"/>
      <c r="F7" s="151" t="inlineStr">
        <is>
          <t>أحد الشركاء</t>
        </is>
      </c>
      <c r="G7" s="62" t="inlineStr">
        <is>
          <t>أبو اسحاق</t>
        </is>
      </c>
      <c r="H7" s="63" t="inlineStr">
        <is>
          <t>معلق</t>
        </is>
      </c>
      <c r="I7" s="64" t="inlineStr">
        <is>
          <t>صيانة المعدات</t>
        </is>
      </c>
      <c r="J7" s="65">
        <f>IF(AND(D7="",E7="",A7="",B7="",C7=""),"", IFERROR(IF(J6="",D2,J6),D2)+IF(E7="",0,E7)-IF(OR(G7="أبو اسحاق",G7="أبو آدم",G7="أبو اسحاق ",G7="أبو آدم "),0,IF(D7="",0,D7)))</f>
        <v/>
      </c>
      <c r="K7" s="66" t="n"/>
      <c r="L7">
        <f>IF(E7&gt;0,COUNTIF($E$4:E7,"&gt;0"),"")</f>
        <v/>
      </c>
      <c r="M7">
        <f>IF(AND(D7&gt;0,G7="المحفظة"),COUNTIFS($D$4:D7,"&gt;"&amp;0,$G$4:G7,"المحفظة"),"")</f>
        <v/>
      </c>
      <c r="N7">
        <f>IF(AND(OR('طباعة كشف الحساب'!$C$2="الكل",MONTH(A7)=IFERROR(MATCH('طباعة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الحساب'!$F$2="الكل",YEAR(A7)=IFERROR(VALUE('طباعة كشف الحساب'!$F$2),0)),A7&lt;&gt;""),IFERROR(MAX($N$4:N6),0)+1,"")</f>
        <v/>
      </c>
      <c r="O7">
        <f>IF(AND(D7&gt;0,F7="أحد الشركاء"),COUNTIFS($D$4:D7,"&gt;"&amp;0,$F$4:F7,"أحد الشركاء"),"")</f>
        <v/>
      </c>
    </row>
    <row r="8" ht="18.75" customHeight="1" s="67">
      <c r="A8" s="45" t="n">
        <v>46134</v>
      </c>
      <c r="B8" s="46" t="inlineStr">
        <is>
          <t>11300</t>
        </is>
      </c>
      <c r="C8" s="47" t="inlineStr">
        <is>
          <t>فلاتر كيميكال لمحطة التحلية</t>
        </is>
      </c>
      <c r="D8" s="48" t="n">
        <v>55</v>
      </c>
      <c r="E8" s="49" t="n"/>
      <c r="F8" s="50" t="inlineStr">
        <is>
          <t>أحد الشركاء</t>
        </is>
      </c>
      <c r="G8" s="51" t="inlineStr">
        <is>
          <t>أبو اسحاق</t>
        </is>
      </c>
      <c r="H8" s="52" t="inlineStr">
        <is>
          <t>معلق</t>
        </is>
      </c>
      <c r="I8" s="53" t="inlineStr">
        <is>
          <t>وقود ومحروقات</t>
        </is>
      </c>
      <c r="J8" s="54">
        <f>IF(AND(D8="",E8="",A8="",B8="",C8=""),"", IFERROR(IF(J7="",D2,J7),D2)+IF(E8="",0,E8)-IF(OR(G8="أبو اسحاق",G8="أبو آدم",G8="أبو اسحاق ",G8="أبو آدم "),0,IF(D8="",0,D8)))</f>
        <v/>
      </c>
      <c r="K8" s="55" t="n"/>
      <c r="L8">
        <f>IF(E8&gt;0,COUNTIF($E$4:E8,"&gt;0"),"")</f>
        <v/>
      </c>
      <c r="M8">
        <f>IF(AND(D8&gt;0,G8="المحفظة"),COUNTIFS($D$4:D8,"&gt;"&amp;0,$G$4:G8,"المحفظة"),"")</f>
        <v/>
      </c>
      <c r="N8">
        <f>IF(AND(OR('طباعة كشف الحساب'!$C$2="الكل",MONTH(A8)=IFERROR(MATCH('طباعة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الحساب'!$F$2="الكل",YEAR(A8)=IFERROR(VALUE('طباعة كشف الحساب'!$F$2),0)),A8&lt;&gt;""),IFERROR(MAX($N$4:N7),0)+1,"")</f>
        <v/>
      </c>
      <c r="O8">
        <f>IF(AND(D8&gt;0,F8="أحد الشركاء"),COUNTIFS($D$4:D8,"&gt;"&amp;0,$F$4:F8,"أحد الشركاء"),"")</f>
        <v/>
      </c>
    </row>
    <row r="9" ht="18.75" customHeight="1" s="67">
      <c r="A9" s="150" t="n">
        <v>46134</v>
      </c>
      <c r="B9" s="57" t="n"/>
      <c r="C9" s="58" t="inlineStr">
        <is>
          <t>ديزل لمكينة الكهرباء</t>
        </is>
      </c>
      <c r="D9" s="59" t="n">
        <v>20</v>
      </c>
      <c r="E9" s="60" t="n"/>
      <c r="F9" s="151" t="inlineStr">
        <is>
          <t>أحد الشركاء</t>
        </is>
      </c>
      <c r="G9" s="62" t="inlineStr">
        <is>
          <t>أبو اسحاق</t>
        </is>
      </c>
      <c r="H9" s="63" t="inlineStr">
        <is>
          <t>معلق</t>
        </is>
      </c>
      <c r="I9" s="64" t="inlineStr">
        <is>
          <t>وقود ومحروقات</t>
        </is>
      </c>
      <c r="J9" s="65">
        <f>IF(AND(D9="",E9="",A9="",B9="",C9=""),"", IFERROR(IF(J8="",D2,J8),D2)+IF(E9="",0,E9)-IF(OR(G9="أبو اسحاق",G9="أبو آدم",G9="أبو اسحاق ",G9="أبو آدم "),0,IF(D9="",0,D9)))</f>
        <v/>
      </c>
      <c r="K9" s="66" t="n"/>
      <c r="L9">
        <f>IF(E9&gt;0,COUNTIF($E$4:E9,"&gt;0"),"")</f>
        <v/>
      </c>
      <c r="M9">
        <f>IF(AND(D9&gt;0,G9="المحفظة"),COUNTIFS($D$4:D9,"&gt;"&amp;0,$G$4:G9,"المحفظة"),"")</f>
        <v/>
      </c>
      <c r="N9">
        <f>IF(AND(OR('طباعة كشف الحساب'!$C$2="الكل",MONTH(A9)=IFERROR(MATCH('طباعة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الحساب'!$F$2="الكل",YEAR(A9)=IFERROR(VALUE('طباعة كشف الحساب'!$F$2),0)),A9&lt;&gt;""),IFERROR(MAX($N$4:N8),0)+1,"")</f>
        <v/>
      </c>
      <c r="O9">
        <f>IF(AND(D9&gt;0,F9="أحد الشركاء"),COUNTIFS($D$4:D9,"&gt;"&amp;0,$F$4:F9,"أحد الشركاء"),"")</f>
        <v/>
      </c>
    </row>
    <row r="10" ht="18.75" customHeight="1" s="67">
      <c r="A10" s="45" t="n">
        <v>46134</v>
      </c>
      <c r="B10" s="46" t="inlineStr">
        <is>
          <t>8127</t>
        </is>
      </c>
      <c r="C10" s="47" t="inlineStr">
        <is>
          <t>تاير لعربة الرش</t>
        </is>
      </c>
      <c r="D10" s="48" t="n">
        <v>3</v>
      </c>
      <c r="E10" s="49" t="n"/>
      <c r="F10" s="50" t="inlineStr">
        <is>
          <t>نقداً</t>
        </is>
      </c>
      <c r="G10" s="51" t="inlineStr">
        <is>
          <t>المحفظة</t>
        </is>
      </c>
      <c r="H10" s="52" t="inlineStr">
        <is>
          <t>تم الدفع</t>
        </is>
      </c>
      <c r="I10" s="53" t="inlineStr">
        <is>
          <t>مستلزمات زراعية</t>
        </is>
      </c>
      <c r="J10" s="54">
        <f>IF(AND(D10="",E10="",A10="",B10="",C10=""),"", IFERROR(IF(J9="",D2,J9),D2)+IF(E10="",0,E10)-IF(OR(G10="أبو اسحاق",G10="أبو آدم",G10="أبو اسحاق ",G10="أبو آدم "),0,IF(D10="",0,D10)))</f>
        <v/>
      </c>
      <c r="K10" s="55" t="inlineStr">
        <is>
          <t>تم الصرف</t>
        </is>
      </c>
      <c r="L10">
        <f>IF(E10&gt;0,COUNTIF($E$4:E10,"&gt;0"),"")</f>
        <v/>
      </c>
      <c r="M10">
        <f>IF(AND(D10&gt;0,G10="المحفظة"),COUNTIFS($D$4:D10,"&gt;"&amp;0,$G$4:G10,"المحفظة"),"")</f>
        <v/>
      </c>
      <c r="N10">
        <f>IF(AND(OR('طباعة كشف الحساب'!$C$2="الكل",MONTH(A10)=IFERROR(MATCH('طباعة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الحساب'!$F$2="الكل",YEAR(A10)=IFERROR(VALUE('طباعة كشف الحساب'!$F$2),0)),A10&lt;&gt;""),IFERROR(MAX($N$4:N9),0)+1,"")</f>
        <v/>
      </c>
      <c r="O10">
        <f>IF(AND(D10&gt;0,F10="أحد الشركاء"),COUNTIFS($D$4:D10,"&gt;"&amp;0,$F$4:F10,"أحد الشركاء"),"")</f>
        <v/>
      </c>
    </row>
    <row r="11" ht="18.75" customHeight="1" s="67">
      <c r="A11" s="150" t="n">
        <v>46134</v>
      </c>
      <c r="B11" s="57" t="inlineStr">
        <is>
          <t>242</t>
        </is>
      </c>
      <c r="C11" s="58" t="inlineStr">
        <is>
          <t>احواض حجم25سم عدد 2000</t>
        </is>
      </c>
      <c r="D11" s="59" t="n">
        <v>190</v>
      </c>
      <c r="E11" s="60" t="n"/>
      <c r="F11" s="151" t="inlineStr">
        <is>
          <t>أحد الشركاء</t>
        </is>
      </c>
      <c r="G11" s="62" t="inlineStr">
        <is>
          <t>أبو آدم</t>
        </is>
      </c>
      <c r="H11" s="63" t="inlineStr">
        <is>
          <t>معلق</t>
        </is>
      </c>
      <c r="I11" s="64" t="inlineStr">
        <is>
          <t>أحواض وأدوات</t>
        </is>
      </c>
      <c r="J11" s="65">
        <f>IF(AND(D11="",E11="",A11="",B11="",C11=""),"", IFERROR(IF(J10="",D2,J10),D2)+IF(E11="",0,E11)-IF(OR(G11="أبو اسحاق",G11="أبو آدم",G11="أبو اسحاق ",G11="أبو آدم "),0,IF(D11="",0,D11)))</f>
        <v/>
      </c>
      <c r="K11" s="66" t="n"/>
      <c r="L11">
        <f>IF(E11&gt;0,COUNTIF($E$4:E11,"&gt;0"),"")</f>
        <v/>
      </c>
      <c r="M11">
        <f>IF(AND(D11&gt;0,G11="المحفظة"),COUNTIFS($D$4:D11,"&gt;"&amp;0,$G$4:G11,"المحفظة"),"")</f>
        <v/>
      </c>
      <c r="N11">
        <f>IF(AND(OR('طباعة كشف الحساب'!$C$2="الكل",MONTH(A11)=IFERROR(MATCH('طباعة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الحساب'!$F$2="الكل",YEAR(A11)=IFERROR(VALUE('طباعة كشف الحساب'!$F$2),0)),A11&lt;&gt;""),IFERROR(MAX($N$4:N10),0)+1,"")</f>
        <v/>
      </c>
      <c r="O11">
        <f>IF(AND(D11&gt;0,F11="أحد الشركاء"),COUNTIFS($D$4:D11,"&gt;"&amp;0,$F$4:F11,"أحد الشركاء"),"")</f>
        <v/>
      </c>
    </row>
    <row r="12" ht="18.75" customHeight="1" s="67">
      <c r="A12" s="45" t="n">
        <v>46142</v>
      </c>
      <c r="B12" s="46" t="n"/>
      <c r="C12" s="47" t="inlineStr">
        <is>
          <t>مدخول شهر ابريل</t>
        </is>
      </c>
      <c r="D12" s="48" t="n"/>
      <c r="E12" s="49" t="n">
        <v>40.5</v>
      </c>
      <c r="F12" s="50" t="n"/>
      <c r="G12" s="51" t="n"/>
      <c r="H12" s="52" t="n"/>
      <c r="I12" s="53" t="n"/>
      <c r="J12" s="54">
        <f>IF(AND(D12="",E12="",A12="",B12="",C12=""),"", IFERROR(IF(J11="",D2,J11),D2)+IF(E12="",0,E12)-IF(OR(G12="أبو اسحاق",G12="أبو آدم",G12="أبو اسحاق ",G12="أبو آدم "),0,IF(D12="",0,D12)))</f>
        <v/>
      </c>
      <c r="K12" s="55" t="n"/>
      <c r="L12">
        <f>IF(E12&gt;0,COUNTIF($E$4:E12,"&gt;0"),"")</f>
        <v/>
      </c>
      <c r="M12">
        <f>IF(AND(D12&gt;0,G12="المحفظة"),COUNTIFS($D$4:D12,"&gt;"&amp;0,$G$4:G12,"المحفظة"),"")</f>
        <v/>
      </c>
      <c r="N12">
        <f>IF(AND(OR('طباعة كشف الحساب'!$C$2="الكل",MONTH(A12)=IFERROR(MATCH('طباعة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الحساب'!$F$2="الكل",YEAR(A12)=IFERROR(VALUE('طباعة كشف الحساب'!$F$2),0)),A12&lt;&gt;""),IFERROR(MAX($N$4:N11),0)+1,"")</f>
        <v/>
      </c>
      <c r="O12">
        <f>IF(AND(D12&gt;0,F12="أحد الشركاء"),COUNTIFS($D$4:D12,"&gt;"&amp;0,$F$4:F12,"أحد الشركاء"),"")</f>
        <v/>
      </c>
    </row>
    <row r="13" ht="18.75" customHeight="1" s="67">
      <c r="A13" s="45" t="n">
        <v>46142</v>
      </c>
      <c r="B13" s="57" t="n">
        <v>40505</v>
      </c>
      <c r="C13" s="58" t="inlineStr">
        <is>
          <t>احواض حجم 14سم عدد 2000(40)</t>
        </is>
      </c>
      <c r="D13" s="59" t="n"/>
      <c r="E13" s="60" t="n"/>
      <c r="F13" s="151" t="inlineStr">
        <is>
          <t>نقداً</t>
        </is>
      </c>
      <c r="G13" s="62" t="inlineStr">
        <is>
          <t>المحفظة</t>
        </is>
      </c>
      <c r="H13" s="63" t="inlineStr">
        <is>
          <t>تم الدفع</t>
        </is>
      </c>
      <c r="I13" s="64" t="inlineStr">
        <is>
          <t>أحواض وأدوات</t>
        </is>
      </c>
      <c r="J13" s="65">
        <f>IF(AND(D13="",E13="",A13="",B13="",C13=""),"", IFERROR(IF(J12="",D2,J12),D2)+IF(E13="",0,E13)-IF(OR(G13="أبو اسحاق",G13="أبو آدم",G13="أبو اسحاق ",G13="أبو آدم "),0,IF(D13="",0,D13)))</f>
        <v/>
      </c>
      <c r="K13" s="66" t="n"/>
      <c r="L13">
        <f>IF(E13&gt;0,COUNTIF($E$4:E13,"&gt;0"),"")</f>
        <v/>
      </c>
      <c r="M13">
        <f>IF(AND(D13&gt;0,G13="المحفظة"),COUNTIFS($D$4:D13,"&gt;"&amp;0,$G$4:G13,"المحفظة"),"")</f>
        <v/>
      </c>
      <c r="N13">
        <f>IF(AND(OR('طباعة كشف الحساب'!$C$2="الكل",MONTH(A13)=IFERROR(MATCH('طباعة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الحساب'!$F$2="الكل",YEAR(A13)=IFERROR(VALUE('طباعة كشف الحساب'!$F$2),0)),A13&lt;&gt;""),IFERROR(MAX($N$4:N12),0)+1,"")</f>
        <v/>
      </c>
      <c r="O13">
        <f>IF(AND(D13&gt;0,F13="أحد الشركاء"),COUNTIFS($D$4:D13,"&gt;"&amp;0,$F$4:F13,"أحد الشركاء"),"")</f>
        <v/>
      </c>
    </row>
    <row r="14" ht="18.75" customHeight="1" s="67">
      <c r="A14" s="45" t="n">
        <v>46142</v>
      </c>
      <c r="B14" s="46" t="n">
        <v>5370</v>
      </c>
      <c r="C14" s="47" t="inlineStr">
        <is>
          <t>جبس لتغطيه المحميه(3)</t>
        </is>
      </c>
      <c r="D14" s="48" t="n"/>
      <c r="E14" s="49" t="n"/>
      <c r="F14" s="50" t="inlineStr">
        <is>
          <t>نقداً</t>
        </is>
      </c>
      <c r="G14" s="51" t="inlineStr">
        <is>
          <t>المحفظة</t>
        </is>
      </c>
      <c r="H14" s="52" t="inlineStr">
        <is>
          <t>تم الدفع</t>
        </is>
      </c>
      <c r="I14" s="53" t="inlineStr">
        <is>
          <t>مبيدات وأسمدة</t>
        </is>
      </c>
      <c r="J14" s="54">
        <f>IF(AND(D14="",E14="",A14="",B14="",C14=""),"", IFERROR(IF(J13="",D2,J13),D2)+IF(E14="",0,E14)-IF(OR(G14="أبو اسحاق",G14="أبو آدم",G14="أبو اسحاق ",G14="أبو آدم "),0,IF(D14="",0,D14)))</f>
        <v/>
      </c>
      <c r="K14" s="55" t="n"/>
      <c r="L14">
        <f>IF(E14&gt;0,COUNTIF($E$4:E14,"&gt;0"),"")</f>
        <v/>
      </c>
      <c r="M14">
        <f>IF(AND(D14&gt;0,G14="المحفظة"),COUNTIFS($D$4:D14,"&gt;"&amp;0,$G$4:G14,"المحفظة"),"")</f>
        <v/>
      </c>
      <c r="N14">
        <f>IF(AND(OR('طباعة كشف الحساب'!$C$2="الكل",MONTH(A14)=IFERROR(MATCH('طباعة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الحساب'!$F$2="الكل",YEAR(A14)=IFERROR(VALUE('طباعة كشف الحساب'!$F$2),0)),A14&lt;&gt;""),IFERROR(MAX($N$4:N13),0)+1,"")</f>
        <v/>
      </c>
      <c r="O14">
        <f>IF(AND(D14&gt;0,F14="أحد الشركاء"),COUNTIFS($D$4:D14,"&gt;"&amp;0,$F$4:F14,"أحد الشركاء"),"")</f>
        <v/>
      </c>
    </row>
    <row r="15" ht="18.75" customHeight="1" s="67">
      <c r="A15" s="68" t="n">
        <v>46142</v>
      </c>
      <c r="B15" s="46" t="n"/>
      <c r="C15" s="47" t="inlineStr">
        <is>
          <t>بونص عمالة أبريل(5)</t>
        </is>
      </c>
      <c r="D15" s="48" t="n"/>
      <c r="E15" s="49" t="n"/>
      <c r="F15" s="50" t="inlineStr">
        <is>
          <t>نقداً</t>
        </is>
      </c>
      <c r="G15" s="51" t="inlineStr">
        <is>
          <t>المحفظة</t>
        </is>
      </c>
      <c r="H15" s="52" t="inlineStr">
        <is>
          <t>تم الدفع</t>
        </is>
      </c>
      <c r="I15" s="53" t="inlineStr">
        <is>
          <t>رواتب وعمالة</t>
        </is>
      </c>
      <c r="J15" s="54">
        <f>IF(AND(D15="",E15="",A15="",B15="",C15=""),"", IFERROR(IF(J14="",D3,J14),D3)+IF(E15="",0,E15)-IF(OR(G15="أبو اسحاق",G15="أبو آدم",G15="أبو اسحاق ",G15="أبو آدم "),0,IF(D15="",0,D15)))</f>
        <v/>
      </c>
      <c r="K15" s="55" t="n"/>
      <c r="L15">
        <f>IF(E15&gt;0,COUNTIF($E$4:E15,"&gt;0"),"")</f>
        <v/>
      </c>
      <c r="N15">
        <f>IF(AND(OR('طباعة كشف الحساب'!$C$2="الكل",MONTH(A15)=IFERROR(MATCH('طباعة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الحساب'!$F$2="الكل",YEAR(A15)=IFERROR(VALUE('طباعة كشف الحساب'!$F$2),0)),A15&lt;&gt;""),IFERROR(MAX($N$4:N14),0)+1,"")</f>
        <v/>
      </c>
    </row>
    <row r="16" ht="18.75" customHeight="1" s="67">
      <c r="A16" s="150" t="n">
        <v>46151</v>
      </c>
      <c r="B16" s="57" t="inlineStr">
        <is>
          <t>Inv-013</t>
        </is>
      </c>
      <c r="C16" s="58" t="inlineStr">
        <is>
          <t>فل عدد 21 سعر الحبه .0.750</t>
        </is>
      </c>
      <c r="D16" s="59" t="n"/>
      <c r="E16" s="60" t="n">
        <v>15.75</v>
      </c>
      <c r="F16" s="151" t="inlineStr">
        <is>
          <t>نقداً</t>
        </is>
      </c>
      <c r="G16" s="62" t="n"/>
      <c r="H16" s="63" t="inlineStr">
        <is>
          <t>تم الدفع</t>
        </is>
      </c>
      <c r="I16" s="64" t="n"/>
      <c r="J16" s="65">
        <f>IF(AND(D16="",E16="",A16="",B16="",C16=""),"", IFERROR(IF(J15="",D2,J15),D2)+IF(E16="",0,E16)-IF(OR(G16="أبو اسحاق",G16="أبو آدم",G16="أبو اسحاق ",G16="أبو آدم "),0,IF(D16="",0,D16)))</f>
        <v/>
      </c>
      <c r="K16" s="66" t="n"/>
      <c r="L16">
        <f>IF(E15&gt;0,COUNTIF($E$4:E15,"&gt;0"),"")</f>
        <v/>
      </c>
      <c r="M16">
        <f>IF(AND(D15&gt;0,G15="المحفظة"),COUNTIFS($D$4:D15,"&gt;"&amp;0,$G$4:G15,"المحفظة"),"")</f>
        <v/>
      </c>
      <c r="N16">
        <f>IF(AND(OR('طباعة كشف الحساب'!$C$2="الكل",MONTH(A16)=IFERROR(MATCH('طباعة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الحساب'!$F$2="الكل",YEAR(A16)=IFERROR(VALUE('طباعة كشف الحساب'!$F$2),0)),A16&lt;&gt;""),IFERROR(MAX($N$4:N15),0)+1,"")</f>
        <v/>
      </c>
      <c r="O16">
        <f>IF(AND(D15&gt;0,F15="أحد الشركاء"),COUNTIFS($D$4:D15,"&gt;"&amp;0,$F$4:F15,"أحد الشركاء"),"")</f>
        <v/>
      </c>
    </row>
    <row r="17" ht="18.75" customHeight="1" s="67">
      <c r="A17" s="150" t="n">
        <v>46151</v>
      </c>
      <c r="B17" s="57" t="inlineStr">
        <is>
          <t>Inv-013A</t>
        </is>
      </c>
      <c r="C17" s="47" t="inlineStr">
        <is>
          <t>برازيليا عدد 25 سعر الحبه .500</t>
        </is>
      </c>
      <c r="D17" s="48" t="n"/>
      <c r="E17" s="49" t="n">
        <v>12.5</v>
      </c>
      <c r="F17" s="50" t="inlineStr">
        <is>
          <t>نقداً</t>
        </is>
      </c>
      <c r="G17" s="51" t="inlineStr">
        <is>
          <t>المحفظة</t>
        </is>
      </c>
      <c r="H17" s="52" t="inlineStr">
        <is>
          <t>تم الدفع</t>
        </is>
      </c>
      <c r="I17" s="53" t="n"/>
      <c r="J17" s="54">
        <f>IF(AND(D17="",E17="",A17="",B17="",C17=""),"", IFERROR(IF(J16="",D2,J16),D2)+IF(E17="",0,E17)-IF(OR(G17="أبو اسحاق",G17="أبو آدم",G17="أبو اسحاق ",G17="أبو آدم "),0,IF(D17="",0,D17)))</f>
        <v/>
      </c>
      <c r="K17" s="55" t="n"/>
      <c r="L17">
        <f>IF(E16&gt;0,COUNTIF($E$4:E16,"&gt;0"),"")</f>
        <v/>
      </c>
      <c r="M17">
        <f>IF(AND(D16&gt;0,G16="المحفظة"),COUNTIFS($D$4:D16,"&gt;"&amp;0,$G$4:G16,"المحفظة"),"")</f>
        <v/>
      </c>
      <c r="N17">
        <f>IF(AND(OR('طباعة كشف الحساب'!$C$2="الكل",MONTH(A17)=IFERROR(MATCH('طباعة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الحساب'!$F$2="الكل",YEAR(A17)=IFERROR(VALUE('طباعة كشف الحساب'!$F$2),0)),A17&lt;&gt;""),IFERROR(MAX($N$4:N16),0)+1,"")</f>
        <v/>
      </c>
      <c r="O17">
        <f>IF(AND(D16&gt;0,F16="أحد الشركاء"),COUNTIFS($D$4:D16,"&gt;"&amp;0,$F$4:F16,"أحد الشركاء"),"")</f>
        <v/>
      </c>
    </row>
    <row r="18" ht="18.75" customHeight="1" s="67">
      <c r="A18" s="150" t="n">
        <v>46151</v>
      </c>
      <c r="B18" s="57" t="n">
        <v>18213</v>
      </c>
      <c r="C18" s="58" t="inlineStr">
        <is>
          <t>شراء دريل</t>
        </is>
      </c>
      <c r="D18" s="59" t="n">
        <v>9</v>
      </c>
      <c r="E18" s="60" t="n"/>
      <c r="F18" s="151" t="inlineStr">
        <is>
          <t>أحد الشركاء</t>
        </is>
      </c>
      <c r="G18" s="62" t="inlineStr">
        <is>
          <t>أبو اسحاق</t>
        </is>
      </c>
      <c r="H18" s="63" t="inlineStr">
        <is>
          <t>معلق</t>
        </is>
      </c>
      <c r="I18" s="64" t="inlineStr">
        <is>
          <t>مستلزمات زراعية</t>
        </is>
      </c>
      <c r="J18" s="65">
        <f>IF(AND(D18="",E18="",A18="",B18="",C18=""),"", IFERROR(IF(J17="",D2,J17),D2)+IF(E18="",0,E18)-IF(OR(G18="أبو اسحاق",G18="أبو آدم",G18="أبو اسحاق ",G18="أبو آدم "),0,IF(D18="",0,D18)))</f>
        <v/>
      </c>
      <c r="K18" s="66" t="n"/>
      <c r="L18">
        <f>IF(E17&gt;0,COUNTIF($E$4:E17,"&gt;0"),"")</f>
        <v/>
      </c>
      <c r="M18">
        <f>IF(AND(D17&gt;0,G17="المحفظة"),COUNTIFS($D$4:D17,"&gt;"&amp;0,$G$4:G17,"المحفظة"),"")</f>
        <v/>
      </c>
      <c r="N18">
        <f>IF(AND(OR('طباعة كشف الحساب'!$C$2="الكل",MONTH(A18)=IFERROR(MATCH('طباعة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الحساب'!$F$2="الكل",YEAR(A18)=IFERROR(VALUE('طباعة كشف الحساب'!$F$2),0)),A18&lt;&gt;""),IFERROR(MAX($N$4:N17),0)+1,"")</f>
        <v/>
      </c>
      <c r="O18">
        <f>IF(AND(D17&gt;0,F17="أحد الشركاء"),COUNTIFS($D$4:D17,"&gt;"&amp;0,$F$4:F17,"أحد الشركاء"),"")</f>
        <v/>
      </c>
    </row>
    <row r="19" ht="18.75" customHeight="1" s="67">
      <c r="A19" s="45" t="n">
        <v>46152</v>
      </c>
      <c r="B19" s="46" t="inlineStr">
        <is>
          <t>Inv-016</t>
        </is>
      </c>
      <c r="C19" s="47" t="inlineStr">
        <is>
          <t>ودليه عدد 3 الحبه 0.750</t>
        </is>
      </c>
      <c r="D19" s="48" t="n"/>
      <c r="E19" s="49" t="n">
        <v>2.25</v>
      </c>
      <c r="F19" s="50" t="inlineStr">
        <is>
          <t>نقداً</t>
        </is>
      </c>
      <c r="G19" s="51" t="n"/>
      <c r="H19" s="52" t="n"/>
      <c r="I19" s="53" t="n"/>
      <c r="J19" s="54">
        <f>IF(AND(D19="",E19="",A19="",B19="",C19=""),"", IFERROR(IF(J18="",D2,J18),D2)+IF(E19="",0,E19)-IF(OR(G19="أبو اسحاق",G19="أبو آدم",G19="أبو اسحاق ",G19="أبو آدم "),0,IF(D19="",0,D19)))</f>
        <v/>
      </c>
      <c r="K19" s="55" t="n"/>
      <c r="L19">
        <f>IF(E18&gt;0,COUNTIF($E$4:E18,"&gt;0"),"")</f>
        <v/>
      </c>
      <c r="M19">
        <f>IF(AND(D18&gt;0,G18="المحفظة"),COUNTIFS($D$4:D18,"&gt;"&amp;0,$G$4:G18,"المحفظة"),"")</f>
        <v/>
      </c>
      <c r="N19">
        <f>IF(AND(OR('طباعة كشف الحساب'!$C$2="الكل",MONTH(A19)=IFERROR(MATCH('طباعة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الحساب'!$F$2="الكل",YEAR(A19)=IFERROR(VALUE('طباعة كشف الحساب'!$F$2),0)),A19&lt;&gt;""),IFERROR(MAX($N$4:N18),0)+1,"")</f>
        <v/>
      </c>
      <c r="O19">
        <f>IF(AND(D18&gt;0,F18="أحد الشركاء"),COUNTIFS($D$4:D18,"&gt;"&amp;0,$F$4:F18,"أحد الشركاء"),"")</f>
        <v/>
      </c>
    </row>
    <row r="20" ht="18.75" customHeight="1" s="67">
      <c r="A20" s="150" t="n">
        <v>46155</v>
      </c>
      <c r="B20" s="57" t="inlineStr">
        <is>
          <t>Inv-017</t>
        </is>
      </c>
      <c r="C20" s="58" t="inlineStr">
        <is>
          <t>فل عدد 10 الحبه 0.750</t>
        </is>
      </c>
      <c r="D20" s="59" t="n"/>
      <c r="E20" s="60" t="n">
        <v>7.5</v>
      </c>
      <c r="F20" s="151" t="inlineStr">
        <is>
          <t>نقداً</t>
        </is>
      </c>
      <c r="G20" s="62" t="n"/>
      <c r="H20" s="63" t="n"/>
      <c r="I20" s="64" t="n"/>
      <c r="J20" s="65">
        <f>IF(AND(D20="",E20="",A20="",B20="",C20=""),"", IFERROR(IF(J19="",D2,J19),D2)+IF(E20="",0,E20)-IF(OR(G20="أبو اسحاق",G20="أبو آدم",G20="أبو اسحاق ",G20="أبو آدم "),0,IF(D20="",0,D20)))</f>
        <v/>
      </c>
      <c r="K20" s="66" t="n"/>
      <c r="L20">
        <f>IF(E19&gt;0,COUNTIF($E$4:E19,"&gt;0"),"")</f>
        <v/>
      </c>
      <c r="M20">
        <f>IF(AND(D19&gt;0,G19="المحفظة"),COUNTIFS($D$4:D19,"&gt;"&amp;0,$G$4:G19,"المحفظة"),"")</f>
        <v/>
      </c>
      <c r="N20">
        <f>IF(AND(OR('طباعة كشف الحساب'!$C$2="الكل",MONTH(A20)=IFERROR(MATCH('طباعة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الحساب'!$F$2="الكل",YEAR(A20)=IFERROR(VALUE('طباعة كشف الحساب'!$F$2),0)),A20&lt;&gt;""),IFERROR(MAX($N$4:N19),0)+1,"")</f>
        <v/>
      </c>
      <c r="O20">
        <f>IF(AND(D19&gt;0,F19="أحد الشركاء"),COUNTIFS($D$4:D19,"&gt;"&amp;0,$F$4:F19,"أحد الشركاء"),"")</f>
        <v/>
      </c>
    </row>
    <row r="21" ht="18.75" customHeight="1" s="67">
      <c r="A21" s="150" t="n">
        <v>46156</v>
      </c>
      <c r="B21" s="46" t="inlineStr">
        <is>
          <t>Inv-18A</t>
        </is>
      </c>
      <c r="C21" s="47" t="inlineStr">
        <is>
          <t>ربل 4 حبات الحبه 1.500</t>
        </is>
      </c>
      <c r="D21" s="48" t="n"/>
      <c r="E21" s="49" t="n">
        <v>6</v>
      </c>
      <c r="F21" s="50" t="inlineStr">
        <is>
          <t>نقداً</t>
        </is>
      </c>
      <c r="G21" s="51" t="n"/>
      <c r="H21" s="52" t="n"/>
      <c r="I21" s="53" t="n"/>
      <c r="J21" s="54">
        <f>IF(AND(D21="",E21="",A21="",B21="",C21=""),"", IFERROR(IF(J20="",D2,J20),D2)+IF(E21="",0,E21)-IF(OR(G21="أبو اسحاق",G21="أبو آدم",G21="أبو اسحاق ",G21="أبو آدم "),0,IF(D21="",0,D21)))</f>
        <v/>
      </c>
      <c r="K21" s="55" t="n"/>
      <c r="L21">
        <f>IF(E20&gt;0,COUNTIF($E$4:E20,"&gt;0"),"")</f>
        <v/>
      </c>
      <c r="M21">
        <f>IF(AND(D20&gt;0,G20="المحفظة"),COUNTIFS($D$4:D20,"&gt;"&amp;0,$G$4:G20,"المحفظة"),"")</f>
        <v/>
      </c>
      <c r="N21">
        <f>IF(AND(OR('طباعة كشف الحساب'!$C$2="الكل",MONTH(A21)=IFERROR(MATCH('طباعة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الحساب'!$F$2="الكل",YEAR(A21)=IFERROR(VALUE('طباعة كشف الحساب'!$F$2),0)),A21&lt;&gt;""),IFERROR(MAX($N$4:N20),0)+1,"")</f>
        <v/>
      </c>
      <c r="O21">
        <f>IF(AND(D20&gt;0,F20="أحد الشركاء"),COUNTIFS($D$4:D20,"&gt;"&amp;0,$F$4:F20,"أحد الشركاء"),"")</f>
        <v/>
      </c>
    </row>
    <row r="22" ht="18.75" customHeight="1" s="67">
      <c r="A22" s="150" t="n">
        <v>46156</v>
      </c>
      <c r="B22" s="57" t="inlineStr">
        <is>
          <t>Inv-18</t>
        </is>
      </c>
      <c r="C22" s="58" t="inlineStr">
        <is>
          <t>ودليه 8 حبات الحبه 1</t>
        </is>
      </c>
      <c r="D22" s="59" t="n"/>
      <c r="E22" s="60" t="n">
        <v>8</v>
      </c>
      <c r="F22" s="151" t="inlineStr">
        <is>
          <t>نقداً</t>
        </is>
      </c>
      <c r="G22" s="62" t="n"/>
      <c r="H22" s="63" t="n"/>
      <c r="I22" s="64" t="n"/>
      <c r="J22" s="65">
        <f>IF(AND(D22="",E22="",A22="",B22="",C22=""),"", IFERROR(IF(J21="",D2,J21),D2)+IF(E22="",0,E22)-IF(OR(G22="أبو اسحاق",G22="أبو آدم",G22="أبو اسحاق ",G22="أبو آدم "),0,IF(D22="",0,D22)))</f>
        <v/>
      </c>
      <c r="K22" s="66" t="n"/>
      <c r="L22">
        <f>IF(E21&gt;0,COUNTIF($E$4:E21,"&gt;0"),"")</f>
        <v/>
      </c>
      <c r="M22">
        <f>IF(AND(D21&gt;0,G21="المحفظة"),COUNTIFS($D$4:D21,"&gt;"&amp;0,$G$4:G21,"المحفظة"),"")</f>
        <v/>
      </c>
      <c r="N22">
        <f>IF(AND(OR('طباعة كشف الحساب'!$C$2="الكل",MONTH(A22)=IFERROR(MATCH('طباعة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الحساب'!$F$2="الكل",YEAR(A22)=IFERROR(VALUE('طباعة كشف الحساب'!$F$2),0)),A22&lt;&gt;""),IFERROR(MAX($N$4:N21),0)+1,"")</f>
        <v/>
      </c>
      <c r="O22">
        <f>IF(AND(D21&gt;0,F21="أحد الشركاء"),COUNTIFS($D$4:D21,"&gt;"&amp;0,$F$4:F21,"أحد الشركاء"),"")</f>
        <v/>
      </c>
    </row>
    <row r="23" ht="18.75" customHeight="1" s="67">
      <c r="A23" s="45" t="n">
        <v>46158</v>
      </c>
      <c r="B23" s="46" t="inlineStr">
        <is>
          <t>Inv-19</t>
        </is>
      </c>
      <c r="C23" s="47" t="inlineStr">
        <is>
          <t>فل عدد 2 الحبه 0.750</t>
        </is>
      </c>
      <c r="D23" s="48" t="n"/>
      <c r="E23" s="49" t="n">
        <v>1.5</v>
      </c>
      <c r="F23" s="50" t="inlineStr">
        <is>
          <t>نقداً</t>
        </is>
      </c>
      <c r="G23" s="51" t="n"/>
      <c r="H23" s="52" t="n"/>
      <c r="I23" s="53" t="n"/>
      <c r="J23" s="54">
        <f>IF(AND(D23="",E23="",A23="",B23="",C23=""),"", IFERROR(IF(J22="",D2,J22),D2)+IF(E23="",0,E23)-IF(OR(G23="أبو اسحاق",G23="أبو آدم",G23="أبو اسحاق ",G23="أبو آدم "),0,IF(D23="",0,D23)))</f>
        <v/>
      </c>
      <c r="K23" s="55" t="n"/>
      <c r="L23">
        <f>IF(E22&gt;0,COUNTIF($E$4:E22,"&gt;0"),"")</f>
        <v/>
      </c>
      <c r="M23">
        <f>IF(AND(D22&gt;0,G22="المحفظة"),COUNTIFS($D$4:D22,"&gt;"&amp;0,$G$4:G22,"المحفظة"),"")</f>
        <v/>
      </c>
      <c r="N23">
        <f>IF(AND(OR('طباعة كشف الحساب'!$C$2="الكل",MONTH(A23)=IFERROR(MATCH('طباعة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الحساب'!$F$2="الكل",YEAR(A23)=IFERROR(VALUE('طباعة كشف الحساب'!$F$2),0)),A23&lt;&gt;""),IFERROR(MAX($N$4:N22),0)+1,"")</f>
        <v/>
      </c>
      <c r="O23">
        <f>IF(AND(D22&gt;0,F22="أحد الشركاء"),COUNTIFS($D$4:D22,"&gt;"&amp;0,$F$4:F22,"أحد الشركاء"),"")</f>
        <v/>
      </c>
    </row>
    <row r="24" ht="18.75" customHeight="1" s="67">
      <c r="A24" s="45" t="n">
        <v>46158</v>
      </c>
      <c r="B24" s="57" t="inlineStr">
        <is>
          <t>Inv-20</t>
        </is>
      </c>
      <c r="C24" s="58" t="inlineStr">
        <is>
          <t>صبار اوليفيرا عدد 3 الحبه 0.750</t>
        </is>
      </c>
      <c r="D24" s="59" t="n"/>
      <c r="E24" s="60" t="n">
        <v>2.25</v>
      </c>
      <c r="F24" s="151" t="inlineStr">
        <is>
          <t>نقداً</t>
        </is>
      </c>
      <c r="G24" s="62" t="n"/>
      <c r="H24" s="63" t="n"/>
      <c r="I24" s="64" t="n"/>
      <c r="J24" s="65">
        <f>IF(AND(D24="",E24="",A24="",B24="",C24=""),"", IFERROR(IF(J23="",D2,J23),D2)+IF(E24="",0,E24)-IF(OR(G24="أبو اسحاق",G24="أبو آدم",G24="أبو اسحاق ",G24="أبو آدم "),0,IF(D24="",0,D24)))</f>
        <v/>
      </c>
      <c r="K24" s="66" t="n"/>
      <c r="L24">
        <f>IF(E23&gt;0,COUNTIF($E$4:E23,"&gt;0"),"")</f>
        <v/>
      </c>
      <c r="M24">
        <f>IF(AND(D23&gt;0,G23="المحفظة"),COUNTIFS($D$4:D23,"&gt;"&amp;0,$G$4:G23,"المحفظة"),"")</f>
        <v/>
      </c>
      <c r="N24">
        <f>IF(AND(OR('طباعة كشف الحساب'!$C$2="الكل",MONTH(A24)=IFERROR(MATCH('طباعة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الحساب'!$F$2="الكل",YEAR(A24)=IFERROR(VALUE('طباعة كشف الحساب'!$F$2),0)),A24&lt;&gt;""),IFERROR(MAX($N$4:N23),0)+1,"")</f>
        <v/>
      </c>
      <c r="O24">
        <f>IF(AND(D23&gt;0,F23="أحد الشركاء"),COUNTIFS($D$4:D23,"&gt;"&amp;0,$F$4:F23,"أحد الشركاء"),"")</f>
        <v/>
      </c>
    </row>
    <row r="25" ht="18.75" customHeight="1" s="67">
      <c r="A25" s="45" t="n">
        <v>46158</v>
      </c>
      <c r="B25" s="46" t="inlineStr">
        <is>
          <t>Inv-21</t>
        </is>
      </c>
      <c r="C25" s="47" t="inlineStr">
        <is>
          <t>دارسينا عدد 1 الحبه 2.500</t>
        </is>
      </c>
      <c r="D25" s="48" t="n"/>
      <c r="E25" s="49" t="n">
        <v>2.5</v>
      </c>
      <c r="F25" s="50" t="inlineStr">
        <is>
          <t>نقداً</t>
        </is>
      </c>
      <c r="G25" s="51" t="n"/>
      <c r="H25" s="52" t="n"/>
      <c r="I25" s="53" t="n"/>
      <c r="J25" s="54">
        <f>IF(AND(D25="",E25="",A25="",B25="",C25=""),"", IFERROR(IF(J24="",D2,J24),D2)+IF(E25="",0,E25)-IF(OR(G25="أبو اسحاق",G25="أبو آدم",G25="أبو اسحاق ",G25="أبو آدم "),0,IF(D25="",0,D25)))</f>
        <v/>
      </c>
      <c r="K25" s="55" t="n"/>
      <c r="L25">
        <f>IF(E24&gt;0,COUNTIF($E$4:E24,"&gt;0"),"")</f>
        <v/>
      </c>
      <c r="M25">
        <f>IF(AND(D24&gt;0,G24="المحفظة"),COUNTIFS($D$4:D24,"&gt;"&amp;0,$G$4:G24,"المحفظة"),"")</f>
        <v/>
      </c>
      <c r="N25">
        <f>IF(AND(OR('طباعة كشف الحساب'!$C$2="الكل",MONTH(A25)=IFERROR(MATCH('طباعة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الحساب'!$F$2="الكل",YEAR(A25)=IFERROR(VALUE('طباعة كشف الحساب'!$F$2),0)),A25&lt;&gt;""),IFERROR(MAX($N$4:N24),0)+1,"")</f>
        <v/>
      </c>
      <c r="O25">
        <f>IF(AND(D24&gt;0,F24="أحد الشركاء"),COUNTIFS($D$4:D24,"&gt;"&amp;0,$F$4:F24,"أحد الشركاء"),"")</f>
        <v/>
      </c>
    </row>
    <row r="26" ht="18.75" customHeight="1" s="67">
      <c r="A26" s="150" t="n">
        <v>46159</v>
      </c>
      <c r="B26" s="57" t="inlineStr">
        <is>
          <t>Inv-22</t>
        </is>
      </c>
      <c r="C26" s="58" t="inlineStr">
        <is>
          <t>فل عدد 30 الحبه 0.750</t>
        </is>
      </c>
      <c r="D26" s="59" t="n"/>
      <c r="E26" s="60" t="n">
        <v>22.5</v>
      </c>
      <c r="F26" s="151" t="inlineStr">
        <is>
          <t>نقداً</t>
        </is>
      </c>
      <c r="G26" s="62" t="n"/>
      <c r="H26" s="63" t="n"/>
      <c r="I26" s="64" t="n"/>
      <c r="J26" s="65">
        <f>IF(AND(D26="",E26="",A26="",B26="",C26=""),"", IFERROR(IF(J25="",D2,J25),D2)+IF(E26="",0,E26)-IF(OR(G26="أبو اسحاق",G26="أبو آدم",G26="أبو اسحاق ",G26="أبو آدم "),0,IF(D26="",0,D26)))</f>
        <v/>
      </c>
      <c r="K26" s="66" t="inlineStr">
        <is>
          <t>تم إعطاء 1 حبه هديه الإجمالي 31 حبه</t>
        </is>
      </c>
      <c r="L26">
        <f>IF(E25&gt;0,COUNTIF($E$4:E25,"&gt;0"),"")</f>
        <v/>
      </c>
      <c r="M26">
        <f>IF(AND(D25&gt;0,G25="المحفظة"),COUNTIFS($D$4:D25,"&gt;"&amp;0,$G$4:G25,"المحفظة"),"")</f>
        <v/>
      </c>
      <c r="N26">
        <f>IF(AND(OR('طباعة كشف الحساب'!$C$2="الكل",MONTH(A26)=IFERROR(MATCH('طباعة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الحساب'!$F$2="الكل",YEAR(A26)=IFERROR(VALUE('طباعة كشف الحساب'!$F$2),0)),A26&lt;&gt;""),IFERROR(MAX($N$4:N25),0)+1,"")</f>
        <v/>
      </c>
      <c r="O26">
        <f>IF(AND(D25&gt;0,F25="أحد الشركاء"),COUNTIFS($D$4:D25,"&gt;"&amp;0,$F$4:F25,"أحد الشركاء"),"")</f>
        <v/>
      </c>
    </row>
    <row r="27" ht="18.75" customHeight="1" s="67">
      <c r="A27" s="150" t="n">
        <v>46159</v>
      </c>
      <c r="B27" s="46" t="inlineStr">
        <is>
          <t>Inv-23</t>
        </is>
      </c>
      <c r="C27" s="47" t="inlineStr">
        <is>
          <t>برازيليا عدد 16 الحبه 0.500</t>
        </is>
      </c>
      <c r="D27" s="48" t="n"/>
      <c r="E27" s="49" t="n">
        <v>8</v>
      </c>
      <c r="F27" s="50" t="inlineStr">
        <is>
          <t>نقداً</t>
        </is>
      </c>
      <c r="G27" s="51" t="n"/>
      <c r="H27" s="52" t="n"/>
      <c r="I27" s="53" t="n"/>
      <c r="J27" s="54">
        <f>IF(AND(D27="",E27="",A27="",B27="",C27=""),"", IFERROR(IF(J26="",D2,J26),D2)+IF(E27="",0,E27)-IF(OR(G27="أبو اسحاق",G27="أبو آدم",G27="أبو اسحاق ",G27="أبو آدم "),0,IF(D27="",0,D27)))</f>
        <v/>
      </c>
      <c r="K27" s="55" t="n"/>
      <c r="L27">
        <f>IF(E26&gt;0,COUNTIF($E$4:E26,"&gt;0"),"")</f>
        <v/>
      </c>
      <c r="M27">
        <f>IF(AND(D26&gt;0,G26="المحفظة"),COUNTIFS($D$4:D26,"&gt;"&amp;0,$G$4:G26,"المحفظة"),"")</f>
        <v/>
      </c>
      <c r="N27">
        <f>IF(AND(OR('طباعة كشف الحساب'!$C$2="الكل",MONTH(A27)=IFERROR(MATCH('طباعة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الحساب'!$F$2="الكل",YEAR(A27)=IFERROR(VALUE('طباعة كشف الحساب'!$F$2),0)),A27&lt;&gt;""),IFERROR(MAX($N$4:N26),0)+1,"")</f>
        <v/>
      </c>
      <c r="O27">
        <f>IF(AND(D26&gt;0,F26="أحد الشركاء"),COUNTIFS($D$4:D26,"&gt;"&amp;0,$F$4:F26,"أحد الشركاء"),"")</f>
        <v/>
      </c>
    </row>
    <row r="28" ht="18.75" customHeight="1" s="67">
      <c r="A28" s="150" t="n">
        <v>46160</v>
      </c>
      <c r="B28" s="46" t="inlineStr">
        <is>
          <t>Inv-24</t>
        </is>
      </c>
      <c r="C28" s="47" t="inlineStr">
        <is>
          <t>فل عدد10 الحبه 0.750</t>
        </is>
      </c>
      <c r="D28" s="48" t="n"/>
      <c r="E28" s="49" t="n">
        <v>7.5</v>
      </c>
      <c r="F28" s="50" t="inlineStr">
        <is>
          <t>نقداً</t>
        </is>
      </c>
      <c r="G28" s="51" t="n"/>
      <c r="H28" s="52" t="n"/>
      <c r="I28" s="53" t="n"/>
      <c r="J28" s="54">
        <f>IF(AND(D28="",E28="",A28="",B28="",C28=""),"", IFERROR(IF(J27="",D2,J27),D2)+IF(E28="",0,E28)-IF(OR(G28="أبو اسحاق",G28="أبو آدم",G28="أبو اسحاق ",G28="أبو آدم "),0,IF(D28="",0,D28)))</f>
        <v/>
      </c>
      <c r="K28" s="55" t="n"/>
      <c r="L28">
        <f>IF(E27&gt;0,COUNTIF($E$4:E27,"&gt;0"),"")</f>
        <v/>
      </c>
      <c r="M28">
        <f>IF(AND(D27&gt;0,G27="المحفظة"),COUNTIFS($D$4:D27,"&gt;"&amp;0,$G$4:G27,"المحفظة"),"")</f>
        <v/>
      </c>
      <c r="N28">
        <f>IF(AND(OR('طباعة كشف الحساب'!$C$2="الكل",MONTH(A28)=IFERROR(MATCH('طباعة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الحساب'!$F$2="الكل",YEAR(A28)=IFERROR(VALUE('طباعة كشف الحساب'!$F$2),0)),A28&lt;&gt;""),IFERROR(MAX($N$4:N27),0)+1,"")</f>
        <v/>
      </c>
      <c r="O28">
        <f>IF(AND(D27&gt;0,F27="أحد الشركاء"),COUNTIFS($D$4:D27,"&gt;"&amp;0,$F$4:F27,"أحد الشركاء"),"")</f>
        <v/>
      </c>
    </row>
    <row r="29" ht="18.75" customHeight="1" s="67">
      <c r="A29" s="150" t="n">
        <v>46160</v>
      </c>
      <c r="B29" s="46" t="inlineStr">
        <is>
          <t>Inv-25</t>
        </is>
      </c>
      <c r="C29" s="47" t="inlineStr">
        <is>
          <t>دارسيناحمراء عدد 1</t>
        </is>
      </c>
      <c r="D29" s="48" t="n"/>
      <c r="E29" s="49" t="n">
        <v>5</v>
      </c>
      <c r="F29" s="50" t="inlineStr">
        <is>
          <t>نقداً</t>
        </is>
      </c>
      <c r="G29" s="51" t="n"/>
      <c r="H29" s="52" t="n"/>
      <c r="I29" s="53" t="n"/>
      <c r="J29" s="54">
        <f>IF(AND(D29="",E29="",A29="",B29="",C29=""),"", IFERROR(IF(J28="",D2,J28),D2)+IF(E29="",0,E29)-IF(OR(G29="أبو اسحاق",G29="أبو آدم",G29="أبو اسحاق ",G29="أبو آدم "),0,IF(D29="",0,D29)))</f>
        <v/>
      </c>
      <c r="K29" s="55" t="n"/>
      <c r="L29">
        <f>IF(E28&gt;0,COUNTIF($E$4:E28,"&gt;0"),"")</f>
        <v/>
      </c>
      <c r="M29">
        <f>IF(AND(D28&gt;0,G28="المحفظة"),COUNTIFS($D$4:D28,"&gt;"&amp;0,$G$4:G28,"المحفظة"),"")</f>
        <v/>
      </c>
      <c r="N29">
        <f>IF(AND(OR('طباعة كشف الحساب'!$C$2="الكل",MONTH(A29)=IFERROR(MATCH('طباعة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الحساب'!$F$2="الكل",YEAR(A29)=IFERROR(VALUE('طباعة كشف الحساب'!$F$2),0)),A29&lt;&gt;""),IFERROR(MAX($N$4:N28),0)+1,"")</f>
        <v/>
      </c>
      <c r="O29">
        <f>IF(AND(D28&gt;0,F28="أحد الشركاء"),COUNTIFS($D$4:D28,"&gt;"&amp;0,$F$4:F28,"أحد الشركاء"),"")</f>
        <v/>
      </c>
    </row>
    <row r="30" ht="18.75" customHeight="1" s="67">
      <c r="A30" s="150" t="n">
        <v>46160</v>
      </c>
      <c r="B30" s="46" t="inlineStr">
        <is>
          <t>Inv-26</t>
        </is>
      </c>
      <c r="C30" s="47" t="inlineStr">
        <is>
          <t>دارسينا خضراء عدد 2 الحبه 1.500</t>
        </is>
      </c>
      <c r="D30" s="48" t="n"/>
      <c r="E30" s="49" t="n">
        <v>3</v>
      </c>
      <c r="F30" s="50" t="inlineStr">
        <is>
          <t>نقداً</t>
        </is>
      </c>
      <c r="G30" s="51" t="n"/>
      <c r="H30" s="52" t="n"/>
      <c r="I30" s="53" t="n"/>
      <c r="J30" s="54">
        <f>IF(AND(D30="",E30="",A30="",B30="",C30=""),"", IFERROR(IF(J29="",D2,J29),D2)+IF(E30="",0,E30)-IF(OR(G30="أبو اسحاق",G30="أبو آدم",G30="أبو اسحاق ",G30="أبو آدم "),0,IF(D30="",0,D30)))</f>
        <v/>
      </c>
      <c r="K30" s="55" t="n"/>
      <c r="L30">
        <f>IF(E29&gt;0,COUNTIF($E$4:E29,"&gt;0"),"")</f>
        <v/>
      </c>
      <c r="M30">
        <f>IF(AND(D29&gt;0,G29="المحفظة"),COUNTIFS($D$4:D29,"&gt;"&amp;0,$G$4:G29,"المحفظة"),"")</f>
        <v/>
      </c>
      <c r="N30">
        <f>IF(AND(OR('طباعة كشف الحساب'!$C$2="الكل",MONTH(A30)=IFERROR(MATCH('طباعة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الحساب'!$F$2="الكل",YEAR(A30)=IFERROR(VALUE('طباعة كشف الحساب'!$F$2),0)),A30&lt;&gt;""),IFERROR(MAX($N$4:N29),0)+1,"")</f>
        <v/>
      </c>
      <c r="O30">
        <f>IF(AND(D29&gt;0,F29="أحد الشركاء"),COUNTIFS($D$4:D29,"&gt;"&amp;0,$F$4:F29,"أحد الشركاء"),"")</f>
        <v/>
      </c>
    </row>
    <row r="31" ht="18.75" customHeight="1" s="67">
      <c r="A31" s="150" t="n">
        <v>46160</v>
      </c>
      <c r="B31" s="46" t="inlineStr">
        <is>
          <t>Inv-27</t>
        </is>
      </c>
      <c r="C31" s="47" t="inlineStr">
        <is>
          <t>ربل عدد 2 الحبه 1.500</t>
        </is>
      </c>
      <c r="D31" s="48" t="n"/>
      <c r="E31" s="49" t="n">
        <v>3</v>
      </c>
      <c r="F31" s="50" t="inlineStr">
        <is>
          <t>نقداً</t>
        </is>
      </c>
      <c r="G31" s="51" t="n"/>
      <c r="H31" s="52" t="n"/>
      <c r="I31" s="53" t="n"/>
      <c r="J31" s="54">
        <f>IF(AND(D31="",E31="",A31="",B31="",C31=""),"", IFERROR(IF(J30="",D2,J30),D2)+IF(E31="",0,E31)-IF(OR(G31="أبو اسحاق",G31="أبو آدم",G31="أبو اسحاق ",G31="أبو آدم "),0,IF(D31="",0,D31)))</f>
        <v/>
      </c>
      <c r="K31" s="55" t="n"/>
      <c r="L31">
        <f>IF(E30&gt;0,COUNTIF($E$4:E30,"&gt;0"),"")</f>
        <v/>
      </c>
      <c r="M31">
        <f>IF(AND(D30&gt;0,G30="المحفظة"),COUNTIFS($D$4:D30,"&gt;"&amp;0,$G$4:G30,"المحفظة"),"")</f>
        <v/>
      </c>
      <c r="N31">
        <f>IF(AND(OR('طباعة كشف الحساب'!$C$2="الكل",MONTH(A31)=IFERROR(MATCH('طباعة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الحساب'!$F$2="الكل",YEAR(A31)=IFERROR(VALUE('طباعة كشف الحساب'!$F$2),0)),A31&lt;&gt;""),IFERROR(MAX($N$4:N30),0)+1,"")</f>
        <v/>
      </c>
      <c r="O31">
        <f>IF(AND(D30&gt;0,F30="أحد الشركاء"),COUNTIFS($D$4:D30,"&gt;"&amp;0,$F$4:F30,"أحد الشركاء"),"")</f>
        <v/>
      </c>
    </row>
    <row r="32" ht="18.75" customHeight="1" s="67">
      <c r="A32" s="150" t="n">
        <v>46160</v>
      </c>
      <c r="B32" s="46" t="inlineStr">
        <is>
          <t>Inv-28</t>
        </is>
      </c>
      <c r="C32" s="47" t="inlineStr">
        <is>
          <t>دارسينا حمراء عدد2 الحبه 2.500</t>
        </is>
      </c>
      <c r="D32" s="48" t="n"/>
      <c r="E32" s="49" t="n">
        <v>5</v>
      </c>
      <c r="F32" s="50" t="inlineStr">
        <is>
          <t>نقداً</t>
        </is>
      </c>
      <c r="G32" s="51" t="n"/>
      <c r="H32" s="52" t="n"/>
      <c r="I32" s="53" t="n"/>
      <c r="J32" s="54">
        <f>IF(AND(D32="",E32="",A32="",B32="",C32=""),"", IFERROR(IF(J31="",D2,J31),D2)+IF(E32="",0,E32)-IF(OR(G32="أبو اسحاق",G32="أبو آدم",G32="أبو اسحاق ",G32="أبو آدم "),0,IF(D32="",0,D32)))</f>
        <v/>
      </c>
      <c r="K32" s="55" t="n"/>
      <c r="L32">
        <f>IF(E31&gt;0,COUNTIF($E$4:E31,"&gt;0"),"")</f>
        <v/>
      </c>
      <c r="M32">
        <f>IF(AND(D31&gt;0,G31="المحفظة"),COUNTIFS($D$4:D31,"&gt;"&amp;0,$G$4:G31,"المحفظة"),"")</f>
        <v/>
      </c>
      <c r="N32">
        <f>IF(AND(OR('طباعة كشف الحساب'!$C$2="الكل",MONTH(A32)=IFERROR(MATCH('طباعة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الحساب'!$F$2="الكل",YEAR(A32)=IFERROR(VALUE('طباعة كشف الحساب'!$F$2),0)),A32&lt;&gt;""),IFERROR(MAX($N$4:N31),0)+1,"")</f>
        <v/>
      </c>
      <c r="O32">
        <f>IF(AND(D31&gt;0,F31="أحد الشركاء"),COUNTIFS($D$4:D31,"&gt;"&amp;0,$F$4:F31,"أحد الشركاء"),"")</f>
        <v/>
      </c>
    </row>
    <row r="33" ht="18.75" customHeight="1" s="67">
      <c r="A33" s="150" t="n">
        <v>46160</v>
      </c>
      <c r="B33" s="46" t="inlineStr">
        <is>
          <t>Inv-29</t>
        </is>
      </c>
      <c r="C33" s="47" t="inlineStr">
        <is>
          <t>برازيليا عدد 10 الحبه 0.500</t>
        </is>
      </c>
      <c r="D33" s="48" t="n"/>
      <c r="E33" s="49" t="n">
        <v>5</v>
      </c>
      <c r="F33" s="50" t="inlineStr">
        <is>
          <t>نقداً</t>
        </is>
      </c>
      <c r="G33" s="51" t="n"/>
      <c r="H33" s="52" t="n"/>
      <c r="I33" s="53" t="n"/>
      <c r="J33" s="54">
        <f>IF(AND(D33="",E33="",A33="",B33="",C33=""),"", IFERROR(IF(J32="",D2,J32),D2)+IF(E33="",0,E33)-IF(OR(G33="أبو اسحاق",G33="أبو آدم",G33="أبو اسحاق ",G33="أبو آدم "),0,IF(D33="",0,D33)))</f>
        <v/>
      </c>
      <c r="K33" s="55" t="n"/>
      <c r="L33">
        <f>IF(E32&gt;0,COUNTIF($E$4:E32,"&gt;0"),"")</f>
        <v/>
      </c>
      <c r="M33">
        <f>IF(AND(D32&gt;0,G32="المحفظة"),COUNTIFS($D$4:D32,"&gt;"&amp;0,$G$4:G32,"المحفظة"),"")</f>
        <v/>
      </c>
      <c r="N33">
        <f>IF(AND(OR('طباعة كشف الحساب'!$C$2="الكل",MONTH(A33)=IFERROR(MATCH('طباعة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الحساب'!$F$2="الكل",YEAR(A33)=IFERROR(VALUE('طباعة كشف الحساب'!$F$2),0)),A33&lt;&gt;""),IFERROR(MAX($N$4:N32),0)+1,"")</f>
        <v/>
      </c>
      <c r="O33">
        <f>IF(AND(D32&gt;0,F32="أحد الشركاء"),COUNTIFS($D$4:D32,"&gt;"&amp;0,$F$4:F32,"أحد الشركاء"),"")</f>
        <v/>
      </c>
    </row>
    <row r="34" ht="18.75" customHeight="1" s="67">
      <c r="A34" s="150" t="n">
        <v>46160</v>
      </c>
      <c r="B34" s="46" t="inlineStr">
        <is>
          <t>85164</t>
        </is>
      </c>
      <c r="C34" s="47" t="inlineStr">
        <is>
          <t>مبيد اسيتبلان عدد 1</t>
        </is>
      </c>
      <c r="D34" s="48" t="n">
        <v>9</v>
      </c>
      <c r="E34" s="49" t="n"/>
      <c r="F34" s="50" t="inlineStr">
        <is>
          <t>نقداً</t>
        </is>
      </c>
      <c r="G34" s="51" t="inlineStr">
        <is>
          <t>المحفظة</t>
        </is>
      </c>
      <c r="H34" s="52" t="inlineStr">
        <is>
          <t>تم الدفع</t>
        </is>
      </c>
      <c r="I34" s="53" t="inlineStr">
        <is>
          <t>مبيدات وأسمدة</t>
        </is>
      </c>
      <c r="J34" s="54">
        <f>IF(AND(D34="",E34="",A34="",B34="",C34=""),"", IFERROR(IF(J33="",D2,J33),D2)+IF(E34="",0,E34)-IF(OR(G34="أبو اسحاق",G34="أبو آدم",G34="أبو اسحاق ",G34="أبو آدم "),0,IF(D34="",0,D34)))</f>
        <v/>
      </c>
      <c r="K34" s="55" t="n"/>
      <c r="L34">
        <f>IF(E33&gt;0,COUNTIF($E$4:E33,"&gt;0"),"")</f>
        <v/>
      </c>
      <c r="M34">
        <f>IF(AND(D33&gt;0,G33="المحفظة"),COUNTIFS($D$4:D33,"&gt;"&amp;0,$G$4:G33,"المحفظة"),"")</f>
        <v/>
      </c>
      <c r="N34">
        <f>IF(AND(OR('طباعة كشف الحساب'!$C$2="الكل",MONTH(A34)=IFERROR(MATCH('طباعة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الحساب'!$F$2="الكل",YEAR(A34)=IFERROR(VALUE('طباعة كشف الحساب'!$F$2),0)),A34&lt;&gt;""),IFERROR(MAX($N$4:N33),0)+1,"")</f>
        <v/>
      </c>
      <c r="O34">
        <f>IF(AND(D33&gt;0,F33="أحد الشركاء"),COUNTIFS($D$4:D33,"&gt;"&amp;0,$F$4:F33,"أحد الشركاء"),"")</f>
        <v/>
      </c>
    </row>
    <row r="35" ht="18.75" customHeight="1" s="67">
      <c r="A35" s="45" t="n">
        <v>46161</v>
      </c>
      <c r="B35" s="46" t="inlineStr">
        <is>
          <t>Inv-30</t>
        </is>
      </c>
      <c r="C35" s="47" t="inlineStr">
        <is>
          <t>فل عدد 30 الحبه 0.750</t>
        </is>
      </c>
      <c r="D35" s="48" t="n"/>
      <c r="E35" s="49" t="n">
        <v>22.5</v>
      </c>
      <c r="F35" s="50" t="inlineStr">
        <is>
          <t>نقداً</t>
        </is>
      </c>
      <c r="G35" s="51" t="n"/>
      <c r="H35" s="52" t="n"/>
      <c r="I35" s="53" t="n"/>
      <c r="J35" s="54">
        <f>IF(AND(D35="",E35="",A35="",B35="",C35=""),"", IFERROR(IF(J34="",D2,J34),D2)+IF(E35="",0,E35)-IF(OR(G35="أبو اسحاق",G35="أبو آدم",G35="أبو اسحاق ",G35="أبو آدم "),0,IF(D35="",0,D35)))</f>
        <v/>
      </c>
      <c r="K35" s="55" t="n"/>
      <c r="L35">
        <f>IF(E34&gt;0,COUNTIF($E$4:E34,"&gt;0"),"")</f>
        <v/>
      </c>
      <c r="M35">
        <f>IF(AND(D34&gt;0,G34="المحفظة"),COUNTIFS($D$4:D34,"&gt;"&amp;0,$G$4:G34,"المحفظة"),"")</f>
        <v/>
      </c>
      <c r="N35">
        <f>IF(AND(OR('طباعة كشف الحساب'!$C$2="الكل",MONTH(A35)=IFERROR(MATCH('طباعة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الحساب'!$F$2="الكل",YEAR(A35)=IFERROR(VALUE('طباعة كشف الحساب'!$F$2),0)),A35&lt;&gt;""),IFERROR(MAX($N$4:N34),0)+1,"")</f>
        <v/>
      </c>
      <c r="O35">
        <f>IF(AND(D34&gt;0,F34="أحد الشركاء"),COUNTIFS($D$4:D34,"&gt;"&amp;0,$F$4:F34,"أحد الشركاء"),"")</f>
        <v/>
      </c>
    </row>
    <row r="36" ht="18.75" customHeight="1" s="67">
      <c r="A36" s="150" t="n">
        <v>46162</v>
      </c>
      <c r="B36" s="57" t="inlineStr">
        <is>
          <t>Inv-31</t>
        </is>
      </c>
      <c r="C36" s="58" t="inlineStr">
        <is>
          <t>فل عدد30 الحبه 0.750</t>
        </is>
      </c>
      <c r="D36" s="59" t="n"/>
      <c r="E36" s="60" t="n">
        <v>22.5</v>
      </c>
      <c r="F36" s="151" t="inlineStr">
        <is>
          <t>نقداً</t>
        </is>
      </c>
      <c r="G36" s="62" t="n"/>
      <c r="H36" s="63" t="n"/>
      <c r="I36" s="64" t="n"/>
      <c r="J36" s="65">
        <f>IF(AND(D36="",E36="",A36="",B36="",C36=""),"", IFERROR(IF(J35="",D2,J35),D2)+IF(E36="",0,E36)-IF(OR(G36="أبو اسحاق",G36="أبو آدم",G36="أبو اسحاق ",G36="أبو آدم "),0,IF(D36="",0,D36)))</f>
        <v/>
      </c>
      <c r="K36" s="66" t="n"/>
      <c r="L36">
        <f>IF(E35&gt;0,COUNTIF($E$4:E35,"&gt;0"),"")</f>
        <v/>
      </c>
      <c r="M36">
        <f>IF(AND(D35&gt;0,G35="المحفظة"),COUNTIFS($D$4:D35,"&gt;"&amp;0,$G$4:G35,"المحفظة"),"")</f>
        <v/>
      </c>
      <c r="N36">
        <f>IF(AND(OR('طباعة كشف الحساب'!$C$2="الكل",MONTH(A36)=IFERROR(MATCH('طباعة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الحساب'!$F$2="الكل",YEAR(A36)=IFERROR(VALUE('طباعة كشف الحساب'!$F$2),0)),A36&lt;&gt;""),IFERROR(MAX($N$4:N35),0)+1,"")</f>
        <v/>
      </c>
      <c r="O36">
        <f>IF(AND(D35&gt;0,F35="أحد الشركاء"),COUNTIFS($D$4:D35,"&gt;"&amp;0,$F$4:F35,"أحد الشركاء"),"")</f>
        <v/>
      </c>
    </row>
    <row r="37" ht="18.75" customHeight="1" s="67">
      <c r="A37" s="150" t="n">
        <v>46162</v>
      </c>
      <c r="B37" s="46" t="inlineStr">
        <is>
          <t>Inv-32</t>
        </is>
      </c>
      <c r="C37" s="47" t="inlineStr">
        <is>
          <t>برازيليا عدد 50 الحبه0.500</t>
        </is>
      </c>
      <c r="D37" s="48" t="n"/>
      <c r="E37" s="49" t="n">
        <v>25</v>
      </c>
      <c r="F37" s="50" t="inlineStr">
        <is>
          <t>نقداً</t>
        </is>
      </c>
      <c r="G37" s="51" t="n"/>
      <c r="H37" s="52" t="n"/>
      <c r="I37" s="53" t="n"/>
      <c r="J37" s="54">
        <f>IF(AND(D37="",E37="",A37="",B37="",C37=""),"", IFERROR(IF(J36="",D2,J36),D2)+IF(E37="",0,E37)-IF(OR(G37="أبو اسحاق",G37="أبو آدم",G37="أبو اسحاق ",G37="أبو آدم "),0,IF(D37="",0,D37)))</f>
        <v/>
      </c>
      <c r="K37" s="55" t="n"/>
      <c r="L37">
        <f>IF(E36&gt;0,COUNTIF($E$4:E36,"&gt;0"),"")</f>
        <v/>
      </c>
      <c r="M37">
        <f>IF(AND(D36&gt;0,G36="المحفظة"),COUNTIFS($D$4:D36,"&gt;"&amp;0,$G$4:G36,"المحفظة"),"")</f>
        <v/>
      </c>
      <c r="N37">
        <f>IF(AND(OR('طباعة كشف الحساب'!$C$2="الكل",MONTH(A37)=IFERROR(MATCH('طباعة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الحساب'!$F$2="الكل",YEAR(A37)=IFERROR(VALUE('طباعة كشف الحساب'!$F$2),0)),A37&lt;&gt;""),IFERROR(MAX($N$4:N36),0)+1,"")</f>
        <v/>
      </c>
      <c r="O37">
        <f>IF(AND(D36&gt;0,F36="أحد الشركاء"),COUNTIFS($D$4:D36,"&gt;"&amp;0,$F$4:F36,"أحد الشركاء"),"")</f>
        <v/>
      </c>
    </row>
    <row r="38" ht="18.75" customHeight="1" s="67">
      <c r="A38" s="150" t="n">
        <v>46163</v>
      </c>
      <c r="B38" s="57" t="inlineStr">
        <is>
          <t>Inv-33</t>
        </is>
      </c>
      <c r="C38" s="58" t="inlineStr">
        <is>
          <t>برازيليا عدد 75 الحبه 0.500</t>
        </is>
      </c>
      <c r="D38" s="59" t="n"/>
      <c r="E38" s="60" t="n">
        <v>37.5</v>
      </c>
      <c r="F38" s="151" t="inlineStr">
        <is>
          <t>نقداً</t>
        </is>
      </c>
      <c r="G38" s="62" t="n"/>
      <c r="H38" s="63" t="n"/>
      <c r="I38" s="64" t="n"/>
      <c r="J38" s="65">
        <f>IF(AND(D38="",E38="",A38="",B38="",C38=""),"", IFERROR(IF(J37="",D2,J37),D2)+IF(E38="",0,E38)-IF(OR(G38="أبو اسحاق",G38="أبو آدم",G38="أبو اسحاق ",G38="أبو آدم "),0,IF(D38="",0,D38)))</f>
        <v/>
      </c>
      <c r="K38" s="66" t="n"/>
      <c r="L38">
        <f>IF(E37&gt;0,COUNTIF($E$4:E37,"&gt;0"),"")</f>
        <v/>
      </c>
      <c r="M38">
        <f>IF(AND(D37&gt;0,G37="المحفظة"),COUNTIFS($D$4:D37,"&gt;"&amp;0,$G$4:G37,"المحفظة"),"")</f>
        <v/>
      </c>
      <c r="N38">
        <f>IF(AND(OR('طباعة كشف الحساب'!$C$2="الكل",MONTH(A38)=IFERROR(MATCH('طباعة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الحساب'!$F$2="الكل",YEAR(A38)=IFERROR(VALUE('طباعة كشف الحساب'!$F$2),0)),A38&lt;&gt;""),IFERROR(MAX($N$4:N37),0)+1,"")</f>
        <v/>
      </c>
      <c r="O38">
        <f>IF(AND(D37&gt;0,F37="أحد الشركاء"),COUNTIFS($D$4:D37,"&gt;"&amp;0,$F$4:F37,"أحد الشركاء"),"")</f>
        <v/>
      </c>
    </row>
    <row r="39" ht="18.75" customHeight="1" s="67">
      <c r="A39" s="45" t="n">
        <v>46163</v>
      </c>
      <c r="B39" s="46" t="inlineStr">
        <is>
          <t>Inv-34</t>
        </is>
      </c>
      <c r="C39" s="47" t="inlineStr">
        <is>
          <t>دارسينيا احمر عدد1 حبه 2.500</t>
        </is>
      </c>
      <c r="D39" s="48" t="n"/>
      <c r="E39" s="49" t="n">
        <v>2.5</v>
      </c>
      <c r="F39" s="50" t="inlineStr">
        <is>
          <t>نقداً</t>
        </is>
      </c>
      <c r="G39" s="51" t="n"/>
      <c r="H39" s="52" t="n"/>
      <c r="I39" s="53" t="n"/>
      <c r="J39" s="54">
        <f>IF(AND(D39="",E39="",A39="",B39="",C39=""),"", IFERROR(IF(J38="",D2,J38),D2)+IF(E39="",0,E39)-IF(OR(G39="أبو اسحاق",G39="أبو آدم",G39="أبو اسحاق ",G39="أبو آدم "),0,IF(D39="",0,D39)))</f>
        <v/>
      </c>
      <c r="K39" s="55" t="n"/>
      <c r="L39">
        <f>IF(E38&gt;0,COUNTIF($E$4:E38,"&gt;0"),"")</f>
        <v/>
      </c>
      <c r="M39">
        <f>IF(AND(D38&gt;0,G38="المحفظة"),COUNTIFS($D$4:D38,"&gt;"&amp;0,$G$4:G38,"المحفظة"),"")</f>
        <v/>
      </c>
      <c r="N39">
        <f>IF(AND(OR('طباعة كشف الحساب'!$C$2="الكل",MONTH(A39)=IFERROR(MATCH('طباعة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الحساب'!$F$2="الكل",YEAR(A39)=IFERROR(VALUE('طباعة كشف الحساب'!$F$2),0)),A39&lt;&gt;""),IFERROR(MAX($N$4:N38),0)+1,"")</f>
        <v/>
      </c>
      <c r="O39">
        <f>IF(AND(D38&gt;0,F38="أحد الشركاء"),COUNTIFS($D$4:D38,"&gt;"&amp;0,$F$4:F38,"أحد الشركاء"),"")</f>
        <v/>
      </c>
    </row>
    <row r="40" ht="18.75" customHeight="1" s="67">
      <c r="A40" s="150" t="n">
        <v>46164</v>
      </c>
      <c r="B40" s="57" t="inlineStr">
        <is>
          <t>Inv-35</t>
        </is>
      </c>
      <c r="C40" s="58" t="inlineStr">
        <is>
          <t>دارسينا حمراء عدد 6 الحبه 2,500</t>
        </is>
      </c>
      <c r="D40" s="59" t="n"/>
      <c r="E40" s="60" t="n">
        <v>15</v>
      </c>
      <c r="F40" s="151" t="inlineStr">
        <is>
          <t>نقداً</t>
        </is>
      </c>
      <c r="G40" s="62" t="n"/>
      <c r="H40" s="63" t="n"/>
      <c r="I40" s="64" t="n"/>
      <c r="J40" s="65">
        <f>IF(AND(D40="",E40="",A40="",B40="",C40=""),"", IFERROR(IF(J39="",D2,J39),D2)+IF(E40="",0,E40)-IF(OR(G40="أبو اسحاق",G40="أبو آدم",G40="أبو اسحاق ",G40="أبو آدم "),0,IF(D40="",0,D40)))</f>
        <v/>
      </c>
      <c r="K40" s="66" t="n"/>
      <c r="L40">
        <f>IF(E39&gt;0,COUNTIF($E$4:E39,"&gt;0"),"")</f>
        <v/>
      </c>
      <c r="M40">
        <f>IF(AND(D39&gt;0,G39="المحفظة"),COUNTIFS($D$4:D39,"&gt;"&amp;0,$G$4:G39,"المحفظة"),"")</f>
        <v/>
      </c>
      <c r="N40">
        <f>IF(AND(OR('طباعة كشف الحساب'!$C$2="الكل",MONTH(A40)=IFERROR(MATCH('طباعة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الحساب'!$F$2="الكل",YEAR(A40)=IFERROR(VALUE('طباعة كشف الحساب'!$F$2),0)),A40&lt;&gt;""),IFERROR(MAX($N$4:N39),0)+1,"")</f>
        <v/>
      </c>
      <c r="O40">
        <f>IF(AND(D39&gt;0,F39="أحد الشركاء"),COUNTIFS($D$4:D39,"&gt;"&amp;0,$F$4:F39,"أحد الشركاء"),"")</f>
        <v/>
      </c>
    </row>
    <row r="41" ht="18.75" customHeight="1" s="67">
      <c r="A41" s="150" t="n">
        <v>46164</v>
      </c>
      <c r="B41" s="46" t="inlineStr">
        <is>
          <t>Inv-36</t>
        </is>
      </c>
      <c r="C41" s="47" t="inlineStr">
        <is>
          <t>ربل عدد4 الحبه 1.500</t>
        </is>
      </c>
      <c r="D41" s="48" t="n"/>
      <c r="E41" s="49" t="n">
        <v>6</v>
      </c>
      <c r="F41" s="50" t="inlineStr">
        <is>
          <t>نقداً</t>
        </is>
      </c>
      <c r="G41" s="51" t="n"/>
      <c r="H41" s="52" t="n"/>
      <c r="I41" s="53" t="n"/>
      <c r="J41" s="54">
        <f>IF(AND(D41="",E41="",A41="",B41="",C41=""),"", IFERROR(IF(J40="",D2,J40),D2)+IF(E41="",0,E41)-IF(OR(G41="أبو اسحاق",G41="أبو آدم",G41="أبو اسحاق ",G41="أبو آدم "),0,IF(D41="",0,D41)))</f>
        <v/>
      </c>
      <c r="K41" s="55" t="n"/>
      <c r="L41">
        <f>IF(E40&gt;0,COUNTIF($E$4:E40,"&gt;0"),"")</f>
        <v/>
      </c>
      <c r="M41">
        <f>IF(AND(D40&gt;0,G40="المحفظة"),COUNTIFS($D$4:D40,"&gt;"&amp;0,$G$4:G40,"المحفظة"),"")</f>
        <v/>
      </c>
      <c r="N41">
        <f>IF(AND(OR('طباعة كشف الحساب'!$C$2="الكل",MONTH(A41)=IFERROR(MATCH('طباعة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الحساب'!$F$2="الكل",YEAR(A41)=IFERROR(VALUE('طباعة كشف الحساب'!$F$2),0)),A41&lt;&gt;""),IFERROR(MAX($N$4:N40),0)+1,"")</f>
        <v/>
      </c>
      <c r="O41">
        <f>IF(AND(D40&gt;0,F40="أحد الشركاء"),COUNTIFS($D$4:D40,"&gt;"&amp;0,$F$4:F40,"أحد الشركاء"),"")</f>
        <v/>
      </c>
    </row>
    <row r="42" ht="18.75" customHeight="1" s="67">
      <c r="A42" s="150" t="n">
        <v>46167</v>
      </c>
      <c r="B42" s="57" t="inlineStr">
        <is>
          <t>Inv-37</t>
        </is>
      </c>
      <c r="C42" s="58" t="inlineStr">
        <is>
          <t>عطره عدد 10 الحبه 0.750</t>
        </is>
      </c>
      <c r="D42" s="59" t="n"/>
      <c r="E42" s="60" t="n">
        <v>7.5</v>
      </c>
      <c r="F42" s="151" t="inlineStr">
        <is>
          <t>نقداً</t>
        </is>
      </c>
      <c r="G42" s="62" t="n"/>
      <c r="H42" s="63" t="n"/>
      <c r="I42" s="64" t="n"/>
      <c r="J42" s="65">
        <f>IF(AND(D42="",E42="",A42="",B42="",C42=""),"", IFERROR(IF(J41="",D2,J41),D2)+IF(E42="",0,E42)-IF(OR(G42="أبو اسحاق",G42="أبو آدم",G42="أبو اسحاق ",G42="أبو آدم "),0,IF(D42="",0,D42)))</f>
        <v/>
      </c>
      <c r="K42" s="66" t="n"/>
      <c r="L42">
        <f>IF(E41&gt;0,COUNTIF($E$4:E41,"&gt;0"),"")</f>
        <v/>
      </c>
      <c r="M42">
        <f>IF(AND(D41&gt;0,G41="المحفظة"),COUNTIFS($D$4:D41,"&gt;"&amp;0,$G$4:G41,"المحفظة"),"")</f>
        <v/>
      </c>
      <c r="N42">
        <f>IF(AND(OR('طباعة كشف الحساب'!$C$2="الكل",MONTH(A42)=IFERROR(MATCH('طباعة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الحساب'!$F$2="الكل",YEAR(A42)=IFERROR(VALUE('طباعة كشف الحساب'!$F$2),0)),A42&lt;&gt;""),IFERROR(MAX($N$4:N41),0)+1,"")</f>
        <v/>
      </c>
      <c r="O42">
        <f>IF(AND(D41&gt;0,F41="أحد الشركاء"),COUNTIFS($D$4:D41,"&gt;"&amp;0,$F$4:F41,"أحد الشركاء"),"")</f>
        <v/>
      </c>
    </row>
    <row r="43" ht="18.75" customHeight="1" s="67">
      <c r="A43" s="150" t="n">
        <v>46167</v>
      </c>
      <c r="B43" s="46" t="inlineStr">
        <is>
          <t>Inv-38</t>
        </is>
      </c>
      <c r="C43" s="47" t="inlineStr">
        <is>
          <t>ودليه عدد 2 الحبه 1</t>
        </is>
      </c>
      <c r="D43" s="48" t="n"/>
      <c r="E43" s="49" t="n">
        <v>2</v>
      </c>
      <c r="F43" s="50" t="inlineStr">
        <is>
          <t>نقداً</t>
        </is>
      </c>
      <c r="G43" s="51" t="n"/>
      <c r="H43" s="52" t="n"/>
      <c r="I43" s="53" t="n"/>
      <c r="J43" s="54">
        <f>IF(AND(D43="",E43="",A43="",B43="",C43=""),"", IFERROR(IF(J42="",D2,J42),D2)+IF(E43="",0,E43)-IF(OR(G43="أبو اسحاق",G43="أبو آدم",G43="أبو اسحاق ",G43="أبو آدم "),0,IF(D43="",0,D43)))</f>
        <v/>
      </c>
      <c r="K43" s="55" t="n"/>
      <c r="L43">
        <f>IF(E42&gt;0,COUNTIF($E$4:E42,"&gt;0"),"")</f>
        <v/>
      </c>
      <c r="M43">
        <f>IF(AND(D42&gt;0,G42="المحفظة"),COUNTIFS($D$4:D42,"&gt;"&amp;0,$G$4:G42,"المحفظة"),"")</f>
        <v/>
      </c>
      <c r="N43">
        <f>IF(AND(OR('طباعة كشف الحساب'!$C$2="الكل",MONTH(A43)=IFERROR(MATCH('طباعة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الحساب'!$F$2="الكل",YEAR(A43)=IFERROR(VALUE('طباعة كشف الحساب'!$F$2),0)),A43&lt;&gt;""),IFERROR(MAX($N$4:N42),0)+1,"")</f>
        <v/>
      </c>
      <c r="O43">
        <f>IF(AND(D42&gt;0,F42="أحد الشركاء"),COUNTIFS($D$4:D42,"&gt;"&amp;0,$F$4:F42,"أحد الشركاء"),"")</f>
        <v/>
      </c>
    </row>
    <row r="44" ht="18.75" customHeight="1" s="67">
      <c r="A44" s="150" t="n">
        <v>46167</v>
      </c>
      <c r="B44" s="57" t="inlineStr">
        <is>
          <t>Inv-39</t>
        </is>
      </c>
      <c r="C44" s="58" t="inlineStr">
        <is>
          <t>داراسينا حمراء عدد4 الحبه 1</t>
        </is>
      </c>
      <c r="D44" s="59" t="n"/>
      <c r="E44" s="60" t="n">
        <v>4</v>
      </c>
      <c r="F44" s="151" t="inlineStr">
        <is>
          <t>نقداً</t>
        </is>
      </c>
      <c r="G44" s="62" t="n"/>
      <c r="H44" s="63" t="n"/>
      <c r="I44" s="64" t="n"/>
      <c r="J44" s="65">
        <f>IF(AND(D44="",E44="",A44="",B44="",C44=""),"", IFERROR(IF(J43="",D2,J43),D2)+IF(E44="",0,E44)-IF(OR(G44="أبو اسحاق",G44="أبو آدم",G44="أبو اسحاق ",G44="أبو آدم "),0,IF(D44="",0,D44)))</f>
        <v/>
      </c>
      <c r="K44" s="66" t="n"/>
      <c r="L44">
        <f>IF(E43&gt;0,COUNTIF($E$4:E43,"&gt;0"),"")</f>
        <v/>
      </c>
      <c r="M44">
        <f>IF(AND(D43&gt;0,G43="المحفظة"),COUNTIFS($D$4:D43,"&gt;"&amp;0,$G$4:G43,"المحفظة"),"")</f>
        <v/>
      </c>
      <c r="N44">
        <f>IF(AND(OR('طباعة كشف الحساب'!$C$2="الكل",MONTH(A44)=IFERROR(MATCH('طباعة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الحساب'!$F$2="الكل",YEAR(A44)=IFERROR(VALUE('طباعة كشف الحساب'!$F$2),0)),A44&lt;&gt;""),IFERROR(MAX($N$4:N43),0)+1,"")</f>
        <v/>
      </c>
      <c r="O44">
        <f>IF(AND(D43&gt;0,F43="أحد الشركاء"),COUNTIFS($D$4:D43,"&gt;"&amp;0,$F$4:F43,"أحد الشركاء"),"")</f>
        <v/>
      </c>
    </row>
    <row r="45" ht="18.75" customHeight="1" s="67">
      <c r="A45" s="150" t="n">
        <v>46167</v>
      </c>
      <c r="B45" s="46" t="n"/>
      <c r="C45" s="47" t="inlineStr">
        <is>
          <t>يزل ماكينه كهرباء</t>
        </is>
      </c>
      <c r="D45" s="48" t="n">
        <v>26</v>
      </c>
      <c r="E45" s="49" t="n"/>
      <c r="F45" s="50" t="inlineStr">
        <is>
          <t>أحد الشركاء</t>
        </is>
      </c>
      <c r="G45" s="51" t="inlineStr">
        <is>
          <t>أبو اسحاق</t>
        </is>
      </c>
      <c r="H45" s="52" t="inlineStr">
        <is>
          <t>معلق</t>
        </is>
      </c>
      <c r="I45" s="53" t="n"/>
      <c r="J45" s="54">
        <f>IF(AND(D45="",E45="",A45="",B45="",C45=""),"", IFERROR(IF(J44="",D2,J44),D2)+IF(E45="",0,E45)-IF(OR(G45="أبو اسحاق",G45="أبو آدم",G45="أبو اسحاق ",G45="أبو آدم "),0,IF(D45="",0,D45)))</f>
        <v/>
      </c>
      <c r="K45" s="55" t="n"/>
      <c r="L45">
        <f>IF(E44&gt;0,COUNTIF($E$4:E44,"&gt;0"),"")</f>
        <v/>
      </c>
      <c r="M45">
        <f>IF(AND(D44&gt;0,G44="المحفظة"),COUNTIFS($D$4:D44,"&gt;"&amp;0,$G$4:G44,"المحفظة"),"")</f>
        <v/>
      </c>
      <c r="N45">
        <f>IF(AND(OR('طباعة كشف الحساب'!$C$2="الكل",MONTH(A45)=IFERROR(MATCH('طباعة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الحساب'!$F$2="الكل",YEAR(A45)=IFERROR(VALUE('طباعة كشف الحساب'!$F$2),0)),A45&lt;&gt;""),IFERROR(MAX($N$4:N44),0)+1,"")</f>
        <v/>
      </c>
      <c r="O45">
        <f>IF(AND(D44&gt;0,F44="أحد الشركاء"),COUNTIFS($D$4:D44,"&gt;"&amp;0,$F$4:F44,"أحد الشركاء"),"")</f>
        <v/>
      </c>
    </row>
    <row r="46" ht="18.75" customHeight="1" s="67">
      <c r="A46" s="150" t="n">
        <v>46167</v>
      </c>
      <c r="B46" s="57" t="n"/>
      <c r="C46" s="58" t="inlineStr">
        <is>
          <t>راتب عماله مايو 2025</t>
        </is>
      </c>
      <c r="D46" s="59" t="n">
        <v>250</v>
      </c>
      <c r="E46" s="60" t="n"/>
      <c r="F46" s="151" t="inlineStr">
        <is>
          <t>أحد الشركاء</t>
        </is>
      </c>
      <c r="G46" s="62" t="inlineStr">
        <is>
          <t>أبو آدم</t>
        </is>
      </c>
      <c r="H46" s="63" t="inlineStr">
        <is>
          <t>معلق</t>
        </is>
      </c>
      <c r="I46" s="64" t="inlineStr">
        <is>
          <t>رواتب العمال</t>
        </is>
      </c>
      <c r="J46" s="65">
        <f>IF(AND(D46="",E46="",A46="",B46="",C46=""),"", IFERROR(IF(J45="",D2,J45),D2)+IF(E46="",0,E46)-IF(OR(G46="أبو اسحاق",G46="أبو آدم",G46="أبو اسحاق ",G46="أبو آدم "),0,IF(D46="",0,D46)))</f>
        <v/>
      </c>
      <c r="K46" s="66" t="n"/>
      <c r="L46">
        <f>IF(E45&gt;0,COUNTIF($E$4:E45,"&gt;0"),"")</f>
        <v/>
      </c>
      <c r="M46">
        <f>IF(AND(D45&gt;0,G45="المحفظة"),COUNTIFS($D$4:D45,"&gt;"&amp;0,$G$4:G45,"المحفظة"),"")</f>
        <v/>
      </c>
      <c r="N46">
        <f>IF(AND(OR('طباعة كشف الحساب'!$C$2="الكل",MONTH(A46)=IFERROR(MATCH('طباعة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الحساب'!$F$2="الكل",YEAR(A46)=IFERROR(VALUE('طباعة كشف الحساب'!$F$2),0)),A46&lt;&gt;""),IFERROR(MAX($N$4:N45),0)+1,"")</f>
        <v/>
      </c>
      <c r="O46">
        <f>IF(AND(D45&gt;0,F45="أحد الشركاء"),COUNTIFS($D$4:D45,"&gt;"&amp;0,$F$4:F45,"أحد الشركاء"),"")</f>
        <v/>
      </c>
    </row>
    <row r="47" ht="18.75" customHeight="1" s="67">
      <c r="A47" s="45" t="n">
        <v>46167</v>
      </c>
      <c r="B47" s="46" t="n"/>
      <c r="C47" s="47" t="inlineStr">
        <is>
          <t>راتب عماله مايو 2025</t>
        </is>
      </c>
      <c r="D47" s="48" t="n">
        <v>250</v>
      </c>
      <c r="E47" s="49" t="n"/>
      <c r="F47" s="50" t="inlineStr">
        <is>
          <t>أحد الشركاء</t>
        </is>
      </c>
      <c r="G47" s="51" t="inlineStr">
        <is>
          <t>أبو اسحاق</t>
        </is>
      </c>
      <c r="H47" s="52" t="inlineStr">
        <is>
          <t>معلق</t>
        </is>
      </c>
      <c r="I47" s="53" t="inlineStr">
        <is>
          <t>رواتب العمال</t>
        </is>
      </c>
      <c r="J47" s="54">
        <f>IF(AND(D47="",E47="",A47="",B47="",C47=""),"", IFERROR(IF(J46="",D2,J46),D2)+IF(E47="",0,E47)-IF(OR(G47="أبو اسحاق",G47="أبو آدم",G47="أبو اسحاق ",G47="أبو آدم "),0,IF(D47="",0,D47)))</f>
        <v/>
      </c>
      <c r="K47" s="55" t="n"/>
      <c r="L47">
        <f>IF(E46&gt;0,COUNTIF($E$4:E46,"&gt;0"),"")</f>
        <v/>
      </c>
      <c r="M47">
        <f>IF(AND(D46&gt;0,G46="المحفظة"),COUNTIFS($D$4:D46,"&gt;"&amp;0,$G$4:G46,"المحفظة"),"")</f>
        <v/>
      </c>
      <c r="N47">
        <f>IF(AND(OR('طباعة كشف الحساب'!$C$2="الكل",MONTH(A47)=IFERROR(MATCH('طباعة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الحساب'!$F$2="الكل",YEAR(A47)=IFERROR(VALUE('طباعة كشف الحساب'!$F$2),0)),A47&lt;&gt;""),IFERROR(MAX($N$4:N46),0)+1,"")</f>
        <v/>
      </c>
      <c r="O47">
        <f>IF(AND(D46&gt;0,F46="أحد الشركاء"),COUNTIFS($D$4:D46,"&gt;"&amp;0,$F$4:F46,"أحد الشركاء"),"")</f>
        <v/>
      </c>
    </row>
    <row r="48" ht="18.75" customHeight="1" s="67">
      <c r="A48" s="150" t="n">
        <v>46146</v>
      </c>
      <c r="B48" s="57" t="inlineStr">
        <is>
          <t>Inv-40</t>
        </is>
      </c>
      <c r="C48" s="58" t="inlineStr">
        <is>
          <t>other</t>
        </is>
      </c>
      <c r="D48" s="59" t="n"/>
      <c r="E48" s="60" t="n">
        <v>9</v>
      </c>
      <c r="F48" s="151" t="inlineStr">
        <is>
          <t>نقداً</t>
        </is>
      </c>
      <c r="G48" s="62" t="n"/>
      <c r="H48" s="63" t="inlineStr">
        <is>
          <t>تم الدفع</t>
        </is>
      </c>
      <c r="I48" s="64" t="n"/>
      <c r="J48" s="65">
        <f>IF(AND(D48="",E48="",A48="",B48="",C48=""),"", IFERROR(IF(J47="",D2,J47),D2)+IF(E48="",0,E48)-IF(OR(G48="أبو اسحاق",G48="أبو آدم",G48="أبو اسحاق ",G48="أبو آدم "),0,IF(D48="",0,D48)))</f>
        <v/>
      </c>
      <c r="K48" s="66" t="n"/>
      <c r="L48">
        <f>IF(E47&gt;0,COUNTIF($E$4:E47,"&gt;0"),"")</f>
        <v/>
      </c>
      <c r="M48">
        <f>IF(AND(D47&gt;0,G47="المحفظة"),COUNTIFS($D$4:D47,"&gt;"&amp;0,$G$4:G47,"المحفظة"),"")</f>
        <v/>
      </c>
      <c r="N48">
        <f>IF(AND(OR('طباعة كشف الحساب'!$C$2="الكل",MONTH(A48)=IFERROR(MATCH('طباعة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الحساب'!$F$2="الكل",YEAR(A48)=IFERROR(VALUE('طباعة كشف الحساب'!$F$2),0)),A48&lt;&gt;""),IFERROR(MAX($N$4:N47),0)+1,"")</f>
        <v/>
      </c>
      <c r="O48">
        <f>IF(AND(D47&gt;0,F47="أحد الشركاء"),COUNTIFS($D$4:D47,"&gt;"&amp;0,$F$4:F47,"أحد الشركاء"),"")</f>
        <v/>
      </c>
    </row>
    <row r="49" ht="18.75" customHeight="1" s="67">
      <c r="A49" s="45" t="n">
        <v>46146</v>
      </c>
      <c r="B49" s="46" t="inlineStr">
        <is>
          <t>Inv-41</t>
        </is>
      </c>
      <c r="C49" s="47" t="inlineStr">
        <is>
          <t>other</t>
        </is>
      </c>
      <c r="D49" s="48" t="n"/>
      <c r="E49" s="49" t="n">
        <v>9</v>
      </c>
      <c r="F49" s="50" t="inlineStr">
        <is>
          <t>نقداً</t>
        </is>
      </c>
      <c r="G49" s="51" t="n"/>
      <c r="H49" s="52" t="inlineStr">
        <is>
          <t>تم الدفع</t>
        </is>
      </c>
      <c r="I49" s="53" t="n"/>
      <c r="J49" s="54">
        <f>IF(AND(D49="",E49="",A49="",B49="",C49=""),"", IFERROR(IF(J48="",D2,J48),D2)+IF(E49="",0,E49)-IF(OR(G49="أبو اسحاق",G49="أبو آدم",G49="أبو اسحاق ",G49="أبو آدم "),0,IF(D49="",0,D49)))</f>
        <v/>
      </c>
      <c r="K49" s="55" t="n"/>
      <c r="L49">
        <f>IF(E48&gt;0,COUNTIF($E$4:E48,"&gt;0"),"")</f>
        <v/>
      </c>
      <c r="M49">
        <f>IF(AND(D48&gt;0,G48="المحفظة"),COUNTIFS($D$4:D48,"&gt;"&amp;0,$G$4:G48,"المحفظة"),"")</f>
        <v/>
      </c>
      <c r="N49">
        <f>IF(AND(OR('طباعة كشف الحساب'!$C$2="الكل",MONTH(A49)=IFERROR(MATCH('طباعة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الحساب'!$F$2="الكل",YEAR(A49)=IFERROR(VALUE('طباعة كشف الحساب'!$F$2),0)),A49&lt;&gt;""),IFERROR(MAX($N$4:N48),0)+1,"")</f>
        <v/>
      </c>
      <c r="O49">
        <f>IF(AND(D48&gt;0,F48="أحد الشركاء"),COUNTIFS($D$4:D48,"&gt;"&amp;0,$F$4:F48,"أحد الشركاء"),"")</f>
        <v/>
      </c>
    </row>
    <row r="50" ht="18.75" customHeight="1" s="67">
      <c r="A50" s="150" t="n">
        <v>46146</v>
      </c>
      <c r="B50" s="57" t="inlineStr">
        <is>
          <t>Inv-42</t>
        </is>
      </c>
      <c r="C50" s="58" t="inlineStr">
        <is>
          <t>other</t>
        </is>
      </c>
      <c r="D50" s="59" t="n"/>
      <c r="E50" s="60" t="n">
        <v>2</v>
      </c>
      <c r="F50" s="151" t="inlineStr">
        <is>
          <t>نقداً</t>
        </is>
      </c>
      <c r="G50" s="62" t="n"/>
      <c r="H50" s="63" t="inlineStr">
        <is>
          <t>تم الدفع</t>
        </is>
      </c>
      <c r="I50" s="64" t="n"/>
      <c r="J50" s="65">
        <f>IF(AND(D50="",E50="",A50="",B50="",C50=""),"", IFERROR(IF(J49="",D2,J49),D2)+IF(E50="",0,E50)-IF(OR(G50="أبو اسحاق",G50="أبو آدم",G50="أبو اسحاق ",G50="أبو آدم "),0,IF(D50="",0,D50)))</f>
        <v/>
      </c>
      <c r="K50" s="66" t="n"/>
      <c r="L50">
        <f>IF(E49&gt;0,COUNTIF($E$4:E49,"&gt;0"),"")</f>
        <v/>
      </c>
      <c r="M50">
        <f>IF(AND(D49&gt;0,G49="المحفظة"),COUNTIFS($D$4:D49,"&gt;"&amp;0,$G$4:G49,"المحفظة"),"")</f>
        <v/>
      </c>
      <c r="N50">
        <f>IF(AND(OR('طباعة كشف الحساب'!$C$2="الكل",MONTH(A50)=IFERROR(MATCH('طباعة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الحساب'!$F$2="الكل",YEAR(A50)=IFERROR(VALUE('طباعة كشف الحساب'!$F$2),0)),A50&lt;&gt;""),IFERROR(MAX($N$4:N49),0)+1,"")</f>
        <v/>
      </c>
      <c r="O50">
        <f>IF(AND(D49&gt;0,F49="أحد الشركاء"),COUNTIFS($D$4:D49,"&gt;"&amp;0,$F$4:F49,"أحد الشركاء"),"")</f>
        <v/>
      </c>
    </row>
    <row r="51" ht="18.75" customHeight="1" s="67">
      <c r="A51" s="45" t="n">
        <v>46147</v>
      </c>
      <c r="B51" s="46" t="inlineStr">
        <is>
          <t>Inv-43</t>
        </is>
      </c>
      <c r="C51" s="47" t="inlineStr">
        <is>
          <t>other</t>
        </is>
      </c>
      <c r="D51" s="48" t="n"/>
      <c r="E51" s="49" t="n">
        <v>3.75</v>
      </c>
      <c r="F51" s="50" t="inlineStr">
        <is>
          <t>نقداً</t>
        </is>
      </c>
      <c r="G51" s="51" t="n"/>
      <c r="H51" s="52" t="inlineStr">
        <is>
          <t>تم الدفع</t>
        </is>
      </c>
      <c r="I51" s="53" t="n"/>
      <c r="J51" s="54">
        <f>IF(AND(D51="",E51="",A51="",B51="",C51=""),"", IFERROR(IF(J50="",D2,J50),D2)+IF(E51="",0,E51)-IF(OR(G51="أبو اسحاق",G51="أبو آدم",G51="أبو اسحاق ",G51="أبو آدم "),0,IF(D51="",0,D51)))</f>
        <v/>
      </c>
      <c r="K51" s="55" t="n"/>
      <c r="L51">
        <f>IF(E50&gt;0,COUNTIF($E$4:E50,"&gt;0"),"")</f>
        <v/>
      </c>
      <c r="M51">
        <f>IF(AND(D50&gt;0,G50="المحفظة"),COUNTIFS($D$4:D50,"&gt;"&amp;0,$G$4:G50,"المحفظة"),"")</f>
        <v/>
      </c>
      <c r="N51">
        <f>IF(AND(OR('طباعة كشف الحساب'!$C$2="الكل",MONTH(A51)=IFERROR(MATCH('طباعة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الحساب'!$F$2="الكل",YEAR(A51)=IFERROR(VALUE('طباعة كشف الحساب'!$F$2),0)),A51&lt;&gt;""),IFERROR(MAX($N$4:N50),0)+1,"")</f>
        <v/>
      </c>
      <c r="O51">
        <f>IF(AND(D50&gt;0,F50="أحد الشركاء"),COUNTIFS($D$4:D50,"&gt;"&amp;0,$F$4:F50,"أحد الشركاء"),"")</f>
        <v/>
      </c>
    </row>
    <row r="52" ht="18.75" customHeight="1" s="67">
      <c r="A52" s="150" t="n">
        <v>46149</v>
      </c>
      <c r="B52" s="57" t="inlineStr">
        <is>
          <t>Inv-44a</t>
        </is>
      </c>
      <c r="C52" s="58" t="inlineStr">
        <is>
          <t>other</t>
        </is>
      </c>
      <c r="D52" s="59" t="n"/>
      <c r="E52" s="60" t="n">
        <v>5</v>
      </c>
      <c r="F52" s="151" t="inlineStr">
        <is>
          <t>نقداً</t>
        </is>
      </c>
      <c r="G52" s="62" t="n"/>
      <c r="H52" s="63" t="inlineStr">
        <is>
          <t>تم الدفع</t>
        </is>
      </c>
      <c r="I52" s="64" t="n"/>
      <c r="J52" s="65">
        <f>IF(AND(D52="",E52="",A52="",B52="",C52=""),"", IFERROR(IF(J51="",D2,J51),D2)+IF(E52="",0,E52)-IF(OR(G52="أبو اسحاق",G52="أبو آدم",G52="أبو اسحاق ",G52="أبو آدم "),0,IF(D52="",0,D52)))</f>
        <v/>
      </c>
      <c r="K52" s="66" t="n"/>
      <c r="L52">
        <f>IF(E51&gt;0,COUNTIF($E$4:E51,"&gt;0"),"")</f>
        <v/>
      </c>
      <c r="M52">
        <f>IF(AND(D51&gt;0,G51="المحفظة"),COUNTIFS($D$4:D51,"&gt;"&amp;0,$G$4:G51,"المحفظة"),"")</f>
        <v/>
      </c>
      <c r="N52">
        <f>IF(AND(OR('طباعة كشف الحساب'!$C$2="الكل",MONTH(A52)=IFERROR(MATCH('طباعة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الحساب'!$F$2="الكل",YEAR(A52)=IFERROR(VALUE('طباعة كشف الحساب'!$F$2),0)),A52&lt;&gt;""),IFERROR(MAX($N$4:N51),0)+1,"")</f>
        <v/>
      </c>
      <c r="O52">
        <f>IF(AND(D51&gt;0,F51="أحد الشركاء"),COUNTIFS($D$4:D51,"&gt;"&amp;0,$F$4:F51,"أحد الشركاء"),"")</f>
        <v/>
      </c>
    </row>
    <row r="53" ht="18.75" customHeight="1" s="67">
      <c r="A53" s="45" t="n">
        <v>46155</v>
      </c>
      <c r="B53" s="46" t="inlineStr">
        <is>
          <t>Inv-44</t>
        </is>
      </c>
      <c r="C53" s="47" t="inlineStr">
        <is>
          <t>other</t>
        </is>
      </c>
      <c r="D53" s="48" t="n"/>
      <c r="E53" s="49" t="n">
        <v>15</v>
      </c>
      <c r="F53" s="50" t="inlineStr">
        <is>
          <t>نقداً</t>
        </is>
      </c>
      <c r="G53" s="51" t="n"/>
      <c r="H53" s="52" t="inlineStr">
        <is>
          <t>تم الدفع</t>
        </is>
      </c>
      <c r="I53" s="53" t="n"/>
      <c r="J53" s="54">
        <f>IF(AND(D53="",E53="",A53="",B53="",C53=""),"", IFERROR(IF(J52="",D2,J52),D2)+IF(E53="",0,E53)-IF(OR(G53="أبو اسحاق",G53="أبو آدم",G53="أبو اسحاق ",G53="أبو آدم "),0,IF(D53="",0,D53)))</f>
        <v/>
      </c>
      <c r="K53" s="55" t="n"/>
      <c r="L53">
        <f>IF(E52&gt;0,COUNTIF($E$4:E52,"&gt;0"),"")</f>
        <v/>
      </c>
      <c r="M53">
        <f>IF(AND(D52&gt;0,G52="المحفظة"),COUNTIFS($D$4:D52,"&gt;"&amp;0,$G$4:G52,"المحفظة"),"")</f>
        <v/>
      </c>
      <c r="N53">
        <f>IF(AND(OR('طباعة كشف الحساب'!$C$2="الكل",MONTH(A53)=IFERROR(MATCH('طباعة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الحساب'!$F$2="الكل",YEAR(A53)=IFERROR(VALUE('طباعة كشف الحساب'!$F$2),0)),A53&lt;&gt;""),IFERROR(MAX($N$4:N52),0)+1,"")</f>
        <v/>
      </c>
      <c r="O53">
        <f>IF(AND(D52&gt;0,F52="أحد الشركاء"),COUNTIFS($D$4:D52,"&gt;"&amp;0,$F$4:F52,"أحد الشركاء"),"")</f>
        <v/>
      </c>
    </row>
    <row r="54" ht="18.75" customHeight="1" s="67">
      <c r="A54" s="150" t="n">
        <v>46155</v>
      </c>
      <c r="B54" s="57" t="inlineStr">
        <is>
          <t>Inv-45</t>
        </is>
      </c>
      <c r="C54" s="58" t="inlineStr">
        <is>
          <t>other</t>
        </is>
      </c>
      <c r="D54" s="59" t="n"/>
      <c r="E54" s="60" t="n">
        <v>4</v>
      </c>
      <c r="F54" s="151" t="inlineStr">
        <is>
          <t>نقداً</t>
        </is>
      </c>
      <c r="G54" s="62" t="n"/>
      <c r="H54" s="63" t="inlineStr">
        <is>
          <t>تم الدفع</t>
        </is>
      </c>
      <c r="I54" s="64" t="n"/>
      <c r="J54" s="65">
        <f>IF(AND(D54="",E54="",A54="",B54="",C54=""),"", IFERROR(IF(J53="",D2,J53),D2)+IF(E54="",0,E54)-IF(OR(G54="أبو اسحاق",G54="أبو آدم",G54="أبو اسحاق ",G54="أبو آدم "),0,IF(D54="",0,D54)))</f>
        <v/>
      </c>
      <c r="K54" s="66" t="n"/>
      <c r="L54">
        <f>IF(E53&gt;0,COUNTIF($E$4:E53,"&gt;0"),"")</f>
        <v/>
      </c>
      <c r="M54">
        <f>IF(AND(D53&gt;0,G53="المحفظة"),COUNTIFS($D$4:D53,"&gt;"&amp;0,$G$4:G53,"المحفظة"),"")</f>
        <v/>
      </c>
      <c r="N54">
        <f>IF(AND(OR('طباعة كشف الحساب'!$C$2="الكل",MONTH(A54)=IFERROR(MATCH('طباعة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الحساب'!$F$2="الكل",YEAR(A54)=IFERROR(VALUE('طباعة كشف الحساب'!$F$2),0)),A54&lt;&gt;""),IFERROR(MAX($N$4:N53),0)+1,"")</f>
        <v/>
      </c>
      <c r="O54">
        <f>IF(AND(D53&gt;0,F53="أحد الشركاء"),COUNTIFS($D$4:D53,"&gt;"&amp;0,$F$4:F53,"أحد الشركاء"),"")</f>
        <v/>
      </c>
    </row>
    <row r="55" ht="18.75" customHeight="1" s="67">
      <c r="A55" s="45" t="n">
        <v>46155</v>
      </c>
      <c r="B55" s="46" t="inlineStr">
        <is>
          <t>Inv-46</t>
        </is>
      </c>
      <c r="C55" s="47" t="inlineStr">
        <is>
          <t>other</t>
        </is>
      </c>
      <c r="D55" s="48" t="n"/>
      <c r="E55" s="49" t="n">
        <v>3.6</v>
      </c>
      <c r="F55" s="50" t="inlineStr">
        <is>
          <t>نقداً</t>
        </is>
      </c>
      <c r="G55" s="51" t="n"/>
      <c r="H55" s="52" t="inlineStr">
        <is>
          <t>تم الدفع</t>
        </is>
      </c>
      <c r="I55" s="53" t="n"/>
      <c r="J55" s="54">
        <f>IF(AND(D55="",E55="",A55="",B55="",C55=""),"", IFERROR(IF(J54="",D2,J54),D2)+IF(E55="",0,E55)-IF(OR(G55="أبو اسحاق",G55="أبو آدم",G55="أبو اسحاق ",G55="أبو آدم "),0,IF(D55="",0,D55)))</f>
        <v/>
      </c>
      <c r="K55" s="55" t="n"/>
      <c r="L55">
        <f>IF(E54&gt;0,COUNTIF($E$4:E54,"&gt;0"),"")</f>
        <v/>
      </c>
      <c r="M55">
        <f>IF(AND(D54&gt;0,G54="المحفظة"),COUNTIFS($D$4:D54,"&gt;"&amp;0,$G$4:G54,"المحفظة"),"")</f>
        <v/>
      </c>
      <c r="N55">
        <f>IF(AND(OR('طباعة كشف الحساب'!$C$2="الكل",MONTH(A55)=IFERROR(MATCH('طباعة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الحساب'!$F$2="الكل",YEAR(A55)=IFERROR(VALUE('طباعة كشف الحساب'!$F$2),0)),A55&lt;&gt;""),IFERROR(MAX($N$4:N54),0)+1,"")</f>
        <v/>
      </c>
      <c r="O55">
        <f>IF(AND(D54&gt;0,F54="أحد الشركاء"),COUNTIFS($D$4:D54,"&gt;"&amp;0,$F$4:F54,"أحد الشركاء"),"")</f>
        <v/>
      </c>
    </row>
    <row r="56" ht="18.75" customHeight="1" s="67">
      <c r="A56" s="150" t="n">
        <v>46158</v>
      </c>
      <c r="B56" s="57" t="inlineStr">
        <is>
          <t>Inv-47</t>
        </is>
      </c>
      <c r="C56" s="58" t="inlineStr">
        <is>
          <t>other</t>
        </is>
      </c>
      <c r="D56" s="59" t="n"/>
      <c r="E56" s="60" t="n">
        <v>3</v>
      </c>
      <c r="F56" s="151" t="inlineStr">
        <is>
          <t>نقداً</t>
        </is>
      </c>
      <c r="G56" s="62" t="n"/>
      <c r="H56" s="63" t="inlineStr">
        <is>
          <t>تم الدفع</t>
        </is>
      </c>
      <c r="I56" s="64" t="n"/>
      <c r="J56" s="65">
        <f>IF(AND(D56="",E56="",A56="",B56="",C56=""),"", IFERROR(IF(J55="",D2,J55),D2)+IF(E56="",0,E56)-IF(OR(G56="أبو اسحاق",G56="أبو آدم",G56="أبو اسحاق ",G56="أبو آدم "),0,IF(D56="",0,D56)))</f>
        <v/>
      </c>
      <c r="K56" s="66" t="n"/>
      <c r="L56">
        <f>IF(E55&gt;0,COUNTIF($E$4:E55,"&gt;0"),"")</f>
        <v/>
      </c>
      <c r="M56">
        <f>IF(AND(D55&gt;0,G55="المحفظة"),COUNTIFS($D$4:D55,"&gt;"&amp;0,$G$4:G55,"المحفظة"),"")</f>
        <v/>
      </c>
      <c r="N56">
        <f>IF(AND(OR('طباعة كشف الحساب'!$C$2="الكل",MONTH(A56)=IFERROR(MATCH('طباعة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الحساب'!$F$2="الكل",YEAR(A56)=IFERROR(VALUE('طباعة كشف الحساب'!$F$2),0)),A56&lt;&gt;""),IFERROR(MAX($N$4:N55),0)+1,"")</f>
        <v/>
      </c>
      <c r="O56">
        <f>IF(AND(D55&gt;0,F55="أحد الشركاء"),COUNTIFS($D$4:D55,"&gt;"&amp;0,$F$4:F55,"أحد الشركاء"),"")</f>
        <v/>
      </c>
    </row>
    <row r="57" ht="18.75" customHeight="1" s="67">
      <c r="A57" s="45" t="n">
        <v>46155</v>
      </c>
      <c r="B57" s="46" t="n"/>
      <c r="C57" s="47" t="inlineStr">
        <is>
          <t>جبس لتغطيه المحميه</t>
        </is>
      </c>
      <c r="D57" s="48" t="n">
        <v>2.75</v>
      </c>
      <c r="E57" s="49" t="n"/>
      <c r="F57" s="50" t="inlineStr">
        <is>
          <t>نقداً</t>
        </is>
      </c>
      <c r="G57" s="51" t="inlineStr">
        <is>
          <t>المحفظة</t>
        </is>
      </c>
      <c r="H57" s="52" t="inlineStr">
        <is>
          <t>تم الدفع</t>
        </is>
      </c>
      <c r="I57" s="53" t="n"/>
      <c r="J57" s="54">
        <f>IF(AND(D57="",E57="",A57="",B57="",C57=""),"", IFERROR(IF(J56="",D2,J56),D2)+IF(E57="",0,E57)-IF(OR(G57="أبو اسحاق",G57="أبو آدم",G57="أبو اسحاق ",G57="أبو آدم "),0,IF(D57="",0,D57)))</f>
        <v/>
      </c>
      <c r="K57" s="55" t="n"/>
      <c r="L57">
        <f>IF(E56&gt;0,COUNTIF($E$4:E56,"&gt;0"),"")</f>
        <v/>
      </c>
      <c r="M57">
        <f>IF(AND(D56&gt;0,G56="المحفظة"),COUNTIFS($D$4:D56,"&gt;"&amp;0,$G$4:G56,"المحفظة"),"")</f>
        <v/>
      </c>
      <c r="N57">
        <f>IF(AND(OR('طباعة كشف الحساب'!$C$2="الكل",MONTH(A57)=IFERROR(MATCH('طباعة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الحساب'!$F$2="الكل",YEAR(A57)=IFERROR(VALUE('طباعة كشف الحساب'!$F$2),0)),A57&lt;&gt;""),IFERROR(MAX($N$4:N56),0)+1,"")</f>
        <v/>
      </c>
      <c r="O57">
        <f>IF(AND(D56&gt;0,F56="أحد الشركاء"),COUNTIFS($D$4:D56,"&gt;"&amp;0,$F$4:F56,"أحد الشركاء"),"")</f>
        <v/>
      </c>
    </row>
    <row r="58" ht="18.75" customHeight="1" s="67">
      <c r="A58" s="150" t="n">
        <v>46175</v>
      </c>
      <c r="B58" s="46" t="inlineStr">
        <is>
          <t>Inv-53</t>
        </is>
      </c>
      <c r="C58" s="58" t="inlineStr">
        <is>
          <t>فل عدد 24 الحبه .750</t>
        </is>
      </c>
      <c r="D58" s="59" t="n"/>
      <c r="E58" s="60" t="n">
        <v>18</v>
      </c>
      <c r="F58" s="151" t="inlineStr">
        <is>
          <t>نقداً</t>
        </is>
      </c>
      <c r="G58" s="62" t="n"/>
      <c r="H58" s="63" t="inlineStr">
        <is>
          <t>تم الدفع</t>
        </is>
      </c>
      <c r="I58" s="64" t="n"/>
      <c r="J58" s="65">
        <f>IF(AND(D58="",E58="",A58="",B58="",C58=""),"", IFERROR(IF(J57="",D2,J57),D2)+IF(E58="",0,E58)-IF(OR(G58="أبو اسحاق",G58="أبو آدم",G58="أبو اسحاق ",G58="أبو آدم "),0,IF(D58="",0,D58)))</f>
        <v/>
      </c>
      <c r="K58" s="66" t="n"/>
      <c r="L58">
        <f>IF(E57&gt;0,COUNTIF($E$4:E57,"&gt;0"),"")</f>
        <v/>
      </c>
      <c r="M58">
        <f>IF(AND(D57&gt;0,G57="المحفظة"),COUNTIFS($D$4:D57,"&gt;"&amp;0,$G$4:G57,"المحفظة"),"")</f>
        <v/>
      </c>
      <c r="N58">
        <f>IF(AND(OR('طباعة كشف الحساب'!$C$2="الكل",MONTH(A58)=IFERROR(MATCH('طباعة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الحساب'!$F$2="الكل",YEAR(A58)=IFERROR(VALUE('طباعة كشف الحساب'!$F$2),0)),A58&lt;&gt;""),IFERROR(MAX($N$4:N57),0)+1,"")</f>
        <v/>
      </c>
      <c r="O58">
        <f>IF(AND(D57&gt;0,F57="أحد الشركاء"),COUNTIFS($D$4:D57,"&gt;"&amp;0,$F$4:F57,"أحد الشركاء"),"")</f>
        <v/>
      </c>
    </row>
    <row r="59" ht="18.75" customHeight="1" s="67">
      <c r="A59" s="150" t="n">
        <v>46175</v>
      </c>
      <c r="B59" s="57" t="inlineStr">
        <is>
          <t>Inv-54</t>
        </is>
      </c>
      <c r="C59" s="47" t="inlineStr">
        <is>
          <t>دارسينا خضراء عدد 1 الحبه 2</t>
        </is>
      </c>
      <c r="D59" s="48" t="n"/>
      <c r="E59" s="49" t="n">
        <v>2</v>
      </c>
      <c r="F59" s="50" t="inlineStr">
        <is>
          <t>نقداً</t>
        </is>
      </c>
      <c r="G59" s="51" t="n"/>
      <c r="H59" s="52" t="inlineStr">
        <is>
          <t>تم الدفع</t>
        </is>
      </c>
      <c r="I59" s="53" t="n"/>
      <c r="J59" s="54">
        <f>IF(AND(D59="",E59="",A59="",B59="",C59=""),"", IFERROR(IF(J58="",D2,J58),D2)+IF(E59="",0,E59)-IF(OR(G59="أبو اسحاق",G59="أبو آدم",G59="أبو اسحاق ",G59="أبو آدم "),0,IF(D59="",0,D59)))</f>
        <v/>
      </c>
      <c r="K59" s="55" t="n"/>
      <c r="L59">
        <f>IF(E58&gt;0,COUNTIF($E$4:E58,"&gt;0"),"")</f>
        <v/>
      </c>
      <c r="M59">
        <f>IF(AND(D58&gt;0,G58="المحفظة"),COUNTIFS($D$4:D58,"&gt;"&amp;0,$G$4:G58,"المحفظة"),"")</f>
        <v/>
      </c>
      <c r="N59">
        <f>IF(AND(OR('طباعة كشف الحساب'!$C$2="الكل",MONTH(A59)=IFERROR(MATCH('طباعة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الحساب'!$F$2="الكل",YEAR(A59)=IFERROR(VALUE('طباعة كشف الحساب'!$F$2),0)),A59&lt;&gt;""),IFERROR(MAX($N$4:N58),0)+1,"")</f>
        <v/>
      </c>
      <c r="O59">
        <f>IF(AND(D58&gt;0,F58="أحد الشركاء"),COUNTIFS($D$4:D58,"&gt;"&amp;0,$F$4:F58,"أحد الشركاء"),"")</f>
        <v/>
      </c>
    </row>
    <row r="60" ht="18.75" customHeight="1" s="67">
      <c r="A60" s="150" t="n">
        <v>46175</v>
      </c>
      <c r="B60" s="46" t="inlineStr">
        <is>
          <t>Inv-55</t>
        </is>
      </c>
      <c r="C60" s="58" t="inlineStr">
        <is>
          <t>افوبيا عدد 2 الحبه .750</t>
        </is>
      </c>
      <c r="D60" s="59" t="n"/>
      <c r="E60" s="60" t="n">
        <v>1.5</v>
      </c>
      <c r="F60" s="151" t="inlineStr">
        <is>
          <t>نقداً</t>
        </is>
      </c>
      <c r="G60" s="62" t="n"/>
      <c r="H60" s="63" t="inlineStr">
        <is>
          <t>تم الدفع</t>
        </is>
      </c>
      <c r="I60" s="64" t="n"/>
      <c r="J60" s="65">
        <f>IF(AND(D60="",E60="",A60="",B60="",C60=""),"", IFERROR(IF(J59="",D2,J59),D2)+IF(E60="",0,E60)-IF(OR(G60="أبو اسحاق",G60="أبو آدم",G60="أبو اسحاق ",G60="أبو آدم "),0,IF(D60="",0,D60)))</f>
        <v/>
      </c>
      <c r="K60" s="66" t="n"/>
      <c r="L60">
        <f>IF(E59&gt;0,COUNTIF($E$4:E59,"&gt;0"),"")</f>
        <v/>
      </c>
      <c r="M60">
        <f>IF(AND(D59&gt;0,G59="المحفظة"),COUNTIFS($D$4:D59,"&gt;"&amp;0,$G$4:G59,"المحفظة"),"")</f>
        <v/>
      </c>
      <c r="N60">
        <f>IF(AND(OR('طباعة كشف الحساب'!$C$2="الكل",MONTH(A60)=IFERROR(MATCH('طباعة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الحساب'!$F$2="الكل",YEAR(A60)=IFERROR(VALUE('طباعة كشف الحساب'!$F$2),0)),A60&lt;&gt;""),IFERROR(MAX($N$4:N59),0)+1,"")</f>
        <v/>
      </c>
      <c r="O60">
        <f>IF(AND(D59&gt;0,F59="أحد الشركاء"),COUNTIFS($D$4:D59,"&gt;"&amp;0,$F$4:F59,"أحد الشركاء"),"")</f>
        <v/>
      </c>
    </row>
    <row r="61" ht="18.75" customHeight="1" s="67">
      <c r="A61" s="150" t="n">
        <v>46175</v>
      </c>
      <c r="B61" s="57" t="inlineStr">
        <is>
          <t>Inv-56</t>
        </is>
      </c>
      <c r="C61" s="47" t="inlineStr">
        <is>
          <t>دارسينا سوداء عدد 3 الحبه 1</t>
        </is>
      </c>
      <c r="D61" s="48" t="n"/>
      <c r="E61" s="49" t="n">
        <v>3</v>
      </c>
      <c r="F61" s="50" t="inlineStr">
        <is>
          <t>نقداً</t>
        </is>
      </c>
      <c r="G61" s="51" t="n"/>
      <c r="H61" s="52" t="inlineStr">
        <is>
          <t>تم الدفع</t>
        </is>
      </c>
      <c r="I61" s="53" t="n"/>
      <c r="J61" s="54">
        <f>IF(AND(D61="",E61="",A61="",B61="",C61=""),"", IFERROR(IF(J60="",D2,J60),D2)+IF(E61="",0,E61)-IF(OR(G61="أبو اسحاق",G61="أبو آدم",G61="أبو اسحاق ",G61="أبو آدم "),0,IF(D61="",0,D61)))</f>
        <v/>
      </c>
      <c r="K61" s="55" t="n"/>
      <c r="L61">
        <f>IF(E60&gt;0,COUNTIF($E$4:E60,"&gt;0"),"")</f>
        <v/>
      </c>
      <c r="M61">
        <f>IF(AND(D60&gt;0,G60="المحفظة"),COUNTIFS($D$4:D60,"&gt;"&amp;0,$G$4:G60,"المحفظة"),"")</f>
        <v/>
      </c>
      <c r="N61">
        <f>IF(AND(OR('طباعة كشف الحساب'!$C$2="الكل",MONTH(A61)=IFERROR(MATCH('طباعة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الحساب'!$F$2="الكل",YEAR(A61)=IFERROR(VALUE('طباعة كشف الحساب'!$F$2),0)),A61&lt;&gt;""),IFERROR(MAX($N$4:N60),0)+1,"")</f>
        <v/>
      </c>
      <c r="O61">
        <f>IF(AND(D60&gt;0,F60="أحد الشركاء"),COUNTIFS($D$4:D60,"&gt;"&amp;0,$F$4:F60,"أحد الشركاء"),"")</f>
        <v/>
      </c>
    </row>
    <row r="62" ht="18.75" customHeight="1" s="67">
      <c r="A62" s="150" t="n">
        <v>46177</v>
      </c>
      <c r="B62" s="57" t="inlineStr">
        <is>
          <t>inv-57</t>
        </is>
      </c>
      <c r="C62" s="58" t="inlineStr">
        <is>
          <t>فوزير عدد1 قيمه 1</t>
        </is>
      </c>
      <c r="D62" s="59" t="n"/>
      <c r="E62" s="60" t="n">
        <v>1</v>
      </c>
      <c r="F62" s="151" t="inlineStr">
        <is>
          <t>نقداً</t>
        </is>
      </c>
      <c r="G62" s="62" t="n"/>
      <c r="H62" s="63" t="inlineStr">
        <is>
          <t>تم الدفع</t>
        </is>
      </c>
      <c r="I62" s="64" t="n"/>
      <c r="J62" s="65">
        <f>IF(AND(D62="",E62="",A62="",B62="",C62=""),"", IFERROR(IF(J61="",D2,J61),D2)+IF(E62="",0,E62)-IF(OR(G62="أبو اسحاق",G62="أبو آدم",G62="أبو اسحاق ",G62="أبو آدم "),0,IF(D62="",0,D62)))</f>
        <v/>
      </c>
      <c r="K62" s="66" t="n"/>
      <c r="L62">
        <f>IF(E61&gt;0,COUNTIF($E$4:E61,"&gt;0"),"")</f>
        <v/>
      </c>
      <c r="M62">
        <f>IF(AND(D61&gt;0,G61="المحفظة"),COUNTIFS($D$4:D61,"&gt;"&amp;0,$G$4:G61,"المحفظة"),"")</f>
        <v/>
      </c>
      <c r="N62">
        <f>IF(AND(OR('طباعة كشف الحساب'!$C$2="الكل",MONTH(A62)=IFERROR(MATCH('طباعة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الحساب'!$F$2="الكل",YEAR(A62)=IFERROR(VALUE('طباعة كشف الحساب'!$F$2),0)),A62&lt;&gt;""),IFERROR(MAX($N$4:N61),0)+1,"")</f>
        <v/>
      </c>
      <c r="O62">
        <f>IF(AND(D61&gt;0,F61="أحد الشركاء"),COUNTIFS($D$4:D61,"&gt;"&amp;0,$F$4:F61,"أحد الشركاء"),"")</f>
        <v/>
      </c>
    </row>
    <row r="63" ht="18.75" customHeight="1" s="67">
      <c r="A63" s="150" t="n">
        <v>46177</v>
      </c>
      <c r="B63" s="46" t="n"/>
      <c r="C63" s="47" t="inlineStr">
        <is>
          <t>سماد</t>
        </is>
      </c>
      <c r="D63" s="48" t="n">
        <v>10</v>
      </c>
      <c r="E63" s="49" t="n"/>
      <c r="F63" s="50" t="inlineStr">
        <is>
          <t>نقداً</t>
        </is>
      </c>
      <c r="G63" s="51" t="inlineStr">
        <is>
          <t>المحفظة</t>
        </is>
      </c>
      <c r="H63" s="52" t="inlineStr">
        <is>
          <t>تم الدفع</t>
        </is>
      </c>
      <c r="I63" s="53" t="n"/>
      <c r="J63" s="54">
        <f>IF(AND(D63="",E63="",A63="",B63="",C63=""),"", IFERROR(IF(J62="",D2,J62),D2)+IF(E63="",0,E63)-IF(OR(G63="أبو اسحاق",G63="أبو آدم",G63="أبو اسحاق ",G63="أبو آدم "),0,IF(D63="",0,D63)))</f>
        <v/>
      </c>
      <c r="K63" s="55" t="n"/>
      <c r="L63">
        <f>IF(E62&gt;0,COUNTIF($E$4:E62,"&gt;0"),"")</f>
        <v/>
      </c>
      <c r="M63">
        <f>IF(AND(D62&gt;0,G62="المحفظة"),COUNTIFS($D$4:D62,"&gt;"&amp;0,$G$4:G62,"المحفظة"),"")</f>
        <v/>
      </c>
      <c r="N63">
        <f>IF(AND(OR('طباعة كشف الحساب'!$C$2="الكل",MONTH(A63)=IFERROR(MATCH('طباعة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الحساب'!$F$2="الكل",YEAR(A63)=IFERROR(VALUE('طباعة كشف الحساب'!$F$2),0)),A63&lt;&gt;""),IFERROR(MAX($N$4:N62),0)+1,"")</f>
        <v/>
      </c>
      <c r="O63">
        <f>IF(AND(D62&gt;0,F62="أحد الشركاء"),COUNTIFS($D$4:D62,"&gt;"&amp;0,$F$4:F62,"أحد الشركاء"),"")</f>
        <v/>
      </c>
    </row>
    <row r="64" ht="18.75" customHeight="1" s="67">
      <c r="A64" s="150" t="n">
        <v>46177</v>
      </c>
      <c r="B64" s="57" t="n"/>
      <c r="C64" s="58" t="inlineStr">
        <is>
          <t>تاير لعربة الرش</t>
        </is>
      </c>
      <c r="D64" s="59" t="n">
        <v>3.25</v>
      </c>
      <c r="E64" s="60" t="n"/>
      <c r="F64" s="151" t="inlineStr">
        <is>
          <t>نقداً</t>
        </is>
      </c>
      <c r="G64" s="62" t="inlineStr">
        <is>
          <t>المحفظة</t>
        </is>
      </c>
      <c r="H64" s="63" t="inlineStr">
        <is>
          <t>تم الدفع</t>
        </is>
      </c>
      <c r="I64" s="64" t="n"/>
      <c r="J64" s="65">
        <f>IF(AND(D64="",E64="",A64="",B64="",C64=""),"", IFERROR(IF(J63="",D2,J63),D2)+IF(E64="",0,E64)-IF(OR(G64="أبو اسحاق",G64="أبو آدم",G64="أبو اسحاق ",G64="أبو آدم "),0,IF(D64="",0,D64)))</f>
        <v/>
      </c>
      <c r="K64" s="66" t="n"/>
      <c r="L64">
        <f>IF(E63&gt;0,COUNTIF($E$4:E63,"&gt;0"),"")</f>
        <v/>
      </c>
      <c r="M64">
        <f>IF(AND(D63&gt;0,G63="المحفظة"),COUNTIFS($D$4:D63,"&gt;"&amp;0,$G$4:G63,"المحفظة"),"")</f>
        <v/>
      </c>
      <c r="N64">
        <f>IF(AND(OR('طباعة كشف الحساب'!$C$2="الكل",MONTH(A64)=IFERROR(MATCH('طباعة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الحساب'!$F$2="الكل",YEAR(A64)=IFERROR(VALUE('طباعة كشف الحساب'!$F$2),0)),A64&lt;&gt;""),IFERROR(MAX($N$4:N63),0)+1,"")</f>
        <v/>
      </c>
      <c r="O64">
        <f>IF(AND(D63&gt;0,F63="أحد الشركاء"),COUNTIFS($D$4:D63,"&gt;"&amp;0,$F$4:F63,"أحد الشركاء"),"")</f>
        <v/>
      </c>
    </row>
    <row r="65" ht="18.75" customHeight="1" s="67">
      <c r="A65" s="150" t="n">
        <v>46177</v>
      </c>
      <c r="B65" s="46" t="n"/>
      <c r="C65" s="47" t="inlineStr">
        <is>
          <t>حفاره خلط السماد</t>
        </is>
      </c>
      <c r="D65" s="48" t="n">
        <v>12</v>
      </c>
      <c r="E65" s="49" t="n"/>
      <c r="F65" s="50" t="inlineStr">
        <is>
          <t>نقداً</t>
        </is>
      </c>
      <c r="G65" s="51" t="inlineStr">
        <is>
          <t>المحفظة</t>
        </is>
      </c>
      <c r="H65" s="52" t="inlineStr">
        <is>
          <t>تم الدفع</t>
        </is>
      </c>
      <c r="I65" s="53" t="n"/>
      <c r="J65" s="54">
        <f>IF(AND(D65="",E65="",A65="",B65="",C65=""),"", IFERROR(IF(J64="",D2,J64),D2)+IF(E65="",0,E65)-IF(OR(G65="أبو اسحاق",G65="أبو آدم",G65="أبو اسحاق ",G65="أبو آدم "),0,IF(D65="",0,D65)))</f>
        <v/>
      </c>
      <c r="K65" s="55" t="n"/>
      <c r="L65">
        <f>IF(E64&gt;0,COUNTIF($E$4:E64,"&gt;0"),"")</f>
        <v/>
      </c>
      <c r="M65">
        <f>IF(AND(D64&gt;0,G64="المحفظة"),COUNTIFS($D$4:D64,"&gt;"&amp;0,$G$4:G64,"المحفظة"),"")</f>
        <v/>
      </c>
      <c r="N65">
        <f>IF(AND(OR('طباعة كشف الحساب'!$C$2="الكل",MONTH(A65)=IFERROR(MATCH('طباعة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الحساب'!$F$2="الكل",YEAR(A65)=IFERROR(VALUE('طباعة كشف الحساب'!$F$2),0)),A65&lt;&gt;""),IFERROR(MAX($N$4:N64),0)+1,"")</f>
        <v/>
      </c>
      <c r="O65">
        <f>IF(AND(D64&gt;0,F64="أحد الشركاء"),COUNTIFS($D$4:D64,"&gt;"&amp;0,$F$4:F64,"أحد الشركاء"),"")</f>
        <v/>
      </c>
    </row>
    <row r="66" ht="18.75" customHeight="1" s="67">
      <c r="A66" s="150" t="n">
        <v>46179</v>
      </c>
      <c r="B66" s="57" t="inlineStr">
        <is>
          <t>Inv-58</t>
        </is>
      </c>
      <c r="C66" s="58" t="inlineStr">
        <is>
          <t>دارسينا عدد3 بقيمه 1 للحبه</t>
        </is>
      </c>
      <c r="D66" s="59" t="n"/>
      <c r="E66" s="60" t="n">
        <v>3</v>
      </c>
      <c r="F66" s="151" t="inlineStr">
        <is>
          <t>نقداً</t>
        </is>
      </c>
      <c r="G66" s="62" t="n"/>
      <c r="H66" s="63" t="inlineStr">
        <is>
          <t>تم الدفع</t>
        </is>
      </c>
      <c r="I66" s="64" t="n"/>
      <c r="J66" s="65">
        <f>IF(AND(D66="",E66="",A66="",B66="",C66=""),"", IFERROR(IF(J65="",D2,J65),D2)+IF(E66="",0,E66)-IF(OR(G66="أبو اسحاق",G66="أبو آدم",G66="أبو اسحاق ",G66="أبو آدم "),0,IF(D66="",0,D66)))</f>
        <v/>
      </c>
      <c r="K66" s="66" t="n"/>
      <c r="L66">
        <f>IF(E65&gt;0,COUNTIF($E$4:E65,"&gt;0"),"")</f>
        <v/>
      </c>
      <c r="M66">
        <f>IF(AND(D65&gt;0,G65="المحفظة"),COUNTIFS($D$4:D65,"&gt;"&amp;0,$G$4:G65,"المحفظة"),"")</f>
        <v/>
      </c>
      <c r="N66">
        <f>IF(AND(OR('طباعة كشف الحساب'!$C$2="الكل",MONTH(A66)=IFERROR(MATCH('طباعة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الحساب'!$F$2="الكل",YEAR(A66)=IFERROR(VALUE('طباعة كشف الحساب'!$F$2),0)),A66&lt;&gt;""),IFERROR(MAX($N$4:N65),0)+1,"")</f>
        <v/>
      </c>
      <c r="O66">
        <f>IF(AND(D65&gt;0,F65="أحد الشركاء"),COUNTIFS($D$4:D65,"&gt;"&amp;0,$F$4:F65,"أحد الشركاء"),"")</f>
        <v/>
      </c>
    </row>
    <row r="67" ht="18.75" customHeight="1" s="67">
      <c r="A67" s="150" t="n">
        <v>46179</v>
      </c>
      <c r="B67" s="57" t="inlineStr">
        <is>
          <t>Inv-59</t>
        </is>
      </c>
      <c r="C67" s="47" t="inlineStr">
        <is>
          <t>ودليه عدد 1 بقيمه 1</t>
        </is>
      </c>
      <c r="D67" s="48" t="n"/>
      <c r="E67" s="49" t="n">
        <v>1</v>
      </c>
      <c r="F67" s="50" t="inlineStr">
        <is>
          <t>نقداً</t>
        </is>
      </c>
      <c r="G67" s="51" t="n"/>
      <c r="H67" s="52" t="inlineStr">
        <is>
          <t>تم الدفع</t>
        </is>
      </c>
      <c r="I67" s="53" t="n"/>
      <c r="J67" s="54">
        <f>IF(AND(D67="",E67="",A67="",B67="",C67=""),"", IFERROR(IF(J66="",D2,J66),D2)+IF(E67="",0,E67)-IF(OR(G67="أبو اسحاق",G67="أبو آدم",G67="أبو اسحاق ",G67="أبو آدم "),0,IF(D67="",0,D67)))</f>
        <v/>
      </c>
      <c r="K67" s="55" t="n"/>
      <c r="L67">
        <f>IF(E66&gt;0,COUNTIF($E$4:E66,"&gt;0"),"")</f>
        <v/>
      </c>
      <c r="M67">
        <f>IF(AND(D66&gt;0,G66="المحفظة"),COUNTIFS($D$4:D66,"&gt;"&amp;0,$G$4:G66,"المحفظة"),"")</f>
        <v/>
      </c>
      <c r="N67">
        <f>IF(AND(OR('طباعة كشف الحساب'!$C$2="الكل",MONTH(A67)=IFERROR(MATCH('طباعة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الحساب'!$F$2="الكل",YEAR(A67)=IFERROR(VALUE('طباعة كشف الحساب'!$F$2),0)),A67&lt;&gt;""),IFERROR(MAX($N$4:N66),0)+1,"")</f>
        <v/>
      </c>
      <c r="O67">
        <f>IF(AND(D66&gt;0,F66="أحد الشركاء"),COUNTIFS($D$4:D66,"&gt;"&amp;0,$F$4:F66,"أحد الشركاء"),"")</f>
        <v/>
      </c>
    </row>
    <row r="68" ht="18.75" customHeight="1" s="67">
      <c r="A68" s="150" t="n">
        <v>46179</v>
      </c>
      <c r="B68" s="57" t="inlineStr">
        <is>
          <t>Inv-60</t>
        </is>
      </c>
      <c r="C68" s="58" t="inlineStr">
        <is>
          <t>دارسينا حمراء عدد 1 بقيمه 3</t>
        </is>
      </c>
      <c r="D68" s="59" t="n"/>
      <c r="E68" s="60" t="n">
        <v>3</v>
      </c>
      <c r="F68" s="151" t="inlineStr">
        <is>
          <t>نقداً</t>
        </is>
      </c>
      <c r="G68" s="62" t="n"/>
      <c r="H68" s="63" t="inlineStr">
        <is>
          <t>تم الدفع</t>
        </is>
      </c>
      <c r="I68" s="64" t="n"/>
      <c r="J68" s="65">
        <f>IF(AND(D68="",E68="",A68="",B68="",C68=""),"", IFERROR(IF(J67="",D2,J67),D2)+IF(E68="",0,E68)-IF(OR(G68="أبو اسحاق",G68="أبو آدم",G68="أبو اسحاق ",G68="أبو آدم "),0,IF(D68="",0,D68)))</f>
        <v/>
      </c>
      <c r="K68" s="66" t="n"/>
      <c r="L68">
        <f>IF(E67&gt;0,COUNTIF($E$4:E67,"&gt;0"),"")</f>
        <v/>
      </c>
      <c r="M68">
        <f>IF(AND(D67&gt;0,G67="المحفظة"),COUNTIFS($D$4:D67,"&gt;"&amp;0,$G$4:G67,"المحفظة"),"")</f>
        <v/>
      </c>
      <c r="N68">
        <f>IF(AND(OR('طباعة كشف الحساب'!$C$2="الكل",MONTH(A68)=IFERROR(MATCH('طباعة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الحساب'!$F$2="الكل",YEAR(A68)=IFERROR(VALUE('طباعة كشف الحساب'!$F$2),0)),A68&lt;&gt;""),IFERROR(MAX($N$4:N67),0)+1,"")</f>
        <v/>
      </c>
      <c r="O68">
        <f>IF(AND(D67&gt;0,F67="أحد الشركاء"),COUNTIFS($D$4:D67,"&gt;"&amp;0,$F$4:F67,"أحد الشركاء"),"")</f>
        <v/>
      </c>
    </row>
    <row r="69" ht="18.75" customHeight="1" s="67">
      <c r="A69" s="45" t="n">
        <v>46181</v>
      </c>
      <c r="B69" s="46" t="inlineStr">
        <is>
          <t>Inv-61</t>
        </is>
      </c>
      <c r="C69" s="47" t="inlineStr">
        <is>
          <t>فل عدد 20 بقيمه 0.750</t>
        </is>
      </c>
      <c r="D69" s="48" t="n"/>
      <c r="E69" s="49" t="n">
        <v>15</v>
      </c>
      <c r="F69" s="50" t="inlineStr">
        <is>
          <t>نقداً</t>
        </is>
      </c>
      <c r="G69" s="51" t="n"/>
      <c r="H69" s="52" t="inlineStr">
        <is>
          <t>تم الدفع</t>
        </is>
      </c>
      <c r="I69" s="53" t="n"/>
      <c r="J69" s="54">
        <f>IF(AND(D69="",E69="",A69="",B69="",C69=""),"", IFERROR(IF(J68="",D2,J68),D2)+IF(E69="",0,E69)-IF(OR(G69="أبو اسحاق",G69="أبو آدم",G69="أبو اسحاق ",G69="أبو آدم "),0,IF(D69="",0,D69)))</f>
        <v/>
      </c>
      <c r="K69" s="55" t="n"/>
      <c r="L69">
        <f>IF(E68&gt;0,COUNTIF($E$4:E68,"&gt;0"),"")</f>
        <v/>
      </c>
      <c r="M69">
        <f>IF(AND(D68&gt;0,G68="المحفظة"),COUNTIFS($D$4:D68,"&gt;"&amp;0,$G$4:G68,"المحفظة"),"")</f>
        <v/>
      </c>
      <c r="N69">
        <f>IF(AND(OR('طباعة كشف الحساب'!$C$2="الكل",MONTH(A69)=IFERROR(MATCH('طباعة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الحساب'!$F$2="الكل",YEAR(A69)=IFERROR(VALUE('طباعة كشف الحساب'!$F$2),0)),A69&lt;&gt;""),IFERROR(MAX($N$4:N68),0)+1,"")</f>
        <v/>
      </c>
      <c r="O69">
        <f>IF(AND(D68&gt;0,F68="أحد الشركاء"),COUNTIFS($D$4:D68,"&gt;"&amp;0,$F$4:F68,"أحد الشركاء"),"")</f>
        <v/>
      </c>
    </row>
    <row r="70" ht="18.75" customHeight="1" s="67">
      <c r="A70" s="150" t="n">
        <v>46181</v>
      </c>
      <c r="C70" s="58" t="inlineStr">
        <is>
          <t>اسمنت اسود للمحميه الصغيره الجديده</t>
        </is>
      </c>
      <c r="D70" s="59" t="n">
        <v>2.8</v>
      </c>
      <c r="E70" s="60" t="n"/>
      <c r="F70" s="151" t="inlineStr">
        <is>
          <t>نقداً</t>
        </is>
      </c>
      <c r="G70" s="62" t="inlineStr">
        <is>
          <t>المحفظة</t>
        </is>
      </c>
      <c r="H70" s="63" t="inlineStr">
        <is>
          <t>تم الدفع</t>
        </is>
      </c>
      <c r="I70" s="64" t="n"/>
      <c r="J70" s="65">
        <f>IF(AND(D70="",E70="",A70="",B70="",C70=""),"", IFERROR(IF(J69="",D2,J69),D2)+IF(E70="",0,E70)-IF(OR(G70="أبو اسحاق",G70="أبو آدم",G70="أبو اسحاق ",G70="أبو آدم "),0,IF(D70="",0,D70)))</f>
        <v/>
      </c>
      <c r="K70" s="66" t="n"/>
      <c r="L70">
        <f>IF(E69&gt;0,COUNTIF($E$4:E69,"&gt;0"),"")</f>
        <v/>
      </c>
      <c r="M70">
        <f>IF(AND(D69&gt;0,G69="المحفظة"),COUNTIFS($D$4:D69,"&gt;"&amp;0,$G$4:G69,"المحفظة"),"")</f>
        <v/>
      </c>
      <c r="N70">
        <f>IF(AND(OR('طباعة كشف الحساب'!$C$2="الكل",MONTH(A70)=IFERROR(MATCH('طباعة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الحساب'!$F$2="الكل",YEAR(A70)=IFERROR(VALUE('طباعة كشف الحساب'!$F$2),0)),A70&lt;&gt;""),IFERROR(MAX($N$4:N69),0)+1,"")</f>
        <v/>
      </c>
      <c r="O70">
        <f>IF(AND(D69&gt;0,F69="أحد الشركاء"),COUNTIFS($D$4:D69,"&gt;"&amp;0,$F$4:F69,"أحد الشركاء"),"")</f>
        <v/>
      </c>
    </row>
    <row r="71" ht="18.75" customHeight="1" s="67">
      <c r="A71" s="150" t="n">
        <v>46181</v>
      </c>
      <c r="C71" s="58" t="inlineStr">
        <is>
          <t>حديد اسود للمحميه الصغيره الجديده</t>
        </is>
      </c>
      <c r="D71" s="48" t="n">
        <v>46.75</v>
      </c>
      <c r="E71" s="49" t="n"/>
      <c r="F71" s="50" t="inlineStr">
        <is>
          <t>نقداً</t>
        </is>
      </c>
      <c r="G71" s="51" t="inlineStr">
        <is>
          <t>المحفظة</t>
        </is>
      </c>
      <c r="H71" s="52" t="inlineStr">
        <is>
          <t>تم الدفع</t>
        </is>
      </c>
      <c r="I71" s="53" t="n"/>
      <c r="J71" s="54">
        <f>IF(AND(D71="",E71="",A71="",B71="",C71=""),"", IFERROR(IF(J70="",D2,J70),D2)+IF(E71="",0,E71)-IF(OR(G71="أبو اسحاق",G71="أبو آدم",G71="أبو اسحاق ",G71="أبو آدم "),0,IF(D71="",0,D71)))</f>
        <v/>
      </c>
      <c r="K71" s="55" t="n"/>
      <c r="L71">
        <f>IF(E70&gt;0,COUNTIF($E$4:E70,"&gt;0"),"")</f>
        <v/>
      </c>
      <c r="M71">
        <f>IF(AND(D70&gt;0,G70="المحفظة"),COUNTIFS($D$4:D70,"&gt;"&amp;0,$G$4:G70,"المحفظة"),"")</f>
        <v/>
      </c>
      <c r="N71">
        <f>IF(AND(OR('طباعة كشف الحساب'!$C$2="الكل",MONTH(A71)=IFERROR(MATCH('طباعة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الحساب'!$F$2="الكل",YEAR(A71)=IFERROR(VALUE('طباعة كشف الحساب'!$F$2),0)),A71&lt;&gt;""),IFERROR(MAX($N$4:N70),0)+1,"")</f>
        <v/>
      </c>
      <c r="O71">
        <f>IF(AND(D70&gt;0,F70="أحد الشركاء"),COUNTIFS($D$4:D70,"&gt;"&amp;0,$F$4:F70,"أحد الشركاء"),"")</f>
        <v/>
      </c>
    </row>
    <row r="72" ht="18.75" customHeight="1" s="67">
      <c r="A72" s="150" t="n">
        <v>46182</v>
      </c>
      <c r="B72" s="46" t="inlineStr">
        <is>
          <t>Inv-62</t>
        </is>
      </c>
      <c r="C72" s="58" t="inlineStr">
        <is>
          <t>فل عدد 30 الحبه 0.750</t>
        </is>
      </c>
      <c r="D72" s="59" t="n"/>
      <c r="E72" s="60" t="n">
        <v>22.5</v>
      </c>
      <c r="F72" s="151" t="inlineStr">
        <is>
          <t>نقداً</t>
        </is>
      </c>
      <c r="G72" s="62" t="n"/>
      <c r="H72" s="63" t="inlineStr">
        <is>
          <t>تم الدفع</t>
        </is>
      </c>
      <c r="I72" s="64" t="n"/>
      <c r="J72" s="65">
        <f>IF(AND(D72="",E72="",A72="",B72="",C72=""),"", IFERROR(IF(J71="",D2,J71),D2)+IF(E72="",0,E72)-IF(OR(G72="أبو اسحاق",G72="أبو آدم",G72="أبو اسحاق ",G72="أبو آدم "),0,IF(D72="",0,D72)))</f>
        <v/>
      </c>
      <c r="K72" s="66" t="n"/>
      <c r="L72">
        <f>IF(E71&gt;0,COUNTIF($E$4:E71,"&gt;0"),"")</f>
        <v/>
      </c>
      <c r="M72">
        <f>IF(AND(D71&gt;0,G71="المحفظة"),COUNTIFS($D$4:D71,"&gt;"&amp;0,$G$4:G71,"المحفظة"),"")</f>
        <v/>
      </c>
      <c r="N72">
        <f>IF(AND(OR('طباعة كشف الحساب'!$C$2="الكل",MONTH(A72)=IFERROR(MATCH('طباعة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الحساب'!$F$2="الكل",YEAR(A72)=IFERROR(VALUE('طباعة كشف الحساب'!$F$2),0)),A72&lt;&gt;""),IFERROR(MAX($N$4:N71),0)+1,"")</f>
        <v/>
      </c>
      <c r="O72">
        <f>IF(AND(D71&gt;0,F71="أحد الشركاء"),COUNTIFS($D$4:D71,"&gt;"&amp;0,$F$4:F71,"أحد الشركاء"),"")</f>
        <v/>
      </c>
    </row>
    <row r="73" ht="18.75" customHeight="1" s="67">
      <c r="A73" s="45" t="n">
        <v>46184</v>
      </c>
      <c r="B73" s="46" t="n"/>
      <c r="C73" s="47" t="inlineStr">
        <is>
          <t>براغي</t>
        </is>
      </c>
      <c r="D73" s="48" t="n">
        <v>3.5</v>
      </c>
      <c r="E73" s="49" t="n"/>
      <c r="F73" s="50" t="inlineStr">
        <is>
          <t>نقداً</t>
        </is>
      </c>
      <c r="G73" s="51" t="inlineStr">
        <is>
          <t>المحفظة</t>
        </is>
      </c>
      <c r="H73" s="52" t="inlineStr">
        <is>
          <t>تم الدفع</t>
        </is>
      </c>
      <c r="I73" s="53" t="n"/>
      <c r="J73" s="54">
        <f>IF(AND(D73="",E73="",A73="",B73="",C73=""),"", IFERROR(IF(J72="",D2,J72),D2)+IF(E73="",0,E73)-IF(OR(G73="أبو اسحاق",G73="أبو آدم",G73="أبو اسحاق ",G73="أبو آدم "),0,IF(D73="",0,D73)))</f>
        <v/>
      </c>
      <c r="K73" s="55" t="n"/>
      <c r="L73">
        <f>IF(E72&gt;0,COUNTIF($E$4:E72,"&gt;0"),"")</f>
        <v/>
      </c>
      <c r="M73">
        <f>IF(AND(D72&gt;0,G72="المحفظة"),COUNTIFS($D$4:D72,"&gt;"&amp;0,$G$4:G72,"المحفظة"),"")</f>
        <v/>
      </c>
      <c r="N73">
        <f>IF(AND(OR('طباعة كشف الحساب'!$C$2="الكل",MONTH(A73)=IFERROR(MATCH('طباعة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الحساب'!$F$2="الكل",YEAR(A73)=IFERROR(VALUE('طباعة كشف الحساب'!$F$2),0)),A73&lt;&gt;""),IFERROR(MAX($N$4:N72),0)+1,"")</f>
        <v/>
      </c>
      <c r="O73">
        <f>IF(AND(D72&gt;0,F72="أحد الشركاء"),COUNTIFS($D$4:D72,"&gt;"&amp;0,$F$4:F72,"أحد الشركاء"),"")</f>
        <v/>
      </c>
    </row>
    <row r="74" ht="18.75" customHeight="1" s="67">
      <c r="A74" s="150" t="n">
        <v>46184</v>
      </c>
      <c r="B74" s="161" t="inlineStr">
        <is>
          <t>Inv-63</t>
        </is>
      </c>
      <c r="C74" s="162" t="inlineStr">
        <is>
          <t>فل عدد 20 بقيمه 0.750</t>
        </is>
      </c>
      <c r="D74" s="163" t="n"/>
      <c r="E74" s="164" t="n"/>
      <c r="F74" s="165" t="inlineStr">
        <is>
          <t>نقداً</t>
        </is>
      </c>
      <c r="G74" s="166" t="n"/>
      <c r="H74" s="167" t="inlineStr">
        <is>
          <t>تم الدفع</t>
        </is>
      </c>
      <c r="I74" s="168" t="n"/>
      <c r="J74" s="169">
        <f>IF(AND(D74="",E74="",A74="",B74="",C74=""),"", IFERROR(IF(J73="",D2,J73),D2)+IF(E74="",0,E74)-IF(OR(G74="أبو اسحاق",G74="أبو آدم",G74="أبو اسحاق ",G74="أبو آدم "),0,IF(D74="",0,D74)))</f>
        <v/>
      </c>
      <c r="K74" s="170" t="inlineStr">
        <is>
          <t>ملغيه</t>
        </is>
      </c>
      <c r="L74">
        <f>IF(E73&gt;0,COUNTIF($E$4:E73,"&gt;0"),"")</f>
        <v/>
      </c>
      <c r="M74">
        <f>IF(AND(D73&gt;0,G73="المحفظة"),COUNTIFS($D$4:D73,"&gt;"&amp;0,$G$4:G73,"المحفظة"),"")</f>
        <v/>
      </c>
      <c r="N74">
        <f>IF(AND(OR('طباعة كشف الحساب'!$C$2="الكل",MONTH(A74)=IFERROR(MATCH('طباعة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الحساب'!$F$2="الكل",YEAR(A74)=IFERROR(VALUE('طباعة كشف الحساب'!$F$2),0)),A74&lt;&gt;""),IFERROR(MAX($N$4:N73),0)+1,"")</f>
        <v/>
      </c>
      <c r="O74">
        <f>IF(AND(D73&gt;0,F73="أحد الشركاء"),COUNTIFS($D$4:D73,"&gt;"&amp;0,$F$4:F73,"أحد الشركاء"),"")</f>
        <v/>
      </c>
    </row>
    <row r="75" ht="18.75" customHeight="1" s="67">
      <c r="A75" s="45" t="n">
        <v>46185</v>
      </c>
      <c r="B75" s="46" t="n"/>
      <c r="C75" s="47" t="inlineStr">
        <is>
          <t>رول لحيم</t>
        </is>
      </c>
      <c r="D75" s="48" t="n">
        <v>2</v>
      </c>
      <c r="E75" s="49" t="n"/>
      <c r="F75" s="50" t="inlineStr">
        <is>
          <t>نقداً</t>
        </is>
      </c>
      <c r="G75" s="51" t="inlineStr">
        <is>
          <t>المحفظة</t>
        </is>
      </c>
      <c r="H75" s="52" t="inlineStr">
        <is>
          <t>تم الدفع</t>
        </is>
      </c>
      <c r="I75" s="53" t="n"/>
      <c r="J75" s="54">
        <f>IF(AND(D75="",E75="",A75="",B75="",C75=""),"", IFERROR(IF(J74="",D2,J74),D2)+IF(E75="",0,E75)-IF(OR(G75="أبو اسحاق",G75="أبو آدم",G75="أبو اسحاق ",G75="أبو آدم "),0,IF(D75="",0,D75)))</f>
        <v/>
      </c>
      <c r="K75" s="55" t="n"/>
      <c r="L75">
        <f>IF(E74&gt;0,COUNTIF($E$4:E74,"&gt;0"),"")</f>
        <v/>
      </c>
      <c r="M75">
        <f>IF(AND(D74&gt;0,G74="المحفظة"),COUNTIFS($D$4:D74,"&gt;"&amp;0,$G$4:G74,"المحفظة"),"")</f>
        <v/>
      </c>
      <c r="N75">
        <f>IF(AND(OR('طباعة كشف الحساب'!$C$2="الكل",MONTH(A75)=IFERROR(MATCH('طباعة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الحساب'!$F$2="الكل",YEAR(A75)=IFERROR(VALUE('طباعة كشف الحساب'!$F$2),0)),A75&lt;&gt;""),IFERROR(MAX($N$4:N74),0)+1,"")</f>
        <v/>
      </c>
      <c r="O75">
        <f>IF(AND(D74&gt;0,F74="أحد الشركاء"),COUNTIFS($D$4:D74,"&gt;"&amp;0,$F$4:F74,"أحد الشركاء"),"")</f>
        <v/>
      </c>
    </row>
    <row r="76" ht="18.75" customHeight="1" s="67">
      <c r="A76" s="150" t="n">
        <v>46186</v>
      </c>
      <c r="B76" s="57" t="inlineStr">
        <is>
          <t>Inv-64</t>
        </is>
      </c>
      <c r="C76" s="58" t="inlineStr">
        <is>
          <t>معلقات عدد 10 الحبه 1</t>
        </is>
      </c>
      <c r="D76" s="59" t="n"/>
      <c r="E76" s="60" t="n">
        <v>10</v>
      </c>
      <c r="F76" s="151" t="inlineStr">
        <is>
          <t>نقداً</t>
        </is>
      </c>
      <c r="G76" s="62" t="n"/>
      <c r="H76" s="63" t="inlineStr">
        <is>
          <t>تم الدفع</t>
        </is>
      </c>
      <c r="I76" s="64" t="n"/>
      <c r="J76" s="65">
        <f>IF(AND(D76="",E76="",A76="",B76="",C76=""),"", IFERROR(IF(J75="",D2,J75),D2)+IF(E76="",0,E76)-IF(OR(G76="أبو اسحاق",G76="أبو آدم",G76="أبو اسحاق ",G76="أبو آدم "),0,IF(D76="",0,D76)))</f>
        <v/>
      </c>
      <c r="K76" s="66" t="n"/>
      <c r="L76">
        <f>IF(E75&gt;0,COUNTIF($E$4:E75,"&gt;0"),"")</f>
        <v/>
      </c>
      <c r="M76">
        <f>IF(AND(D75&gt;0,G75="المحفظة"),COUNTIFS($D$4:D75,"&gt;"&amp;0,$G$4:G75,"المحفظة"),"")</f>
        <v/>
      </c>
      <c r="N76">
        <f>IF(AND(OR('طباعة كشف الحساب'!$C$2="الكل",MONTH(A76)=IFERROR(MATCH('طباعة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الحساب'!$F$2="الكل",YEAR(A76)=IFERROR(VALUE('طباعة كشف الحساب'!$F$2),0)),A76&lt;&gt;""),IFERROR(MAX($N$4:N75),0)+1,"")</f>
        <v/>
      </c>
      <c r="O76">
        <f>IF(AND(D75&gt;0,F75="أحد الشركاء"),COUNTIFS($D$4:D75,"&gt;"&amp;0,$F$4:F75,"أحد الشركاء"),"")</f>
        <v/>
      </c>
    </row>
    <row r="77" ht="18.75" customHeight="1" s="67">
      <c r="A77" s="150" t="n">
        <v>46186</v>
      </c>
      <c r="B77" s="57" t="inlineStr">
        <is>
          <t>Inv-65</t>
        </is>
      </c>
      <c r="C77" s="47" t="inlineStr">
        <is>
          <t>ودوليه عدد 5 الحبه 1</t>
        </is>
      </c>
      <c r="D77" s="48" t="n"/>
      <c r="E77" s="49" t="n">
        <v>5</v>
      </c>
      <c r="F77" s="50" t="inlineStr">
        <is>
          <t>نقداً</t>
        </is>
      </c>
      <c r="G77" s="51" t="n"/>
      <c r="H77" s="52" t="inlineStr">
        <is>
          <t>تم الدفع</t>
        </is>
      </c>
      <c r="I77" s="53" t="n"/>
      <c r="J77" s="54">
        <f>IF(AND(D77="",E77="",A77="",B77="",C77=""),"", IFERROR(IF(J76="",D2,J76),D2)+IF(E77="",0,E77)-IF(OR(G77="أبو اسحاق",G77="أبو آدم",G77="أبو اسحاق ",G77="أبو آدم "),0,IF(D77="",0,D77)))</f>
        <v/>
      </c>
      <c r="K77" s="55" t="n"/>
      <c r="L77">
        <f>IF(E76&gt;0,COUNTIF($E$4:E76,"&gt;0"),"")</f>
        <v/>
      </c>
      <c r="M77">
        <f>IF(AND(D76&gt;0,G76="المحفظة"),COUNTIFS($D$4:D76,"&gt;"&amp;0,$G$4:G76,"المحفظة"),"")</f>
        <v/>
      </c>
      <c r="N77">
        <f>IF(AND(OR('طباعة كشف الحساب'!$C$2="الكل",MONTH(A77)=IFERROR(MATCH('طباعة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الحساب'!$F$2="الكل",YEAR(A77)=IFERROR(VALUE('طباعة كشف الحساب'!$F$2),0)),A77&lt;&gt;""),IFERROR(MAX($N$4:N76),0)+1,"")</f>
        <v/>
      </c>
      <c r="O77">
        <f>IF(AND(D76&gt;0,F76="أحد الشركاء"),COUNTIFS($D$4:D76,"&gt;"&amp;0,$F$4:F76,"أحد الشركاء"),"")</f>
        <v/>
      </c>
    </row>
    <row r="78" ht="18.75" customHeight="1" s="67">
      <c r="A78" s="150" t="n">
        <v>46187</v>
      </c>
      <c r="B78" s="57" t="n"/>
      <c r="C78" s="58" t="inlineStr">
        <is>
          <t>عصايا عدد 2000 احواض معاقات عدد 250</t>
        </is>
      </c>
      <c r="D78" s="59" t="n">
        <v>107.5</v>
      </c>
      <c r="E78" s="60" t="n"/>
      <c r="F78" s="151" t="inlineStr">
        <is>
          <t>نقداً</t>
        </is>
      </c>
      <c r="G78" s="62" t="inlineStr">
        <is>
          <t>أبو اسحاق</t>
        </is>
      </c>
      <c r="H78" s="63" t="inlineStr">
        <is>
          <t>تم الدفع</t>
        </is>
      </c>
      <c r="I78" s="64" t="n"/>
      <c r="J78" s="65">
        <f>IF(AND(D78="",E78="",A78="",B78="",C78=""),"", IFERROR(IF(J77="",D2,J77),D2)+IF(E78="",0,E78)-IF(OR(G78="أبو اسحاق",G78="أبو آدم",G78="أبو اسحاق ",G78="أبو آدم "),0,IF(D78="",0,D78)))</f>
        <v/>
      </c>
      <c r="K78" s="66" t="n"/>
      <c r="L78">
        <f>IF(E77&gt;0,COUNTIF($E$4:E77,"&gt;0"),"")</f>
        <v/>
      </c>
      <c r="M78">
        <f>IF(AND(D77&gt;0,G77="المحفظة"),COUNTIFS($D$4:D77,"&gt;"&amp;0,$G$4:G77,"المحفظة"),"")</f>
        <v/>
      </c>
      <c r="N78">
        <f>IF(AND(OR('طباعة كشف الحساب'!$C$2="الكل",MONTH(A78)=IFERROR(MATCH('طباعة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الحساب'!$F$2="الكل",YEAR(A78)=IFERROR(VALUE('طباعة كشف الحساب'!$F$2),0)),A78&lt;&gt;""),IFERROR(MAX($N$4:N77),0)+1,"")</f>
        <v/>
      </c>
      <c r="O78">
        <f>IF(AND(D77&gt;0,F77="أحد الشركاء"),COUNTIFS($D$4:D77,"&gt;"&amp;0,$F$4:F77,"أحد الشركاء"),"")</f>
        <v/>
      </c>
    </row>
    <row r="79" ht="18.75" customHeight="1" s="67">
      <c r="A79" s="45" t="n">
        <v>46189</v>
      </c>
      <c r="B79" s="57" t="inlineStr">
        <is>
          <t>Inv-66</t>
        </is>
      </c>
      <c r="C79" s="47" t="inlineStr">
        <is>
          <t>شوكليرا عدد10 الحبه 1.500</t>
        </is>
      </c>
      <c r="D79" s="48" t="n"/>
      <c r="E79" s="49" t="n">
        <v>15</v>
      </c>
      <c r="F79" s="50" t="inlineStr">
        <is>
          <t>أون لاين</t>
        </is>
      </c>
      <c r="G79" s="51" t="n"/>
      <c r="H79" s="52" t="inlineStr">
        <is>
          <t>تم الدفع</t>
        </is>
      </c>
      <c r="I79" s="53" t="n"/>
      <c r="J79" s="54">
        <f>IF(AND(D79="",E79="",A79="",B79="",C79=""),"", IFERROR(IF(J78="",D2,J78),D2)+IF(E79="",0,E79)-IF(OR(G79="أبو اسحاق",G79="أبو آدم",G79="أبو اسحاق ",G79="أبو آدم "),0,IF(D79="",0,D79)))</f>
        <v/>
      </c>
      <c r="K79" s="55" t="n"/>
      <c r="L79">
        <f>IF(E78&gt;0,COUNTIF($E$4:E78,"&gt;0"),"")</f>
        <v/>
      </c>
      <c r="M79">
        <f>IF(AND(D78&gt;0,G78="المحفظة"),COUNTIFS($D$4:D78,"&gt;"&amp;0,$G$4:G78,"المحفظة"),"")</f>
        <v/>
      </c>
      <c r="N79">
        <f>IF(AND(OR('طباعة كشف الحساب'!$C$2="الكل",MONTH(A79)=IFERROR(MATCH('طباعة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الحساب'!$F$2="الكل",YEAR(A79)=IFERROR(VALUE('طباعة كشف الحساب'!$F$2),0)),A79&lt;&gt;""),IFERROR(MAX($N$4:N78),0)+1,"")</f>
        <v/>
      </c>
      <c r="O79">
        <f>IF(AND(D78&gt;0,F78="أحد الشركاء"),COUNTIFS($D$4:D78,"&gt;"&amp;0,$F$4:F78,"أحد الشركاء"),"")</f>
        <v/>
      </c>
    </row>
    <row r="80" ht="18.75" customHeight="1" s="67">
      <c r="A80" s="45" t="n">
        <v>46189</v>
      </c>
      <c r="B80" s="57" t="inlineStr">
        <is>
          <t>Inv-67</t>
        </is>
      </c>
      <c r="C80" s="58" t="inlineStr">
        <is>
          <t>فيكس عدد7 الحبه 1</t>
        </is>
      </c>
      <c r="D80" s="59" t="n"/>
      <c r="E80" s="60" t="n">
        <v>7</v>
      </c>
      <c r="F80" s="151" t="inlineStr">
        <is>
          <t>أون لاين</t>
        </is>
      </c>
      <c r="G80" s="62" t="n"/>
      <c r="H80" s="63" t="inlineStr">
        <is>
          <t>تم الدفع</t>
        </is>
      </c>
      <c r="I80" s="64" t="n"/>
      <c r="J80" s="65">
        <f>IF(AND(D80="",E80="",A80="",B80="",C80=""),"", IFERROR(IF(J79="",D2,J79),D2)+IF(E80="",0,E80)-IF(OR(G80="أبو اسحاق",G80="أبو آدم",G80="أبو اسحاق ",G80="أبو آدم "),0,IF(D80="",0,D80)))</f>
        <v/>
      </c>
      <c r="K80" s="66" t="n"/>
      <c r="L80">
        <f>IF(E79&gt;0,COUNTIF($E$4:E79,"&gt;0"),"")</f>
        <v/>
      </c>
      <c r="M80">
        <f>IF(AND(D79&gt;0,G79="المحفظة"),COUNTIFS($D$4:D79,"&gt;"&amp;0,$G$4:G79,"المحفظة"),"")</f>
        <v/>
      </c>
      <c r="N80">
        <f>IF(AND(OR('طباعة كشف الحساب'!$C$2="الكل",MONTH(A80)=IFERROR(MATCH('طباعة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الحساب'!$F$2="الكل",YEAR(A80)=IFERROR(VALUE('طباعة كشف الحساب'!$F$2),0)),A80&lt;&gt;""),IFERROR(MAX($N$4:N79),0)+1,"")</f>
        <v/>
      </c>
      <c r="O80">
        <f>IF(AND(D79&gt;0,F79="أحد الشركاء"),COUNTIFS($D$4:D79,"&gt;"&amp;0,$F$4:F79,"أحد الشركاء"),"")</f>
        <v/>
      </c>
    </row>
    <row r="81" ht="18.75" customHeight="1" s="67">
      <c r="A81" s="45" t="n">
        <v>46189</v>
      </c>
      <c r="B81" s="57" t="inlineStr">
        <is>
          <t>Inv-68</t>
        </is>
      </c>
      <c r="C81" s="47" t="inlineStr">
        <is>
          <t>ربل عدد 5 الحبه 2</t>
        </is>
      </c>
      <c r="D81" s="48" t="n"/>
      <c r="E81" s="49" t="n">
        <v>10</v>
      </c>
      <c r="F81" s="50" t="inlineStr">
        <is>
          <t>أون لاين</t>
        </is>
      </c>
      <c r="G81" s="51" t="n"/>
      <c r="H81" s="52" t="inlineStr">
        <is>
          <t>تم الدفع</t>
        </is>
      </c>
      <c r="I81" s="53" t="n"/>
      <c r="J81" s="54">
        <f>IF(AND(D81="",E81="",A81="",B81="",C81=""),"", IFERROR(IF(J80="",D2,J80),D2)+IF(E81="",0,E81)-IF(OR(G81="أبو اسحاق",G81="أبو آدم",G81="أبو اسحاق ",G81="أبو آدم "),0,IF(D81="",0,D81)))</f>
        <v/>
      </c>
      <c r="K81" s="55" t="n"/>
      <c r="L81">
        <f>IF(E80&gt;0,COUNTIF($E$4:E80,"&gt;0"),"")</f>
        <v/>
      </c>
      <c r="M81">
        <f>IF(AND(D80&gt;0,G80="المحفظة"),COUNTIFS($D$4:D80,"&gt;"&amp;0,$G$4:G80,"المحفظة"),"")</f>
        <v/>
      </c>
      <c r="N81">
        <f>IF(AND(OR('طباعة كشف الحساب'!$C$2="الكل",MONTH(A81)=IFERROR(MATCH('طباعة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الحساب'!$F$2="الكل",YEAR(A81)=IFERROR(VALUE('طباعة كشف الحساب'!$F$2),0)),A81&lt;&gt;""),IFERROR(MAX($N$4:N80),0)+1,"")</f>
        <v/>
      </c>
      <c r="O81">
        <f>IF(AND(D80&gt;0,F80="أحد الشركاء"),COUNTIFS($D$4:D80,"&gt;"&amp;0,$F$4:F80,"أحد الشركاء"),"")</f>
        <v/>
      </c>
    </row>
    <row r="82" ht="18.75" customHeight="1" s="67">
      <c r="A82" s="45" t="n">
        <v>46189</v>
      </c>
      <c r="B82" s="57" t="inlineStr">
        <is>
          <t>Inv-69</t>
        </is>
      </c>
      <c r="C82" s="58" t="inlineStr">
        <is>
          <t>فل عدد 24 الحبه .750</t>
        </is>
      </c>
      <c r="D82" s="59" t="n"/>
      <c r="E82" s="60" t="n">
        <v>18</v>
      </c>
      <c r="F82" s="151" t="inlineStr">
        <is>
          <t>أون لاين</t>
        </is>
      </c>
      <c r="G82" s="62" t="n"/>
      <c r="H82" s="63" t="inlineStr">
        <is>
          <t>تم الدفع</t>
        </is>
      </c>
      <c r="I82" s="64" t="n"/>
      <c r="J82" s="65">
        <f>IF(AND(D82="",E82="",A82="",B82="",C82=""),"", IFERROR(IF(J81="",D2,J81),D2)+IF(E82="",0,E82)-IF(OR(G82="أبو اسحاق",G82="أبو آدم",G82="أبو اسحاق ",G82="أبو آدم "),0,IF(D82="",0,D82)))</f>
        <v/>
      </c>
      <c r="K82" s="66" t="n"/>
      <c r="L82">
        <f>IF(E81&gt;0,COUNTIF($E$4:E81,"&gt;0"),"")</f>
        <v/>
      </c>
      <c r="M82">
        <f>IF(AND(D81&gt;0,G81="المحفظة"),COUNTIFS($D$4:D81,"&gt;"&amp;0,$G$4:G81,"المحفظة"),"")</f>
        <v/>
      </c>
      <c r="N82">
        <f>IF(AND(OR('طباعة كشف الحساب'!$C$2="الكل",MONTH(A82)=IFERROR(MATCH('طباعة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الحساب'!$F$2="الكل",YEAR(A82)=IFERROR(VALUE('طباعة كشف الحساب'!$F$2),0)),A82&lt;&gt;""),IFERROR(MAX($N$4:N81),0)+1,"")</f>
        <v/>
      </c>
      <c r="O82">
        <f>IF(AND(D81&gt;0,F81="أحد الشركاء"),COUNTIFS($D$4:D81,"&gt;"&amp;0,$F$4:F81,"أحد الشركاء"),"")</f>
        <v/>
      </c>
    </row>
    <row r="83" ht="18.75" customHeight="1" s="67">
      <c r="A83" s="45" t="n">
        <v>46188</v>
      </c>
      <c r="B83" s="46" t="n"/>
      <c r="C83" s="47" t="inlineStr">
        <is>
          <t>أقامه عبدول</t>
        </is>
      </c>
      <c r="D83" s="48" t="n">
        <v>25</v>
      </c>
      <c r="E83" s="49" t="n"/>
      <c r="F83" s="50" t="inlineStr">
        <is>
          <t>أون لاين</t>
        </is>
      </c>
      <c r="G83" s="51" t="inlineStr">
        <is>
          <t>المحفظة</t>
        </is>
      </c>
      <c r="H83" s="52" t="inlineStr">
        <is>
          <t>تم الدفع</t>
        </is>
      </c>
      <c r="I83" s="53" t="n"/>
      <c r="J83" s="54">
        <f>IF(AND(D83="",E83="",A83="",B83="",C83=""),"", IFERROR(IF(J82="",D2,J82),D2)+IF(E83="",0,E83)-IF(OR(G83="أبو اسحاق",G83="أبو آدم",G83="أبو اسحاق ",G83="أبو آدم "),0,IF(D83="",0,D83)))</f>
        <v/>
      </c>
      <c r="K83" s="55" t="n"/>
      <c r="L83">
        <f>IF(E82&gt;0,COUNTIF($E$4:E82,"&gt;0"),"")</f>
        <v/>
      </c>
      <c r="M83">
        <f>IF(AND(D82&gt;0,G82="المحفظة"),COUNTIFS($D$4:D82,"&gt;"&amp;0,$G$4:G82,"المحفظة"),"")</f>
        <v/>
      </c>
      <c r="N83">
        <f>IF(AND(OR('طباعة كشف الحساب'!$C$2="الكل",MONTH(A83)=IFERROR(MATCH('طباعة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الحساب'!$F$2="الكل",YEAR(A83)=IFERROR(VALUE('طباعة كشف الحساب'!$F$2),0)),A83&lt;&gt;""),IFERROR(MAX($N$4:N82),0)+1,"")</f>
        <v/>
      </c>
      <c r="O83">
        <f>IF(AND(D82&gt;0,F82="أحد الشركاء"),COUNTIFS($D$4:D82,"&gt;"&amp;0,$F$4:F82,"أحد الشركاء"),"")</f>
        <v/>
      </c>
    </row>
    <row r="84" ht="18.75" customHeight="1" s="67">
      <c r="A84" s="150" t="n">
        <v>46190</v>
      </c>
      <c r="B84" s="57" t="inlineStr">
        <is>
          <t>Inv-70</t>
        </is>
      </c>
      <c r="C84" s="58" t="inlineStr">
        <is>
          <t>افوبياعدد 1 الحبه .0.750</t>
        </is>
      </c>
      <c r="D84" s="59" t="n"/>
      <c r="E84" s="60" t="n">
        <v>0.75</v>
      </c>
      <c r="F84" s="151" t="inlineStr">
        <is>
          <t>أون لاين</t>
        </is>
      </c>
      <c r="G84" s="62" t="n"/>
      <c r="H84" s="63" t="inlineStr">
        <is>
          <t>تم الدفع</t>
        </is>
      </c>
      <c r="I84" s="64" t="n"/>
      <c r="J84" s="65">
        <f>IF(AND(D84="",E84="",A84="",B84="",C84=""),"", IFERROR(IF(J83="",D2,J83),D2)+IF(E84="",0,E84)-IF(OR(G84="أبو اسحاق",G84="أبو آدم",G84="أبو اسحاق ",G84="أبو آدم "),0,IF(D84="",0,D84)))</f>
        <v/>
      </c>
      <c r="K84" s="66" t="n"/>
      <c r="L84">
        <f>IF(E83&gt;0,COUNTIF($E$4:E83,"&gt;0"),"")</f>
        <v/>
      </c>
      <c r="M84">
        <f>IF(AND(D83&gt;0,G83="المحفظة"),COUNTIFS($D$4:D83,"&gt;"&amp;0,$G$4:G83,"المحفظة"),"")</f>
        <v/>
      </c>
      <c r="N84">
        <f>IF(AND(OR('طباعة كشف الحساب'!$C$2="الكل",MONTH(A84)=IFERROR(MATCH('طباعة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الحساب'!$F$2="الكل",YEAR(A84)=IFERROR(VALUE('طباعة كشف الحساب'!$F$2),0)),A84&lt;&gt;""),IFERROR(MAX($N$4:N83),0)+1,"")</f>
        <v/>
      </c>
      <c r="O84">
        <f>IF(AND(D83&gt;0,F83="أحد الشركاء"),COUNTIFS($D$4:D83,"&gt;"&amp;0,$F$4:F83,"أحد الشركاء"),"")</f>
        <v/>
      </c>
    </row>
    <row r="85" ht="18.75" customHeight="1" s="67">
      <c r="A85" s="150" t="n">
        <v>46190</v>
      </c>
      <c r="B85" s="57" t="inlineStr">
        <is>
          <t>Inv-71</t>
        </is>
      </c>
      <c r="C85" s="47" t="inlineStr">
        <is>
          <t>دارسينا عدد 1 الحبه 1.500</t>
        </is>
      </c>
      <c r="D85" s="48" t="n"/>
      <c r="E85" s="49" t="n">
        <v>1.5</v>
      </c>
      <c r="F85" s="50" t="inlineStr">
        <is>
          <t>أون لاين</t>
        </is>
      </c>
      <c r="G85" s="51" t="n"/>
      <c r="H85" s="52" t="inlineStr">
        <is>
          <t>تم الدفع</t>
        </is>
      </c>
      <c r="I85" s="53" t="n"/>
      <c r="J85" s="54">
        <f>IF(AND(D85="",E85="",A85="",B85="",C85=""),"", IFERROR(IF(J84="",D2,J84),D2)+IF(E85="",0,E85)-IF(OR(G85="أبو اسحاق",G85="أبو آدم",G85="أبو اسحاق ",G85="أبو آدم "),0,IF(D85="",0,D85)))</f>
        <v/>
      </c>
      <c r="K85" s="55" t="n"/>
      <c r="L85">
        <f>IF(E84&gt;0,COUNTIF($E$4:E84,"&gt;0"),"")</f>
        <v/>
      </c>
      <c r="M85">
        <f>IF(AND(D84&gt;0,G84="المحفظة"),COUNTIFS($D$4:D84,"&gt;"&amp;0,$G$4:G84,"المحفظة"),"")</f>
        <v/>
      </c>
      <c r="N85">
        <f>IF(AND(OR('طباعة كشف الحساب'!$C$2="الكل",MONTH(A85)=IFERROR(MATCH('طباعة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الحساب'!$F$2="الكل",YEAR(A85)=IFERROR(VALUE('طباعة كشف الحساب'!$F$2),0)),A85&lt;&gt;""),IFERROR(MAX($N$4:N84),0)+1,"")</f>
        <v/>
      </c>
      <c r="O85">
        <f>IF(AND(D84&gt;0,F84="أحد الشركاء"),COUNTIFS($D$4:D84,"&gt;"&amp;0,$F$4:F84,"أحد الشركاء"),"")</f>
        <v/>
      </c>
    </row>
    <row r="86" ht="18.75" customHeight="1" s="67">
      <c r="A86" s="150" t="n">
        <v>46191</v>
      </c>
      <c r="B86" s="57" t="inlineStr">
        <is>
          <t>Inv-72</t>
        </is>
      </c>
      <c r="C86" s="58" t="inlineStr">
        <is>
          <t>فل عدد 1 الحبه 0.750</t>
        </is>
      </c>
      <c r="D86" s="59" t="n"/>
      <c r="E86" s="60" t="n">
        <v>0.75</v>
      </c>
      <c r="F86" s="151" t="inlineStr">
        <is>
          <t>أون لاين</t>
        </is>
      </c>
      <c r="G86" s="62" t="n"/>
      <c r="H86" s="63" t="inlineStr">
        <is>
          <t>تم الدفع</t>
        </is>
      </c>
      <c r="I86" s="64" t="n"/>
      <c r="J86" s="65">
        <f>IF(AND(D86="",E86="",A86="",B86="",C86=""),"", IFERROR(IF(J85="",D2,J85),D2)+IF(E86="",0,E86)-IF(OR(G86="أبو اسحاق",G86="أبو آدم",G86="أبو اسحاق ",G86="أبو آدم "),0,IF(D86="",0,D86)))</f>
        <v/>
      </c>
      <c r="K86" s="66" t="n"/>
      <c r="L86">
        <f>IF(E85&gt;0,COUNTIF($E$4:E85,"&gt;0"),"")</f>
        <v/>
      </c>
      <c r="M86">
        <f>IF(AND(D85&gt;0,G85="المحفظة"),COUNTIFS($D$4:D85,"&gt;"&amp;0,$G$4:G85,"المحفظة"),"")</f>
        <v/>
      </c>
      <c r="N86">
        <f>IF(AND(OR('طباعة كشف الحساب'!$C$2="الكل",MONTH(A86)=IFERROR(MATCH('طباعة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الحساب'!$F$2="الكل",YEAR(A86)=IFERROR(VALUE('طباعة كشف الحساب'!$F$2),0)),A86&lt;&gt;""),IFERROR(MAX($N$4:N85),0)+1,"")</f>
        <v/>
      </c>
      <c r="O86">
        <f>IF(AND(D85&gt;0,F85="أحد الشركاء"),COUNTIFS($D$4:D85,"&gt;"&amp;0,$F$4:F85,"أحد الشركاء"),"")</f>
        <v/>
      </c>
    </row>
    <row r="87" ht="18.75" customHeight="1" s="67">
      <c r="A87" s="150" t="n">
        <v>46191</v>
      </c>
      <c r="B87" s="57" t="inlineStr">
        <is>
          <t>Inv-73</t>
        </is>
      </c>
      <c r="C87" s="47" t="inlineStr">
        <is>
          <t>ودليه عدد 3 الحبه 1</t>
        </is>
      </c>
      <c r="D87" s="48" t="n"/>
      <c r="E87" s="49" t="n">
        <v>3</v>
      </c>
      <c r="F87" s="50" t="inlineStr">
        <is>
          <t>أون لاين</t>
        </is>
      </c>
      <c r="G87" s="51" t="n"/>
      <c r="H87" s="52" t="inlineStr">
        <is>
          <t>تم الدفع</t>
        </is>
      </c>
      <c r="I87" s="53" t="n"/>
      <c r="J87" s="54">
        <f>IF(AND(D87="",E87="",A87="",B87="",C87=""),"", IFERROR(IF(J86="",D2,J86),D2)+IF(E87="",0,E87)-IF(OR(G87="أبو اسحاق",G87="أبو آدم",G87="أبو اسحاق ",G87="أبو آدم "),0,IF(D87="",0,D87)))</f>
        <v/>
      </c>
      <c r="K87" s="55" t="n"/>
      <c r="L87">
        <f>IF(E86&gt;0,COUNTIF($E$4:E86,"&gt;0"),"")</f>
        <v/>
      </c>
      <c r="M87">
        <f>IF(AND(D86&gt;0,G86="المحفظة"),COUNTIFS($D$4:D86,"&gt;"&amp;0,$G$4:G86,"المحفظة"),"")</f>
        <v/>
      </c>
      <c r="N87">
        <f>IF(AND(OR('طباعة كشف الحساب'!$C$2="الكل",MONTH(A87)=IFERROR(MATCH('طباعة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الحساب'!$F$2="الكل",YEAR(A87)=IFERROR(VALUE('طباعة كشف الحساب'!$F$2),0)),A87&lt;&gt;""),IFERROR(MAX($N$4:N86),0)+1,"")</f>
        <v/>
      </c>
      <c r="O87">
        <f>IF(AND(D86&gt;0,F86="أحد الشركاء"),COUNTIFS($D$4:D86,"&gt;"&amp;0,$F$4:F86,"أحد الشركاء"),"")</f>
        <v/>
      </c>
    </row>
    <row r="88" ht="18.75" customHeight="1" s="67">
      <c r="A88" s="150" t="n">
        <v>46199</v>
      </c>
      <c r="B88" s="57" t="inlineStr">
        <is>
          <t>Inv-74</t>
        </is>
      </c>
      <c r="C88" s="58" t="inlineStr">
        <is>
          <t>ربل عدد 11 الحبه 2</t>
        </is>
      </c>
      <c r="D88" s="59" t="n"/>
      <c r="E88" s="60" t="n">
        <v>22</v>
      </c>
      <c r="F88" s="151" t="inlineStr">
        <is>
          <t>أون لاين</t>
        </is>
      </c>
      <c r="G88" s="62" t="n"/>
      <c r="H88" s="63" t="inlineStr">
        <is>
          <t>تم الدفع</t>
        </is>
      </c>
      <c r="I88" s="64" t="n"/>
      <c r="J88" s="65">
        <f>IF(AND(D88="",E88="",A88="",B88="",C88=""),"", IFERROR(IF(J87="",D2,J87),D2)+IF(E88="",0,E88)-IF(OR(G88="أبو اسحاق",G88="أبو آدم",G88="أبو اسحاق ",G88="أبو آدم "),0,IF(D88="",0,D88)))</f>
        <v/>
      </c>
      <c r="K88" s="66" t="n"/>
      <c r="L88">
        <f>IF(E87&gt;0,COUNTIF($E$4:E87,"&gt;0"),"")</f>
        <v/>
      </c>
      <c r="M88">
        <f>IF(AND(D87&gt;0,G87="المحفظة"),COUNTIFS($D$4:D87,"&gt;"&amp;0,$G$4:G87,"المحفظة"),"")</f>
        <v/>
      </c>
      <c r="N88">
        <f>IF(AND(OR('طباعة كشف الحساب'!$C$2="الكل",MONTH(A88)=IFERROR(MATCH('طباعة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الحساب'!$F$2="الكل",YEAR(A88)=IFERROR(VALUE('طباعة كشف الحساب'!$F$2),0)),A88&lt;&gt;""),IFERROR(MAX($N$4:N87),0)+1,"")</f>
        <v/>
      </c>
      <c r="O88">
        <f>IF(AND(D87&gt;0,F87="أحد الشركاء"),COUNTIFS($D$4:D87,"&gt;"&amp;0,$F$4:F87,"أحد الشركاء"),"")</f>
        <v/>
      </c>
    </row>
    <row r="89" ht="18.75" customHeight="1" s="67">
      <c r="A89" s="150" t="n">
        <v>46199</v>
      </c>
      <c r="B89" s="57" t="inlineStr">
        <is>
          <t>Inv-75</t>
        </is>
      </c>
      <c r="C89" s="47" t="inlineStr">
        <is>
          <t>شوفليرا عدد6 الحبه 1.500</t>
        </is>
      </c>
      <c r="D89" s="48" t="n"/>
      <c r="E89" s="49" t="n">
        <v>9</v>
      </c>
      <c r="F89" s="50" t="inlineStr">
        <is>
          <t>أون لاين</t>
        </is>
      </c>
      <c r="G89" s="51" t="n"/>
      <c r="H89" s="52" t="inlineStr">
        <is>
          <t>تم الدفع</t>
        </is>
      </c>
      <c r="I89" s="53" t="n"/>
      <c r="J89" s="54">
        <f>IF(AND(D89="",E89="",A89="",B89="",C89=""),"", IFERROR(IF(J88="",D2,J88),D2)+IF(E89="",0,E89)-IF(OR(G89="أبو اسحاق",G89="أبو آدم",G89="أبو اسحاق ",G89="أبو آدم "),0,IF(D89="",0,D89)))</f>
        <v/>
      </c>
      <c r="K89" s="55" t="n"/>
      <c r="L89">
        <f>IF(E88&gt;0,COUNTIF($E$4:E88,"&gt;0"),"")</f>
        <v/>
      </c>
      <c r="M89">
        <f>IF(AND(D88&gt;0,G88="المحفظة"),COUNTIFS($D$4:D88,"&gt;"&amp;0,$G$4:G88,"المحفظة"),"")</f>
        <v/>
      </c>
      <c r="N89">
        <f>IF(AND(OR('طباعة كشف الحساب'!$C$2="الكل",MONTH(A89)=IFERROR(MATCH('طباعة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الحساب'!$F$2="الكل",YEAR(A89)=IFERROR(VALUE('طباعة كشف الحساب'!$F$2),0)),A89&lt;&gt;""),IFERROR(MAX($N$4:N88),0)+1,"")</f>
        <v/>
      </c>
      <c r="O89">
        <f>IF(AND(D88&gt;0,F88="أحد الشركاء"),COUNTIFS($D$4:D88,"&gt;"&amp;0,$F$4:F88,"أحد الشركاء"),"")</f>
        <v/>
      </c>
    </row>
    <row r="90" ht="18.75" customHeight="1" s="67">
      <c r="A90" s="150" t="n">
        <v>46197</v>
      </c>
      <c r="B90" s="57" t="n"/>
      <c r="C90" s="58" t="inlineStr">
        <is>
          <t>nbk 18-18-18</t>
        </is>
      </c>
      <c r="D90" s="59" t="n">
        <v>12</v>
      </c>
      <c r="E90" s="60" t="n"/>
      <c r="F90" s="151" t="inlineStr">
        <is>
          <t>نقداً</t>
        </is>
      </c>
      <c r="G90" s="62" t="inlineStr">
        <is>
          <t>المحفظة</t>
        </is>
      </c>
      <c r="H90" s="63" t="inlineStr">
        <is>
          <t>تم الدفع</t>
        </is>
      </c>
      <c r="I90" s="64" t="n"/>
      <c r="J90" s="65">
        <f>IF(AND(D90="",E90="",A90="",B90="",C90=""),"", IFERROR(IF(J89="",D2,J89),D2)+IF(E90="",0,E90)-IF(OR(G90="أبو اسحاق",G90="أبو آدم",G90="أبو اسحاق ",G90="أبو آدم "),0,IF(D90="",0,D90)))</f>
        <v/>
      </c>
      <c r="K90" s="66" t="n"/>
      <c r="L90">
        <f>IF(E89&gt;0,COUNTIF($E$4:E89,"&gt;0"),"")</f>
        <v/>
      </c>
      <c r="M90">
        <f>IF(AND(D89&gt;0,G89="المحفظة"),COUNTIFS($D$4:D89,"&gt;"&amp;0,$G$4:G89,"المحفظة"),"")</f>
        <v/>
      </c>
      <c r="N90">
        <f>IF(AND(OR('طباعة كشف الحساب'!$C$2="الكل",MONTH(A90)=IFERROR(MATCH('طباعة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الحساب'!$F$2="الكل",YEAR(A90)=IFERROR(VALUE('طباعة كشف الحساب'!$F$2),0)),A90&lt;&gt;""),IFERROR(MAX($N$4:N89),0)+1,"")</f>
        <v/>
      </c>
      <c r="O90">
        <f>IF(AND(D89&gt;0,F89="أحد الشركاء"),COUNTIFS($D$4:D89,"&gt;"&amp;0,$F$4:F89,"أحد الشركاء"),"")</f>
        <v/>
      </c>
    </row>
    <row r="91" ht="18.75" customHeight="1" s="67">
      <c r="A91" s="45" t="n">
        <v>46201</v>
      </c>
      <c r="B91" s="57" t="inlineStr">
        <is>
          <t>Inv-76</t>
        </is>
      </c>
      <c r="C91" s="47" t="inlineStr">
        <is>
          <t>فل عدد 11 الحبه 0.750</t>
        </is>
      </c>
      <c r="D91" s="48" t="n"/>
      <c r="E91" s="49" t="n">
        <v>8.25</v>
      </c>
      <c r="F91" s="50" t="inlineStr">
        <is>
          <t>أون لاين</t>
        </is>
      </c>
      <c r="G91" s="51" t="n"/>
      <c r="H91" s="52" t="inlineStr">
        <is>
          <t>تم الدفع</t>
        </is>
      </c>
      <c r="I91" s="53" t="n"/>
      <c r="J91" s="54">
        <f>IF(AND(D91="",E91="",A91="",B91="",C91=""),"", IFERROR(IF(J90="",D2,J90),D2)+IF(E91="",0,E91)-IF(OR(G91="أبو اسحاق",G91="أبو آدم",G91="أبو اسحاق ",G91="أبو آدم "),0,IF(D91="",0,D91)))</f>
        <v/>
      </c>
      <c r="K91" s="55" t="n"/>
      <c r="L91">
        <f>IF(E90&gt;0,COUNTIF($E$4:E90,"&gt;0"),"")</f>
        <v/>
      </c>
      <c r="M91">
        <f>IF(AND(D90&gt;0,G90="المحفظة"),COUNTIFS($D$4:D90,"&gt;"&amp;0,$G$4:G90,"المحفظة"),"")</f>
        <v/>
      </c>
      <c r="N91">
        <f>IF(AND(OR('طباعة كشف الحساب'!$C$2="الكل",MONTH(A91)=IFERROR(MATCH('طباعة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الحساب'!$F$2="الكل",YEAR(A91)=IFERROR(VALUE('طباعة كشف الحساب'!$F$2),0)),A91&lt;&gt;""),IFERROR(MAX($N$4:N90),0)+1,"")</f>
        <v/>
      </c>
      <c r="O91">
        <f>IF(AND(D90&gt;0,F90="أحد الشركاء"),COUNTIFS($D$4:D90,"&gt;"&amp;0,$F$4:F90,"أحد الشركاء"),"")</f>
        <v/>
      </c>
    </row>
    <row r="92" ht="18.75" customHeight="1" s="67">
      <c r="A92" s="150" t="n">
        <v>46202</v>
      </c>
      <c r="B92" s="57" t="inlineStr">
        <is>
          <t>Inv-77</t>
        </is>
      </c>
      <c r="C92" s="58" t="inlineStr">
        <is>
          <t>عطره عدد 3 الحبه 0.750</t>
        </is>
      </c>
      <c r="D92" s="59" t="n"/>
      <c r="E92" s="60" t="n">
        <v>2.25</v>
      </c>
      <c r="F92" s="151" t="inlineStr">
        <is>
          <t>أون لاين</t>
        </is>
      </c>
      <c r="G92" s="62" t="n"/>
      <c r="H92" s="63" t="inlineStr">
        <is>
          <t>تم الدفع</t>
        </is>
      </c>
      <c r="I92" s="64" t="n"/>
      <c r="J92" s="65">
        <f>IF(AND(D92="",E92="",A92="",B92="",C92=""),"", IFERROR(IF(J91="",D2,J91),D2)+IF(E92="",0,E92)-IF(OR(G92="أبو اسحاق",G92="أبو آدم",G92="أبو اسحاق ",G92="أبو آدم "),0,IF(D92="",0,D92)))</f>
        <v/>
      </c>
      <c r="K92" s="66" t="n"/>
      <c r="L92">
        <f>IF(E91&gt;0,COUNTIF($E$4:E91,"&gt;0"),"")</f>
        <v/>
      </c>
      <c r="M92">
        <f>IF(AND(D91&gt;0,G91="المحفظة"),COUNTIFS($D$4:D91,"&gt;"&amp;0,$G$4:G91,"المحفظة"),"")</f>
        <v/>
      </c>
      <c r="N92">
        <f>IF(AND(OR('طباعة كشف الحساب'!$C$2="الكل",MONTH(A92)=IFERROR(MATCH('طباعة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الحساب'!$F$2="الكل",YEAR(A92)=IFERROR(VALUE('طباعة كشف الحساب'!$F$2),0)),A92&lt;&gt;""),IFERROR(MAX($N$4:N91),0)+1,"")</f>
        <v/>
      </c>
      <c r="O92">
        <f>IF(AND(D91&gt;0,F91="أحد الشركاء"),COUNTIFS($D$4:D91,"&gt;"&amp;0,$F$4:F91,"أحد الشركاء"),"")</f>
        <v/>
      </c>
    </row>
    <row r="93" ht="18.75" customHeight="1" s="67">
      <c r="A93" s="150" t="n">
        <v>46202</v>
      </c>
      <c r="B93" s="57" t="inlineStr">
        <is>
          <t>Inv-78</t>
        </is>
      </c>
      <c r="C93" s="47" t="inlineStr">
        <is>
          <t>معلقات عدد 3 الحبه 1</t>
        </is>
      </c>
      <c r="D93" s="48" t="n"/>
      <c r="E93" s="49" t="n">
        <v>3</v>
      </c>
      <c r="F93" s="50" t="inlineStr">
        <is>
          <t>أون لاين</t>
        </is>
      </c>
      <c r="G93" s="51" t="n"/>
      <c r="H93" s="52" t="inlineStr">
        <is>
          <t>تم الدفع</t>
        </is>
      </c>
      <c r="I93" s="53" t="n"/>
      <c r="J93" s="54">
        <f>IF(AND(D93="",E93="",A93="",B93="",C93=""),"", IFERROR(IF(J92="",D2,J92),D2)+IF(E93="",0,E93)-IF(OR(G93="أبو اسحاق",G93="أبو آدم",G93="أبو اسحاق ",G93="أبو آدم "),0,IF(D93="",0,D93)))</f>
        <v/>
      </c>
      <c r="K93" s="55" t="n"/>
      <c r="L93">
        <f>IF(E92&gt;0,COUNTIF($E$4:E92,"&gt;0"),"")</f>
        <v/>
      </c>
      <c r="M93">
        <f>IF(AND(D92&gt;0,G92="المحفظة"),COUNTIFS($D$4:D92,"&gt;"&amp;0,$G$4:G92,"المحفظة"),"")</f>
        <v/>
      </c>
      <c r="N93">
        <f>IF(AND(OR('طباعة كشف الحساب'!$C$2="الكل",MONTH(A93)=IFERROR(MATCH('طباعة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الحساب'!$F$2="الكل",YEAR(A93)=IFERROR(VALUE('طباعة كشف الحساب'!$F$2),0)),A93&lt;&gt;""),IFERROR(MAX($N$4:N92),0)+1,"")</f>
        <v/>
      </c>
      <c r="O93">
        <f>IF(AND(D92&gt;0,F92="أحد الشركاء"),COUNTIFS($D$4:D92,"&gt;"&amp;0,$F$4:F92,"أحد الشركاء"),"")</f>
        <v/>
      </c>
    </row>
    <row r="94" ht="18.75" customHeight="1" s="67">
      <c r="A94" s="150" t="n">
        <v>46203</v>
      </c>
      <c r="B94" s="57" t="inlineStr">
        <is>
          <t>Inv-79</t>
        </is>
      </c>
      <c r="C94" s="58" t="inlineStr">
        <is>
          <t>معلقات عدد 4 الحبه 1</t>
        </is>
      </c>
      <c r="D94" s="59" t="n"/>
      <c r="E94" s="60" t="n">
        <v>4</v>
      </c>
      <c r="F94" s="151" t="inlineStr">
        <is>
          <t>أون لاين</t>
        </is>
      </c>
      <c r="G94" s="62" t="n"/>
      <c r="H94" s="63" t="inlineStr">
        <is>
          <t>تم الدفع</t>
        </is>
      </c>
      <c r="I94" s="64" t="n"/>
      <c r="J94" s="65">
        <f>IF(AND(D94="",E94="",A94="",B94="",C94=""),"", IFERROR(IF(J93="",D2,J93),D2)+IF(E94="",0,E94)-IF(OR(G94="أبو اسحاق",G94="أبو آدم",G94="أبو اسحاق ",G94="أبو آدم "),0,IF(D94="",0,D94)))</f>
        <v/>
      </c>
      <c r="K94" s="66" t="n"/>
      <c r="L94">
        <f>IF(E93&gt;0,COUNTIF($E$4:E93,"&gt;0"),"")</f>
        <v/>
      </c>
      <c r="M94">
        <f>IF(AND(D93&gt;0,G93="المحفظة"),COUNTIFS($D$4:D93,"&gt;"&amp;0,$G$4:G93,"المحفظة"),"")</f>
        <v/>
      </c>
      <c r="N94">
        <f>IF(AND(OR('طباعة كشف الحساب'!$C$2="الكل",MONTH(A94)=IFERROR(MATCH('طباعة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الحساب'!$F$2="الكل",YEAR(A94)=IFERROR(VALUE('طباعة كشف الحساب'!$F$2),0)),A94&lt;&gt;""),IFERROR(MAX($N$4:N93),0)+1,"")</f>
        <v/>
      </c>
      <c r="O94">
        <f>IF(AND(D93&gt;0,F93="أحد الشركاء"),COUNTIFS($D$4:D93,"&gt;"&amp;0,$F$4:F93,"أحد الشركاء"),"")</f>
        <v/>
      </c>
    </row>
    <row r="95" ht="18.75" customHeight="1" s="67">
      <c r="A95" s="150" t="n">
        <v>46203</v>
      </c>
      <c r="B95" s="57" t="inlineStr">
        <is>
          <t>Inv-80</t>
        </is>
      </c>
      <c r="C95" s="47" t="inlineStr">
        <is>
          <t>معلقات عدد4 الحبه 1</t>
        </is>
      </c>
      <c r="D95" s="48" t="n"/>
      <c r="E95" s="49" t="n">
        <v>4</v>
      </c>
      <c r="F95" s="50" t="inlineStr">
        <is>
          <t>أون لاين</t>
        </is>
      </c>
      <c r="G95" s="51" t="n"/>
      <c r="H95" s="52" t="inlineStr">
        <is>
          <t>تم الدفع</t>
        </is>
      </c>
      <c r="I95" s="53" t="n"/>
      <c r="J95" s="54">
        <f>IF(AND(D95="",E95="",A95="",B95="",C95=""),"", IFERROR(IF(J94="",D2,J94),D2)+IF(E95="",0,E95)-IF(OR(G95="أبو اسحاق",G95="أبو آدم",G95="أبو اسحاق ",G95="أبو آدم "),0,IF(D95="",0,D95)))</f>
        <v/>
      </c>
      <c r="K95" s="55" t="n"/>
      <c r="L95">
        <f>IF(E94&gt;0,COUNTIF($E$4:E94,"&gt;0"),"")</f>
        <v/>
      </c>
      <c r="M95">
        <f>IF(AND(D94&gt;0,G94="المحفظة"),COUNTIFS($D$4:D94,"&gt;"&amp;0,$G$4:G94,"المحفظة"),"")</f>
        <v/>
      </c>
      <c r="N95">
        <f>IF(AND(OR('طباعة كشف الحساب'!$C$2="الكل",MONTH(A95)=IFERROR(MATCH('طباعة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الحساب'!$F$2="الكل",YEAR(A95)=IFERROR(VALUE('طباعة كشف الحساب'!$F$2),0)),A95&lt;&gt;""),IFERROR(MAX($N$4:N94),0)+1,"")</f>
        <v/>
      </c>
      <c r="O95">
        <f>IF(AND(D94&gt;0,F94="أحد الشركاء"),COUNTIFS($D$4:D94,"&gt;"&amp;0,$F$4:F94,"أحد الشركاء"),"")</f>
        <v/>
      </c>
    </row>
    <row r="96" ht="18.75" customHeight="1" s="67">
      <c r="A96" s="150" t="n">
        <v>46203</v>
      </c>
      <c r="B96" s="57" t="inlineStr">
        <is>
          <t>Inv-81</t>
        </is>
      </c>
      <c r="C96" s="58" t="inlineStr">
        <is>
          <t>افوبيا عدد 2 الحبه 1</t>
        </is>
      </c>
      <c r="D96" s="59" t="n"/>
      <c r="E96" s="60" t="n">
        <v>2</v>
      </c>
      <c r="F96" s="151" t="inlineStr">
        <is>
          <t>أون لاين</t>
        </is>
      </c>
      <c r="G96" s="62" t="n"/>
      <c r="H96" s="63" t="inlineStr">
        <is>
          <t>تم الدفع</t>
        </is>
      </c>
      <c r="I96" s="64" t="n"/>
      <c r="J96" s="65">
        <f>IF(AND(D96="",E96="",A96="",B96="",C96=""),"", IFERROR(IF(J95="",D2,J95),D2)+IF(E96="",0,E96)-IF(OR(G96="أبو اسحاق",G96="أبو آدم",G96="أبو اسحاق ",G96="أبو آدم "),0,IF(D96="",0,D96)))</f>
        <v/>
      </c>
      <c r="K96" s="66" t="n"/>
      <c r="L96">
        <f>IF(E95&gt;0,COUNTIF($E$4:E95,"&gt;0"),"")</f>
        <v/>
      </c>
      <c r="M96">
        <f>IF(AND(D95&gt;0,G95="المحفظة"),COUNTIFS($D$4:D95,"&gt;"&amp;0,$G$4:G95,"المحفظة"),"")</f>
        <v/>
      </c>
      <c r="N96">
        <f>IF(AND(OR('طباعة كشف الحساب'!$C$2="الكل",MONTH(A96)=IFERROR(MATCH('طباعة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الحساب'!$F$2="الكل",YEAR(A96)=IFERROR(VALUE('طباعة كشف الحساب'!$F$2),0)),A96&lt;&gt;""),IFERROR(MAX($N$4:N95),0)+1,"")</f>
        <v/>
      </c>
      <c r="O96">
        <f>IF(AND(D95&gt;0,F95="أحد الشركاء"),COUNTIFS($D$4:D95,"&gt;"&amp;0,$F$4:F95,"أحد الشركاء"),"")</f>
        <v/>
      </c>
    </row>
    <row r="97" ht="18.75" customHeight="1" s="67">
      <c r="A97" s="150" t="n">
        <v>46203</v>
      </c>
      <c r="B97" s="46" t="n"/>
      <c r="C97" s="47" t="inlineStr">
        <is>
          <t>رواتب عماله شهر يونيو 2026</t>
        </is>
      </c>
      <c r="D97" s="48" t="n">
        <v>420</v>
      </c>
      <c r="E97" s="49" t="n"/>
      <c r="F97" s="50" t="inlineStr">
        <is>
          <t>نقداً</t>
        </is>
      </c>
      <c r="G97" s="51" t="inlineStr">
        <is>
          <t>المحفظة</t>
        </is>
      </c>
      <c r="H97" s="52" t="inlineStr">
        <is>
          <t>تم الدفع</t>
        </is>
      </c>
      <c r="I97" s="53" t="n"/>
      <c r="J97" s="54">
        <f>IF(AND(D97="",E97="",A97="",B97="",C97=""),"", IFERROR(IF(J96="",D2,J96),D2)+IF(E97="",0,E97)-IF(OR(G97="أبو اسحاق",G97="أبو آدم",G97="أبو اسحاق ",G97="أبو آدم "),0,IF(D97="",0,D97)))</f>
        <v/>
      </c>
      <c r="K97" s="55" t="n"/>
      <c r="L97">
        <f>IF(E96&gt;0,COUNTIF($E$4:E96,"&gt;0"),"")</f>
        <v/>
      </c>
      <c r="M97">
        <f>IF(AND(D96&gt;0,G96="المحفظة"),COUNTIFS($D$4:D96,"&gt;"&amp;0,$G$4:G96,"المحفظة"),"")</f>
        <v/>
      </c>
      <c r="N97">
        <f>IF(AND(OR('طباعة كشف الحساب'!$C$2="الكل",MONTH(A97)=IFERROR(MATCH('طباعة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الحساب'!$F$2="الكل",YEAR(A97)=IFERROR(VALUE('طباعة كشف الحساب'!$F$2),0)),A97&lt;&gt;""),IFERROR(MAX($N$4:N96),0)+1,"")</f>
        <v/>
      </c>
      <c r="O97">
        <f>IF(AND(D96&gt;0,F96="أحد الشركاء"),COUNTIFS($D$4:D96,"&gt;"&amp;0,$F$4:F96,"أحد الشركاء"),"")</f>
        <v/>
      </c>
    </row>
    <row r="98" ht="18.75" customHeight="1" s="67">
      <c r="A98" s="150" t="n">
        <v>46203</v>
      </c>
      <c r="B98" s="57" t="n"/>
      <c r="C98" s="58" t="inlineStr">
        <is>
          <t>تكمله رواتب يونيو 2026 ابوادم</t>
        </is>
      </c>
      <c r="D98" s="59" t="n"/>
      <c r="E98" s="60" t="n">
        <v>50</v>
      </c>
      <c r="F98" s="151" t="inlineStr">
        <is>
          <t>نقداً</t>
        </is>
      </c>
      <c r="G98" s="62" t="inlineStr">
        <is>
          <t>أبو آدم</t>
        </is>
      </c>
      <c r="H98" s="63" t="inlineStr">
        <is>
          <t>تم الدفع</t>
        </is>
      </c>
      <c r="I98" s="64" t="n"/>
      <c r="J98" s="65">
        <f>IF(AND(D98="",E98="",A98="",B98="",C98=""),"", IFERROR(IF(J97="",D2,J97),D2)+IF(E98="",0,E98)-IF(OR(G98="أبو اسحاق",G98="أبو آدم",G98="أبو اسحاق ",G98="أبو آدم "),0,IF(D98="",0,D98)))</f>
        <v/>
      </c>
      <c r="K98" s="66" t="n"/>
      <c r="L98">
        <f>IF(E97&gt;0,COUNTIF($E$4:E97,"&gt;0"),"")</f>
        <v/>
      </c>
      <c r="M98">
        <f>IF(AND(D97&gt;0,G97="المحفظة"),COUNTIFS($D$4:D97,"&gt;"&amp;0,$G$4:G97,"المحفظة"),"")</f>
        <v/>
      </c>
      <c r="N98">
        <f>IF(AND(OR('طباعة كشف الحساب'!$C$2="الكل",MONTH(A98)=IFERROR(MATCH('طباعة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الحساب'!$F$2="الكل",YEAR(A98)=IFERROR(VALUE('طباعة كشف الحساب'!$F$2),0)),A98&lt;&gt;""),IFERROR(MAX($N$4:N97),0)+1,"")</f>
        <v/>
      </c>
      <c r="O98">
        <f>IF(AND(D97&gt;0,F97="أحد الشركاء"),COUNTIFS($D$4:D97,"&gt;"&amp;0,$F$4:F97,"أحد الشركاء"),"")</f>
        <v/>
      </c>
    </row>
    <row r="99" ht="18.75" customHeight="1" s="67">
      <c r="A99" s="150" t="n">
        <v>46203</v>
      </c>
      <c r="B99" s="46" t="n"/>
      <c r="C99" s="58" t="inlineStr">
        <is>
          <t>تكمله رواتب يونيو 2026 ابواسحاق</t>
        </is>
      </c>
      <c r="D99" s="48" t="n"/>
      <c r="E99" s="49" t="n">
        <v>50</v>
      </c>
      <c r="F99" s="50" t="inlineStr">
        <is>
          <t>نقداً</t>
        </is>
      </c>
      <c r="G99" s="51" t="inlineStr">
        <is>
          <t>أبو اسحاق</t>
        </is>
      </c>
      <c r="H99" s="52" t="inlineStr">
        <is>
          <t>تم الدفع</t>
        </is>
      </c>
      <c r="I99" s="53" t="n"/>
      <c r="J99" s="54">
        <f>IF(AND(D99="",E99="",A99="",B99="",C99=""),"", IFERROR(IF(J98="",D2,J98),D2)+IF(E99="",0,E99)-IF(OR(G99="أبو اسحاق",G99="أبو آدم",G99="أبو اسحاق ",G99="أبو آدم "),0,IF(D99="",0,D99)))</f>
        <v/>
      </c>
      <c r="K99" s="55" t="n"/>
      <c r="L99">
        <f>IF(E98&gt;0,COUNTIF($E$4:E98,"&gt;0"),"")</f>
        <v/>
      </c>
      <c r="M99">
        <f>IF(AND(D98&gt;0,G98="المحفظة"),COUNTIFS($D$4:D98,"&gt;"&amp;0,$G$4:G98,"المحفظة"),"")</f>
        <v/>
      </c>
      <c r="N99">
        <f>IF(AND(OR('طباعة كشف الحساب'!$C$2="الكل",MONTH(A99)=IFERROR(MATCH('طباعة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الحساب'!$F$2="الكل",YEAR(A99)=IFERROR(VALUE('طباعة كشف الحساب'!$F$2),0)),A99&lt;&gt;""),IFERROR(MAX($N$4:N98),0)+1,"")</f>
        <v/>
      </c>
      <c r="O99">
        <f>IF(AND(D98&gt;0,F98="أحد الشركاء"),COUNTIFS($D$4:D98,"&gt;"&amp;0,$F$4:F98,"أحد الشركاء"),"")</f>
        <v/>
      </c>
    </row>
    <row r="100" ht="18.75" customHeight="1" s="67">
      <c r="A100" s="150" t="n">
        <v>46203</v>
      </c>
      <c r="B100" s="57" t="n"/>
      <c r="C100" s="58" t="inlineStr">
        <is>
          <t>احواض عدد 1000 مقاس 25 سم</t>
        </is>
      </c>
      <c r="D100" s="59" t="n">
        <v>80</v>
      </c>
      <c r="E100" s="60" t="n"/>
      <c r="F100" s="151" t="inlineStr">
        <is>
          <t>نقداً</t>
        </is>
      </c>
      <c r="G100" s="62" t="inlineStr">
        <is>
          <t>المحفظة</t>
        </is>
      </c>
      <c r="H100" s="63" t="inlineStr">
        <is>
          <t>تم الدفع</t>
        </is>
      </c>
      <c r="I100" s="64" t="n"/>
      <c r="J100" s="65">
        <f>IF(AND(D100="",E100="",A100="",B100="",C100=""),"", IFERROR(IF(J99="",D2,J99),D2)+IF(E100="",0,E100)-IF(OR(G100="أبو اسحاق",G100="أبو آدم",G100="أبو اسحاق ",G100="أبو آدم "),0,IF(D100="",0,D100)))</f>
        <v/>
      </c>
      <c r="K100" s="66" t="n"/>
      <c r="L100">
        <f>IF(E99&gt;0,COUNTIF($E$4:E99,"&gt;0"),"")</f>
        <v/>
      </c>
      <c r="M100">
        <f>IF(AND(D99&gt;0,G99="المحفظة"),COUNTIFS($D$4:D99,"&gt;"&amp;0,$G$4:G99,"المحفظة"),"")</f>
        <v/>
      </c>
      <c r="N100">
        <f>IF(AND(OR('طباعة كشف الحساب'!$C$2="الكل",MONTH(A100)=IFERROR(MATCH('طباعة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الحساب'!$F$2="الكل",YEAR(A100)=IFERROR(VALUE('طباعة كشف الحساب'!$F$2),0)),A100&lt;&gt;""),IFERROR(MAX($N$4:N99),0)+1,"")</f>
        <v/>
      </c>
      <c r="O100">
        <f>IF(AND(D99&gt;0,F99="أحد الشركاء"),COUNTIFS($D$4:D99,"&gt;"&amp;0,$F$4:F99,"أحد الشركاء"),"")</f>
        <v/>
      </c>
    </row>
    <row r="101" ht="18.75" customHeight="1" s="67">
      <c r="A101" s="45" t="n"/>
      <c r="B101" s="46" t="n"/>
      <c r="C101" s="47" t="n"/>
      <c r="D101" s="48" t="n"/>
      <c r="E101" s="49" t="n"/>
      <c r="F101" s="50" t="n"/>
      <c r="G101" s="51" t="n"/>
      <c r="H101" s="52" t="n"/>
      <c r="I101" s="53" t="n"/>
      <c r="J101" s="54">
        <f>IF(AND(D101="",E101="",A101="",B101="",C101=""),"", IFERROR(IF(J100="",D2,J100),D2)+IF(E101="",0,E101)-IF(OR(G101="أبو اسحاق",G101="أبو آدم",G101="أبو اسحاق ",G101="أبو آدم "),0,IF(D101="",0,D101)))</f>
        <v/>
      </c>
      <c r="K101" s="55" t="n"/>
      <c r="L101">
        <f>IF(E100&gt;0,COUNTIF($E$4:E100,"&gt;0"),"")</f>
        <v/>
      </c>
      <c r="M101">
        <f>IF(AND(D100&gt;0,G100="المحفظة"),COUNTIFS($D$4:D100,"&gt;"&amp;0,$G$4:G100,"المحفظة"),"")</f>
        <v/>
      </c>
      <c r="N101">
        <f>IF(AND(OR('طباعة كشف الحساب'!$C$2="الكل",MONTH(A101)=IFERROR(MATCH('طباعة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الحساب'!$F$2="الكل",YEAR(A101)=IFERROR(VALUE('طباعة كشف الحساب'!$F$2),0)),A101&lt;&gt;""),IFERROR(MAX($N$4:N100),0)+1,"")</f>
        <v/>
      </c>
      <c r="O101">
        <f>IF(AND(D100&gt;0,F100="أحد الشركاء"),COUNTIFS($D$4:D100,"&gt;"&amp;0,$F$4:F100,"أحد الشركاء"),"")</f>
        <v/>
      </c>
    </row>
    <row r="102" ht="18.75" customHeight="1" s="67">
      <c r="A102" s="150" t="n"/>
      <c r="B102" s="57" t="n"/>
      <c r="C102" s="58" t="n"/>
      <c r="D102" s="59" t="n"/>
      <c r="E102" s="60" t="n"/>
      <c r="F102" s="151" t="n"/>
      <c r="G102" s="62" t="n"/>
      <c r="H102" s="63" t="n"/>
      <c r="I102" s="64" t="n"/>
      <c r="J102" s="65">
        <f>IF(AND(D102="",E102="",A102="",B102="",C102=""),"", IFERROR(IF(J101="",D2,J101),D2)+IF(E102="",0,E102)-IF(OR(G102="أبو اسحاق",G102="أبو آدم",G102="أبو اسحاق ",G102="أبو آدم "),0,IF(D102="",0,D102)))</f>
        <v/>
      </c>
      <c r="K102" s="66" t="n"/>
      <c r="L102">
        <f>IF(E101&gt;0,COUNTIF($E$4:E101,"&gt;0"),"")</f>
        <v/>
      </c>
      <c r="M102">
        <f>IF(AND(D101&gt;0,G101="المحفظة"),COUNTIFS($D$4:D101,"&gt;"&amp;0,$G$4:G101,"المحفظة"),"")</f>
        <v/>
      </c>
      <c r="N102">
        <f>IF(AND(OR('طباعة كشف الحساب'!$C$2="الكل",MONTH(A102)=IFERROR(MATCH('طباعة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الحساب'!$F$2="الكل",YEAR(A102)=IFERROR(VALUE('طباعة كشف الحساب'!$F$2),0)),A102&lt;&gt;""),IFERROR(MAX($N$4:N101),0)+1,"")</f>
        <v/>
      </c>
      <c r="O102">
        <f>IF(AND(D101&gt;0,F101="أحد الشركاء"),COUNTIFS($D$4:D101,"&gt;"&amp;0,$F$4:F101,"أحد الشركاء"),"")</f>
        <v/>
      </c>
    </row>
    <row r="103" ht="18.75" customHeight="1" s="67">
      <c r="A103" s="45" t="n"/>
      <c r="B103" s="46" t="n"/>
      <c r="C103" s="47" t="n"/>
      <c r="D103" s="48" t="n"/>
      <c r="E103" s="49" t="n"/>
      <c r="F103" s="50" t="n"/>
      <c r="G103" s="51" t="n"/>
      <c r="H103" s="52" t="n"/>
      <c r="I103" s="53" t="n"/>
      <c r="J103" s="54">
        <f>IF(AND(D103="",E103="",A103="",B103="",C103=""),"", IFERROR(IF(J102="",D2,J102),D2)+IF(E103="",0,E103)-IF(OR(G103="أبو اسحاق",G103="أبو آدم",G103="أبو اسحاق ",G103="أبو آدم "),0,IF(D103="",0,D103)))</f>
        <v/>
      </c>
      <c r="K103" s="55" t="n"/>
      <c r="L103">
        <f>IF(E102&gt;0,COUNTIF($E$4:E102,"&gt;0"),"")</f>
        <v/>
      </c>
      <c r="M103">
        <f>IF(AND(D102&gt;0,G102="المحفظة"),COUNTIFS($D$4:D102,"&gt;"&amp;0,$G$4:G102,"المحفظة"),"")</f>
        <v/>
      </c>
      <c r="N103">
        <f>IF(AND(OR('طباعة كشف الحساب'!$C$2="الكل",MONTH(A103)=IFERROR(MATCH('طباعة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الحساب'!$F$2="الكل",YEAR(A103)=IFERROR(VALUE('طباعة كشف الحساب'!$F$2),0)),A103&lt;&gt;""),IFERROR(MAX($N$4:N102),0)+1,"")</f>
        <v/>
      </c>
      <c r="O103">
        <f>IF(AND(D102&gt;0,F102="أحد الشركاء"),COUNTIFS($D$4:D102,"&gt;"&amp;0,$F$4:F102,"أحد الشركاء"),"")</f>
        <v/>
      </c>
    </row>
    <row r="104" ht="18.75" customHeight="1" s="67">
      <c r="A104" s="150" t="n"/>
      <c r="B104" s="57" t="n"/>
      <c r="C104" s="58" t="n"/>
      <c r="D104" s="59" t="n"/>
      <c r="E104" s="60" t="n"/>
      <c r="F104" s="151" t="n"/>
      <c r="G104" s="62" t="n"/>
      <c r="H104" s="63" t="n"/>
      <c r="I104" s="64" t="n"/>
      <c r="J104" s="65">
        <f>IF(AND(D104="",E104="",A104="",B104="",C104=""),"", IFERROR(IF(J103="",D2,J103),D2)+IF(E104="",0,E104)-IF(OR(G104="أبو اسحاق",G104="أبو آدم",G104="أبو اسحاق ",G104="أبو آدم "),0,IF(D104="",0,D104)))</f>
        <v/>
      </c>
      <c r="K104" s="66" t="n"/>
      <c r="L104">
        <f>IF(E103&gt;0,COUNTIF($E$4:E103,"&gt;0"),"")</f>
        <v/>
      </c>
      <c r="M104">
        <f>IF(AND(D103&gt;0,G103="المحفظة"),COUNTIFS($D$4:D103,"&gt;"&amp;0,$G$4:G103,"المحفظة"),"")</f>
        <v/>
      </c>
      <c r="N104">
        <f>IF(AND(OR('طباعة كشف الحساب'!$C$2="الكل",MONTH(A104)=IFERROR(MATCH('طباعة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الحساب'!$F$2="الكل",YEAR(A104)=IFERROR(VALUE('طباعة كشف الحساب'!$F$2),0)),A104&lt;&gt;""),IFERROR(MAX($N$4:N103),0)+1,"")</f>
        <v/>
      </c>
      <c r="O104">
        <f>IF(AND(D103&gt;0,F103="أحد الشركاء"),COUNTIFS($D$4:D103,"&gt;"&amp;0,$F$4:F103,"أحد الشركاء"),"")</f>
        <v/>
      </c>
    </row>
    <row r="105" ht="18.75" customHeight="1" s="67">
      <c r="A105" s="45" t="n"/>
      <c r="B105" s="46" t="n"/>
      <c r="C105" s="47" t="n"/>
      <c r="D105" s="48" t="n"/>
      <c r="E105" s="49" t="n"/>
      <c r="F105" s="50" t="n"/>
      <c r="G105" s="51" t="n"/>
      <c r="H105" s="52" t="n"/>
      <c r="I105" s="53" t="n"/>
      <c r="J105" s="54">
        <f>IF(AND(D105="",E105="",A105="",B105="",C105=""),"", IFERROR(IF(J104="",D2,J104),D2)+IF(E105="",0,E105)-IF(OR(G105="أبو اسحاق",G105="أبو آدم",G105="أبو اسحاق ",G105="أبو آدم "),0,IF(D105="",0,D105)))</f>
        <v/>
      </c>
      <c r="K105" s="55" t="n"/>
      <c r="L105">
        <f>IF(E104&gt;0,COUNTIF($E$4:E104,"&gt;0"),"")</f>
        <v/>
      </c>
      <c r="M105">
        <f>IF(AND(D104&gt;0,G104="المحفظة"),COUNTIFS($D$4:D104,"&gt;"&amp;0,$G$4:G104,"المحفظة"),"")</f>
        <v/>
      </c>
      <c r="N105">
        <f>IF(AND(OR('طباعة كشف الحساب'!$C$2="الكل",MONTH(A105)=IFERROR(MATCH('طباعة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الحساب'!$F$2="الكل",YEAR(A105)=IFERROR(VALUE('طباعة كشف الحساب'!$F$2),0)),A105&lt;&gt;""),IFERROR(MAX($N$4:N104),0)+1,"")</f>
        <v/>
      </c>
      <c r="O105">
        <f>IF(AND(D104&gt;0,F104="أحد الشركاء"),COUNTIFS($D$4:D104,"&gt;"&amp;0,$F$4:F104,"أحد الشركاء"),"")</f>
        <v/>
      </c>
    </row>
    <row r="106" ht="18.75" customHeight="1" s="67">
      <c r="A106" s="150" t="n"/>
      <c r="B106" s="57" t="n"/>
      <c r="C106" s="58" t="n"/>
      <c r="D106" s="59" t="n"/>
      <c r="E106" s="60" t="n"/>
      <c r="F106" s="151" t="n"/>
      <c r="G106" s="62" t="n"/>
      <c r="H106" s="63" t="n"/>
      <c r="I106" s="64" t="n"/>
      <c r="J106" s="65">
        <f>IF(AND(D106="",E106="",A106="",B106="",C106=""),"", IFERROR(IF(J105="",D2,J105),D2)+IF(E106="",0,E106)-IF(OR(G106="أبو اسحاق",G106="أبو آدم",G106="أبو اسحاق ",G106="أبو آدم "),0,IF(D106="",0,D106)))</f>
        <v/>
      </c>
      <c r="K106" s="66" t="n"/>
      <c r="L106">
        <f>IF(E105&gt;0,COUNTIF($E$4:E105,"&gt;0"),"")</f>
        <v/>
      </c>
      <c r="M106">
        <f>IF(AND(D105&gt;0,G105="المحفظة"),COUNTIFS($D$4:D105,"&gt;"&amp;0,$G$4:G105,"المحفظة"),"")</f>
        <v/>
      </c>
      <c r="N106">
        <f>IF(AND(OR('طباعة كشف الحساب'!$C$2="الكل",MONTH(A106)=IFERROR(MATCH('طباعة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الحساب'!$F$2="الكل",YEAR(A106)=IFERROR(VALUE('طباعة كشف الحساب'!$F$2),0)),A106&lt;&gt;""),IFERROR(MAX($N$4:N105),0)+1,"")</f>
        <v/>
      </c>
      <c r="O106">
        <f>IF(AND(D105&gt;0,F105="أحد الشركاء"),COUNTIFS($D$4:D105,"&gt;"&amp;0,$F$4:F105,"أحد الشركاء"),"")</f>
        <v/>
      </c>
    </row>
    <row r="107" ht="18.75" customHeight="1" s="67">
      <c r="A107" s="45" t="n"/>
      <c r="B107" s="46" t="n"/>
      <c r="C107" s="47" t="n"/>
      <c r="D107" s="48" t="n"/>
      <c r="E107" s="49" t="n"/>
      <c r="F107" s="50" t="n"/>
      <c r="G107" s="51" t="n"/>
      <c r="H107" s="52" t="n"/>
      <c r="I107" s="53" t="n"/>
      <c r="J107" s="54">
        <f>IF(AND(D107="",E107="",A107="",B107="",C107=""),"", IFERROR(IF(J106="",D2,J106),D2)+IF(E107="",0,E107)-IF(OR(G107="أبو اسحاق",G107="أبو آدم",G107="أبو اسحاق ",G107="أبو آدم "),0,IF(D107="",0,D107)))</f>
        <v/>
      </c>
      <c r="K107" s="55" t="n"/>
      <c r="L107">
        <f>IF(E106&gt;0,COUNTIF($E$4:E106,"&gt;0"),"")</f>
        <v/>
      </c>
      <c r="M107">
        <f>IF(AND(D106&gt;0,G106="المحفظة"),COUNTIFS($D$4:D106,"&gt;"&amp;0,$G$4:G106,"المحفظة"),"")</f>
        <v/>
      </c>
      <c r="N107">
        <f>IF(AND(OR('طباعة كشف الحساب'!$C$2="الكل",MONTH(A107)=IFERROR(MATCH('طباعة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الحساب'!$F$2="الكل",YEAR(A107)=IFERROR(VALUE('طباعة كشف الحساب'!$F$2),0)),A107&lt;&gt;""),IFERROR(MAX($N$4:N106),0)+1,"")</f>
        <v/>
      </c>
      <c r="O107">
        <f>IF(AND(D106&gt;0,F106="أحد الشركاء"),COUNTIFS($D$4:D106,"&gt;"&amp;0,$F$4:F106,"أحد الشركاء"),"")</f>
        <v/>
      </c>
    </row>
    <row r="108" ht="18.75" customHeight="1" s="67">
      <c r="A108" s="150" t="n"/>
      <c r="B108" s="57" t="n"/>
      <c r="C108" s="58" t="n"/>
      <c r="D108" s="59" t="n"/>
      <c r="E108" s="60" t="n"/>
      <c r="F108" s="151" t="n"/>
      <c r="G108" s="62" t="n"/>
      <c r="H108" s="63" t="n"/>
      <c r="I108" s="64" t="n"/>
      <c r="J108" s="65">
        <f>IF(AND(D108="",E108="",A108="",B108="",C108=""),"", IFERROR(IF(J107="",D2,J107),D2)+IF(E108="",0,E108)-IF(OR(G108="أبو اسحاق",G108="أبو آدم",G108="أبو اسحاق ",G108="أبو آدم "),0,IF(D108="",0,D108)))</f>
        <v/>
      </c>
      <c r="K108" s="66" t="n"/>
      <c r="L108">
        <f>IF(E107&gt;0,COUNTIF($E$4:E107,"&gt;0"),"")</f>
        <v/>
      </c>
      <c r="M108">
        <f>IF(AND(D107&gt;0,G107="المحفظة"),COUNTIFS($D$4:D107,"&gt;"&amp;0,$G$4:G107,"المحفظة"),"")</f>
        <v/>
      </c>
      <c r="N108">
        <f>IF(AND(OR('طباعة كشف الحساب'!$C$2="الكل",MONTH(A108)=IFERROR(MATCH('طباعة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الحساب'!$F$2="الكل",YEAR(A108)=IFERROR(VALUE('طباعة كشف الحساب'!$F$2),0)),A108&lt;&gt;""),IFERROR(MAX($N$4:N107),0)+1,"")</f>
        <v/>
      </c>
      <c r="O108">
        <f>IF(AND(D107&gt;0,F107="أحد الشركاء"),COUNTIFS($D$4:D107,"&gt;"&amp;0,$F$4:F107,"أحد الشركاء"),"")</f>
        <v/>
      </c>
    </row>
    <row r="109" ht="18.75" customHeight="1" s="67">
      <c r="A109" s="45" t="n"/>
      <c r="B109" s="46" t="n"/>
      <c r="C109" s="47" t="n"/>
      <c r="D109" s="48" t="n"/>
      <c r="E109" s="49" t="n"/>
      <c r="F109" s="50" t="n"/>
      <c r="G109" s="51" t="n"/>
      <c r="H109" s="52" t="n"/>
      <c r="I109" s="53" t="n"/>
      <c r="J109" s="54">
        <f>IF(AND(D109="",E109="",A109="",B109="",C109=""),"", IFERROR(IF(J108="",D2,J108),D2)+IF(E109="",0,E109)-IF(OR(G109="أبو اسحاق",G109="أبو آدم",G109="أبو اسحاق ",G109="أبو آدم "),0,IF(D109="",0,D109)))</f>
        <v/>
      </c>
      <c r="K109" s="55" t="n"/>
      <c r="L109">
        <f>IF(E108&gt;0,COUNTIF($E$4:E108,"&gt;0"),"")</f>
        <v/>
      </c>
      <c r="M109">
        <f>IF(AND(D108&gt;0,G108="المحفظة"),COUNTIFS($D$4:D108,"&gt;"&amp;0,$G$4:G108,"المحفظة"),"")</f>
        <v/>
      </c>
      <c r="N109">
        <f>IF(AND(OR('طباعة كشف الحساب'!$C$2="الكل",MONTH(A109)=IFERROR(MATCH('طباعة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الحساب'!$F$2="الكل",YEAR(A109)=IFERROR(VALUE('طباعة كشف الحساب'!$F$2),0)),A109&lt;&gt;""),IFERROR(MAX($N$4:N108),0)+1,"")</f>
        <v/>
      </c>
      <c r="O109">
        <f>IF(AND(D108&gt;0,F108="أحد الشركاء"),COUNTIFS($D$4:D108,"&gt;"&amp;0,$F$4:F108,"أحد الشركاء"),"")</f>
        <v/>
      </c>
    </row>
    <row r="110" ht="18.75" customHeight="1" s="67">
      <c r="A110" s="150" t="n"/>
      <c r="B110" s="57" t="n"/>
      <c r="C110" s="58" t="n"/>
      <c r="D110" s="59" t="n"/>
      <c r="E110" s="60" t="n"/>
      <c r="F110" s="151" t="n"/>
      <c r="G110" s="62" t="n"/>
      <c r="H110" s="63" t="n"/>
      <c r="I110" s="64" t="n"/>
      <c r="J110" s="65">
        <f>IF(AND(D110="",E110="",A110="",B110="",C110=""),"", IFERROR(IF(J109="",D2,J109),D2)+IF(E110="",0,E110)-IF(OR(G110="أبو اسحاق",G110="أبو آدم",G110="أبو اسحاق ",G110="أبو آدم "),0,IF(D110="",0,D110)))</f>
        <v/>
      </c>
      <c r="K110" s="66" t="n"/>
      <c r="L110">
        <f>IF(E109&gt;0,COUNTIF($E$4:E109,"&gt;0"),"")</f>
        <v/>
      </c>
      <c r="M110">
        <f>IF(AND(D109&gt;0,G109="المحفظة"),COUNTIFS($D$4:D109,"&gt;"&amp;0,$G$4:G109,"المحفظة"),"")</f>
        <v/>
      </c>
      <c r="N110">
        <f>IF(AND(OR('طباعة كشف الحساب'!$C$2="الكل",MONTH(A110)=IFERROR(MATCH('طباعة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الحساب'!$F$2="الكل",YEAR(A110)=IFERROR(VALUE('طباعة كشف الحساب'!$F$2),0)),A110&lt;&gt;""),IFERROR(MAX($N$4:N109),0)+1,"")</f>
        <v/>
      </c>
      <c r="O110">
        <f>IF(AND(D109&gt;0,F109="أحد الشركاء"),COUNTIFS($D$4:D109,"&gt;"&amp;0,$F$4:F109,"أحد الشركاء"),"")</f>
        <v/>
      </c>
    </row>
    <row r="111" ht="18.75" customHeight="1" s="67">
      <c r="A111" s="45" t="n"/>
      <c r="B111" s="46" t="n"/>
      <c r="C111" s="47" t="n"/>
      <c r="D111" s="48" t="n"/>
      <c r="E111" s="49" t="n"/>
      <c r="F111" s="50" t="n"/>
      <c r="G111" s="51" t="n"/>
      <c r="H111" s="52" t="n"/>
      <c r="I111" s="53" t="n"/>
      <c r="J111" s="54">
        <f>IF(AND(D111="",E111="",A111="",B111="",C111=""),"", IFERROR(IF(J110="",D2,J110),D2)+IF(E111="",0,E111)-IF(OR(G111="أبو اسحاق",G111="أبو آدم",G111="أبو اسحاق ",G111="أبو آدم "),0,IF(D111="",0,D111)))</f>
        <v/>
      </c>
      <c r="K111" s="55" t="n"/>
      <c r="L111">
        <f>IF(E110&gt;0,COUNTIF($E$4:E110,"&gt;0"),"")</f>
        <v/>
      </c>
      <c r="M111">
        <f>IF(AND(D110&gt;0,G110="المحفظة"),COUNTIFS($D$4:D110,"&gt;"&amp;0,$G$4:G110,"المحفظة"),"")</f>
        <v/>
      </c>
      <c r="N111">
        <f>IF(AND(OR('طباعة كشف الحساب'!$C$2="الكل",MONTH(A111)=IFERROR(MATCH('طباعة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الحساب'!$F$2="الكل",YEAR(A111)=IFERROR(VALUE('طباعة كشف الحساب'!$F$2),0)),A111&lt;&gt;""),IFERROR(MAX($N$4:N110),0)+1,"")</f>
        <v/>
      </c>
      <c r="O111">
        <f>IF(AND(D110&gt;0,F110="أحد الشركاء"),COUNTIFS($D$4:D110,"&gt;"&amp;0,$F$4:F110,"أحد الشركاء"),"")</f>
        <v/>
      </c>
    </row>
    <row r="112" ht="18.75" customHeight="1" s="67">
      <c r="A112" s="150" t="n"/>
      <c r="B112" s="57" t="n"/>
      <c r="C112" s="58" t="n"/>
      <c r="D112" s="59" t="n"/>
      <c r="E112" s="60" t="n"/>
      <c r="F112" s="151" t="n"/>
      <c r="G112" s="62" t="n"/>
      <c r="H112" s="63" t="n"/>
      <c r="I112" s="64" t="n"/>
      <c r="J112" s="65">
        <f>IF(AND(D112="",E112="",A112="",B112="",C112=""),"", IFERROR(IF(J111="",D2,J111),D2)+IF(E112="",0,E112)-IF(OR(G112="أبو اسحاق",G112="أبو آدم",G112="أبو اسحاق ",G112="أبو آدم "),0,IF(D112="",0,D112)))</f>
        <v/>
      </c>
      <c r="K112" s="66" t="n"/>
      <c r="L112">
        <f>IF(E111&gt;0,COUNTIF($E$4:E111,"&gt;0"),"")</f>
        <v/>
      </c>
      <c r="M112">
        <f>IF(AND(D111&gt;0,G111="المحفظة"),COUNTIFS($D$4:D111,"&gt;"&amp;0,$G$4:G111,"المحفظة"),"")</f>
        <v/>
      </c>
      <c r="N112">
        <f>IF(AND(OR('طباعة كشف الحساب'!$C$2="الكل",MONTH(A112)=IFERROR(MATCH('طباعة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الحساب'!$F$2="الكل",YEAR(A112)=IFERROR(VALUE('طباعة كشف الحساب'!$F$2),0)),A112&lt;&gt;""),IFERROR(MAX($N$4:N111),0)+1,"")</f>
        <v/>
      </c>
      <c r="O112">
        <f>IF(AND(D111&gt;0,F111="أحد الشركاء"),COUNTIFS($D$4:D111,"&gt;"&amp;0,$F$4:F111,"أحد الشركاء"),"")</f>
        <v/>
      </c>
    </row>
    <row r="113" ht="18.75" customHeight="1" s="67">
      <c r="A113" s="45" t="n"/>
      <c r="B113" s="46" t="n"/>
      <c r="C113" s="47" t="n"/>
      <c r="D113" s="48" t="n"/>
      <c r="E113" s="49" t="n"/>
      <c r="F113" s="50" t="n"/>
      <c r="G113" s="51" t="n"/>
      <c r="H113" s="52" t="n"/>
      <c r="I113" s="53" t="n"/>
      <c r="J113" s="54">
        <f>IF(AND(D113="",E113="",A113="",B113="",C113=""),"", IFERROR(IF(J112="",D2,J112),D2)+IF(E113="",0,E113)-IF(OR(G113="أبو اسحاق",G113="أبو آدم",G113="أبو اسحاق ",G113="أبو آدم "),0,IF(D113="",0,D113)))</f>
        <v/>
      </c>
      <c r="K113" s="55" t="n"/>
      <c r="L113">
        <f>IF(E112&gt;0,COUNTIF($E$4:E112,"&gt;0"),"")</f>
        <v/>
      </c>
      <c r="M113">
        <f>IF(AND(D112&gt;0,G112="المحفظة"),COUNTIFS($D$4:D112,"&gt;"&amp;0,$G$4:G112,"المحفظة"),"")</f>
        <v/>
      </c>
      <c r="N113">
        <f>IF(AND(OR('طباعة كشف الحساب'!$C$2="الكل",MONTH(A113)=IFERROR(MATCH('طباعة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الحساب'!$F$2="الكل",YEAR(A113)=IFERROR(VALUE('طباعة كشف الحساب'!$F$2),0)),A113&lt;&gt;""),IFERROR(MAX($N$4:N112),0)+1,"")</f>
        <v/>
      </c>
      <c r="O113">
        <f>IF(AND(D112&gt;0,F112="أحد الشركاء"),COUNTIFS($D$4:D112,"&gt;"&amp;0,$F$4:F112,"أحد الشركاء"),"")</f>
        <v/>
      </c>
    </row>
    <row r="114" ht="18.75" customHeight="1" s="67">
      <c r="A114" s="150" t="n"/>
      <c r="B114" s="57" t="n"/>
      <c r="C114" s="58" t="n"/>
      <c r="D114" s="59" t="n"/>
      <c r="E114" s="60" t="n"/>
      <c r="F114" s="151" t="n"/>
      <c r="G114" s="62" t="n"/>
      <c r="H114" s="63" t="n"/>
      <c r="I114" s="64" t="n"/>
      <c r="J114" s="65">
        <f>IF(AND(D114="",E114="",A114="",B114="",C114=""),"", IFERROR(IF(J113="",D2,J113),D2)+IF(E114="",0,E114)-IF(OR(G114="أبو اسحاق",G114="أبو آدم",G114="أبو اسحاق ",G114="أبو آدم "),0,IF(D114="",0,D114)))</f>
        <v/>
      </c>
      <c r="K114" s="66" t="n"/>
      <c r="L114">
        <f>IF(E113&gt;0,COUNTIF($E$4:E113,"&gt;0"),"")</f>
        <v/>
      </c>
      <c r="M114">
        <f>IF(AND(D113&gt;0,G113="المحفظة"),COUNTIFS($D$4:D113,"&gt;"&amp;0,$G$4:G113,"المحفظة"),"")</f>
        <v/>
      </c>
      <c r="N114">
        <f>IF(AND(OR('طباعة كشف الحساب'!$C$2="الكل",MONTH(A114)=IFERROR(MATCH('طباعة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الحساب'!$F$2="الكل",YEAR(A114)=IFERROR(VALUE('طباعة كشف الحساب'!$F$2),0)),A114&lt;&gt;""),IFERROR(MAX($N$4:N113),0)+1,"")</f>
        <v/>
      </c>
      <c r="O114">
        <f>IF(AND(D113&gt;0,F113="أحد الشركاء"),COUNTIFS($D$4:D113,"&gt;"&amp;0,$F$4:F113,"أحد الشركاء"),"")</f>
        <v/>
      </c>
    </row>
    <row r="115" ht="18.75" customHeight="1" s="67">
      <c r="A115" s="45" t="n"/>
      <c r="B115" s="46" t="n"/>
      <c r="C115" s="47" t="n"/>
      <c r="D115" s="48" t="n"/>
      <c r="E115" s="49" t="n"/>
      <c r="F115" s="50" t="n"/>
      <c r="G115" s="51" t="n"/>
      <c r="H115" s="52" t="n"/>
      <c r="I115" s="53" t="n"/>
      <c r="J115" s="54">
        <f>IF(AND(D115="",E115="",A115="",B115="",C115=""),"", IFERROR(IF(J114="",D2,J114),D2)+IF(E115="",0,E115)-IF(OR(G115="أبو اسحاق",G115="أبو آدم",G115="أبو اسحاق ",G115="أبو آدم "),0,IF(D115="",0,D115)))</f>
        <v/>
      </c>
      <c r="K115" s="55" t="n"/>
      <c r="L115">
        <f>IF(E114&gt;0,COUNTIF($E$4:E114,"&gt;0"),"")</f>
        <v/>
      </c>
      <c r="M115">
        <f>IF(AND(D114&gt;0,G114="المحفظة"),COUNTIFS($D$4:D114,"&gt;"&amp;0,$G$4:G114,"المحفظة"),"")</f>
        <v/>
      </c>
      <c r="N115">
        <f>IF(AND(OR('طباعة كشف الحساب'!$C$2="الكل",MONTH(A115)=IFERROR(MATCH('طباعة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الحساب'!$F$2="الكل",YEAR(A115)=IFERROR(VALUE('طباعة كشف الحساب'!$F$2),0)),A115&lt;&gt;""),IFERROR(MAX($N$4:N114),0)+1,"")</f>
        <v/>
      </c>
      <c r="O115">
        <f>IF(AND(D114&gt;0,F114="أحد الشركاء"),COUNTIFS($D$4:D114,"&gt;"&amp;0,$F$4:F114,"أحد الشركاء"),"")</f>
        <v/>
      </c>
    </row>
    <row r="116" ht="18.75" customHeight="1" s="67">
      <c r="A116" s="150" t="n"/>
      <c r="B116" s="57" t="n"/>
      <c r="C116" s="58" t="n"/>
      <c r="D116" s="59" t="n"/>
      <c r="E116" s="60" t="n"/>
      <c r="F116" s="151" t="n"/>
      <c r="G116" s="62" t="n"/>
      <c r="H116" s="63" t="n"/>
      <c r="I116" s="64" t="n"/>
      <c r="J116" s="65">
        <f>IF(AND(D116="",E116="",A116="",B116="",C116=""),"", IFERROR(IF(J115="",D2,J115),D2)+IF(E116="",0,E116)-IF(OR(G116="أبو اسحاق",G116="أبو آدم",G116="أبو اسحاق ",G116="أبو آدم "),0,IF(D116="",0,D116)))</f>
        <v/>
      </c>
      <c r="K116" s="66" t="n"/>
      <c r="L116">
        <f>IF(E115&gt;0,COUNTIF($E$4:E115,"&gt;0"),"")</f>
        <v/>
      </c>
      <c r="M116">
        <f>IF(AND(D115&gt;0,G115="المحفظة"),COUNTIFS($D$4:D115,"&gt;"&amp;0,$G$4:G115,"المحفظة"),"")</f>
        <v/>
      </c>
      <c r="N116">
        <f>IF(AND(OR('طباعة كشف الحساب'!$C$2="الكل",MONTH(A116)=IFERROR(MATCH('طباعة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الحساب'!$F$2="الكل",YEAR(A116)=IFERROR(VALUE('طباعة كشف الحساب'!$F$2),0)),A116&lt;&gt;""),IFERROR(MAX($N$4:N115),0)+1,"")</f>
        <v/>
      </c>
      <c r="O116">
        <f>IF(AND(D115&gt;0,F115="أحد الشركاء"),COUNTIFS($D$4:D115,"&gt;"&amp;0,$F$4:F115,"أحد الشركاء"),"")</f>
        <v/>
      </c>
    </row>
    <row r="117" ht="18.75" customHeight="1" s="67">
      <c r="A117" s="45" t="n"/>
      <c r="B117" s="46" t="n"/>
      <c r="C117" s="47" t="n"/>
      <c r="D117" s="48" t="n"/>
      <c r="E117" s="49" t="n"/>
      <c r="F117" s="50" t="n"/>
      <c r="G117" s="51" t="n"/>
      <c r="H117" s="52" t="n"/>
      <c r="I117" s="53" t="n"/>
      <c r="J117" s="54">
        <f>IF(AND(D117="",E117="",A117="",B117="",C117=""),"", IFERROR(IF(J116="",D2,J116),D2)+IF(E117="",0,E117)-IF(OR(G117="أبو اسحاق",G117="أبو آدم",G117="أبو اسحاق ",G117="أبو آدم "),0,IF(D117="",0,D117)))</f>
        <v/>
      </c>
      <c r="K117" s="55" t="n"/>
      <c r="L117">
        <f>IF(E116&gt;0,COUNTIF($E$4:E116,"&gt;0"),"")</f>
        <v/>
      </c>
      <c r="M117">
        <f>IF(AND(D116&gt;0,G116="المحفظة"),COUNTIFS($D$4:D116,"&gt;"&amp;0,$G$4:G116,"المحفظة"),"")</f>
        <v/>
      </c>
      <c r="N117">
        <f>IF(AND(OR('طباعة كشف الحساب'!$C$2="الكل",MONTH(A117)=IFERROR(MATCH('طباعة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الحساب'!$F$2="الكل",YEAR(A117)=IFERROR(VALUE('طباعة كشف الحساب'!$F$2),0)),A117&lt;&gt;""),IFERROR(MAX($N$4:N116),0)+1,"")</f>
        <v/>
      </c>
      <c r="O117">
        <f>IF(AND(D116&gt;0,F116="أحد الشركاء"),COUNTIFS($D$4:D116,"&gt;"&amp;0,$F$4:F116,"أحد الشركاء"),"")</f>
        <v/>
      </c>
    </row>
    <row r="118" ht="18.75" customHeight="1" s="67">
      <c r="A118" s="150" t="n"/>
      <c r="B118" s="57" t="n"/>
      <c r="C118" s="58" t="n"/>
      <c r="D118" s="59" t="n"/>
      <c r="E118" s="60" t="n"/>
      <c r="F118" s="151" t="n"/>
      <c r="G118" s="62" t="n"/>
      <c r="H118" s="63" t="n"/>
      <c r="I118" s="64" t="n"/>
      <c r="J118" s="65">
        <f>IF(AND(D118="",E118="",A118="",B118="",C118=""),"", IFERROR(IF(J117="",D2,J117),D2)+IF(E118="",0,E118)-IF(OR(G118="أبو اسحاق",G118="أبو آدم",G118="أبو اسحاق ",G118="أبو آدم "),0,IF(D118="",0,D118)))</f>
        <v/>
      </c>
      <c r="K118" s="66" t="n"/>
      <c r="L118">
        <f>IF(E117&gt;0,COUNTIF($E$4:E117,"&gt;0"),"")</f>
        <v/>
      </c>
      <c r="M118">
        <f>IF(AND(D117&gt;0,G117="المحفظة"),COUNTIFS($D$4:D117,"&gt;"&amp;0,$G$4:G117,"المحفظة"),"")</f>
        <v/>
      </c>
      <c r="N118">
        <f>IF(AND(OR('طباعة كشف الحساب'!$C$2="الكل",MONTH(A118)=IFERROR(MATCH('طباعة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الحساب'!$F$2="الكل",YEAR(A118)=IFERROR(VALUE('طباعة كشف الحساب'!$F$2),0)),A118&lt;&gt;""),IFERROR(MAX($N$4:N117),0)+1,"")</f>
        <v/>
      </c>
      <c r="O118">
        <f>IF(AND(D117&gt;0,F117="أحد الشركاء"),COUNTIFS($D$4:D117,"&gt;"&amp;0,$F$4:F117,"أحد الشركاء"),"")</f>
        <v/>
      </c>
    </row>
    <row r="119" ht="18.75" customHeight="1" s="67">
      <c r="A119" s="45" t="n"/>
      <c r="B119" s="46" t="n"/>
      <c r="C119" s="47" t="n"/>
      <c r="D119" s="48" t="n"/>
      <c r="E119" s="49" t="n"/>
      <c r="F119" s="50" t="n"/>
      <c r="G119" s="51" t="n"/>
      <c r="H119" s="52" t="n"/>
      <c r="I119" s="53" t="n"/>
      <c r="J119" s="54">
        <f>IF(AND(D119="",E119="",A119="",B119="",C119=""),"", IFERROR(IF(J118="",D2,J118),D2)+IF(E119="",0,E119)-IF(OR(G119="أبو اسحاق",G119="أبو آدم",G119="أبو اسحاق ",G119="أبو آدم "),0,IF(D119="",0,D119)))</f>
        <v/>
      </c>
      <c r="K119" s="55" t="n"/>
      <c r="L119">
        <f>IF(E118&gt;0,COUNTIF($E$4:E118,"&gt;0"),"")</f>
        <v/>
      </c>
      <c r="M119">
        <f>IF(AND(D118&gt;0,G118="المحفظة"),COUNTIFS($D$4:D118,"&gt;"&amp;0,$G$4:G118,"المحفظة"),"")</f>
        <v/>
      </c>
      <c r="N119">
        <f>IF(AND(OR('طباعة كشف الحساب'!$C$2="الكل",MONTH(A119)=IFERROR(MATCH('طباعة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الحساب'!$F$2="الكل",YEAR(A119)=IFERROR(VALUE('طباعة كشف الحساب'!$F$2),0)),A119&lt;&gt;""),IFERROR(MAX($N$4:N118),0)+1,"")</f>
        <v/>
      </c>
      <c r="O119">
        <f>IF(AND(D118&gt;0,F118="أحد الشركاء"),COUNTIFS($D$4:D118,"&gt;"&amp;0,$F$4:F118,"أحد الشركاء"),"")</f>
        <v/>
      </c>
    </row>
    <row r="120" ht="18.75" customHeight="1" s="67">
      <c r="A120" s="150" t="n"/>
      <c r="B120" s="57" t="n"/>
      <c r="C120" s="58" t="n"/>
      <c r="D120" s="59" t="n"/>
      <c r="E120" s="60" t="n"/>
      <c r="F120" s="151" t="n"/>
      <c r="G120" s="62" t="n"/>
      <c r="H120" s="63" t="n"/>
      <c r="I120" s="64" t="n"/>
      <c r="J120" s="65">
        <f>IF(AND(D120="",E120="",A120="",B120="",C120=""),"", IFERROR(IF(J119="",D2,J119),D2)+IF(E120="",0,E120)-IF(OR(G120="أبو اسحاق",G120="أبو آدم",G120="أبو اسحاق ",G120="أبو آدم "),0,IF(D120="",0,D120)))</f>
        <v/>
      </c>
      <c r="K120" s="66" t="n"/>
      <c r="L120">
        <f>IF(E119&gt;0,COUNTIF($E$4:E119,"&gt;0"),"")</f>
        <v/>
      </c>
      <c r="M120">
        <f>IF(AND(D119&gt;0,G119="المحفظة"),COUNTIFS($D$4:D119,"&gt;"&amp;0,$G$4:G119,"المحفظة"),"")</f>
        <v/>
      </c>
      <c r="N120">
        <f>IF(AND(OR('طباعة كشف الحساب'!$C$2="الكل",MONTH(A120)=IFERROR(MATCH('طباعة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الحساب'!$F$2="الكل",YEAR(A120)=IFERROR(VALUE('طباعة كشف الحساب'!$F$2),0)),A120&lt;&gt;""),IFERROR(MAX($N$4:N119),0)+1,"")</f>
        <v/>
      </c>
      <c r="O120">
        <f>IF(AND(D119&gt;0,F119="أحد الشركاء"),COUNTIFS($D$4:D119,"&gt;"&amp;0,$F$4:F119,"أحد الشركاء"),"")</f>
        <v/>
      </c>
    </row>
    <row r="121" ht="18.75" customHeight="1" s="67">
      <c r="A121" s="45" t="n"/>
      <c r="B121" s="46" t="n"/>
      <c r="C121" s="47" t="n"/>
      <c r="D121" s="48" t="n"/>
      <c r="E121" s="49" t="n"/>
      <c r="F121" s="50" t="n"/>
      <c r="G121" s="51" t="n"/>
      <c r="H121" s="52" t="n"/>
      <c r="I121" s="53" t="n"/>
      <c r="J121" s="54">
        <f>IF(AND(D121="",E121="",A121="",B121="",C121=""),"", IFERROR(IF(J120="",D2,J120),D2)+IF(E121="",0,E121)-IF(OR(G121="أبو اسحاق",G121="أبو آدم",G121="أبو اسحاق ",G121="أبو آدم "),0,IF(D121="",0,D121)))</f>
        <v/>
      </c>
      <c r="K121" s="55" t="n"/>
      <c r="L121">
        <f>IF(E120&gt;0,COUNTIF($E$4:E120,"&gt;0"),"")</f>
        <v/>
      </c>
      <c r="M121">
        <f>IF(AND(D120&gt;0,G120="المحفظة"),COUNTIFS($D$4:D120,"&gt;"&amp;0,$G$4:G120,"المحفظة"),"")</f>
        <v/>
      </c>
      <c r="N121">
        <f>IF(AND(OR('طباعة كشف الحساب'!$C$2="الكل",MONTH(A121)=IFERROR(MATCH('طباعة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الحساب'!$F$2="الكل",YEAR(A121)=IFERROR(VALUE('طباعة كشف الحساب'!$F$2),0)),A121&lt;&gt;""),IFERROR(MAX($N$4:N120),0)+1,"")</f>
        <v/>
      </c>
      <c r="O121">
        <f>IF(AND(D120&gt;0,F120="أحد الشركاء"),COUNTIFS($D$4:D120,"&gt;"&amp;0,$F$4:F120,"أحد الشركاء"),"")</f>
        <v/>
      </c>
    </row>
    <row r="122" ht="18.75" customHeight="1" s="67">
      <c r="A122" s="150" t="n"/>
      <c r="B122" s="57" t="n"/>
      <c r="C122" s="58" t="n"/>
      <c r="D122" s="59" t="n"/>
      <c r="E122" s="60" t="n"/>
      <c r="F122" s="151" t="n"/>
      <c r="G122" s="62" t="n"/>
      <c r="H122" s="63" t="n"/>
      <c r="I122" s="64" t="n"/>
      <c r="J122" s="65">
        <f>IF(AND(D122="",E122="",A122="",B122="",C122=""),"", IFERROR(IF(J121="",D2,J121),D2)+IF(E122="",0,E122)-IF(OR(G122="أبو اسحاق",G122="أبو آدم",G122="أبو اسحاق ",G122="أبو آدم "),0,IF(D122="",0,D122)))</f>
        <v/>
      </c>
      <c r="K122" s="66" t="n"/>
      <c r="L122">
        <f>IF(E121&gt;0,COUNTIF($E$4:E121,"&gt;0"),"")</f>
        <v/>
      </c>
      <c r="M122">
        <f>IF(AND(D121&gt;0,G121="المحفظة"),COUNTIFS($D$4:D121,"&gt;"&amp;0,$G$4:G121,"المحفظة"),"")</f>
        <v/>
      </c>
      <c r="N122">
        <f>IF(AND(OR('طباعة كشف الحساب'!$C$2="الكل",MONTH(A122)=IFERROR(MATCH('طباعة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الحساب'!$F$2="الكل",YEAR(A122)=IFERROR(VALUE('طباعة كشف الحساب'!$F$2),0)),A122&lt;&gt;""),IFERROR(MAX($N$4:N121),0)+1,"")</f>
        <v/>
      </c>
      <c r="O122">
        <f>IF(AND(D121&gt;0,F121="أحد الشركاء"),COUNTIFS($D$4:D121,"&gt;"&amp;0,$F$4:F121,"أحد الشركاء"),"")</f>
        <v/>
      </c>
    </row>
    <row r="123" ht="18.75" customHeight="1" s="67">
      <c r="A123" s="45" t="n"/>
      <c r="B123" s="46" t="n"/>
      <c r="C123" s="47" t="n"/>
      <c r="D123" s="48" t="n"/>
      <c r="E123" s="49" t="n"/>
      <c r="F123" s="50" t="n"/>
      <c r="G123" s="51" t="n"/>
      <c r="H123" s="52" t="n"/>
      <c r="I123" s="53" t="n"/>
      <c r="J123" s="54">
        <f>IF(AND(D123="",E123="",A123="",B123="",C123=""),"", IFERROR(IF(J122="",D2,J122),D2)+IF(E123="",0,E123)-IF(OR(G123="أبو اسحاق",G123="أبو آدم",G123="أبو اسحاق ",G123="أبو آدم "),0,IF(D123="",0,D123)))</f>
        <v/>
      </c>
      <c r="K123" s="55" t="n"/>
      <c r="L123">
        <f>IF(E122&gt;0,COUNTIF($E$4:E122,"&gt;0"),"")</f>
        <v/>
      </c>
      <c r="M123">
        <f>IF(AND(D122&gt;0,G122="المحفظة"),COUNTIFS($D$4:D122,"&gt;"&amp;0,$G$4:G122,"المحفظة"),"")</f>
        <v/>
      </c>
      <c r="N123">
        <f>IF(AND(OR('طباعة كشف الحساب'!$C$2="الكل",MONTH(A123)=IFERROR(MATCH('طباعة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الحساب'!$F$2="الكل",YEAR(A123)=IFERROR(VALUE('طباعة كشف الحساب'!$F$2),0)),A123&lt;&gt;""),IFERROR(MAX($N$4:N122),0)+1,"")</f>
        <v/>
      </c>
      <c r="O123">
        <f>IF(AND(D122&gt;0,F122="أحد الشركاء"),COUNTIFS($D$4:D122,"&gt;"&amp;0,$F$4:F122,"أحد الشركاء"),"")</f>
        <v/>
      </c>
    </row>
    <row r="124" ht="18.75" customHeight="1" s="67">
      <c r="A124" s="150" t="n"/>
      <c r="B124" s="57" t="n"/>
      <c r="C124" s="58" t="n"/>
      <c r="D124" s="59" t="n"/>
      <c r="E124" s="60" t="n"/>
      <c r="F124" s="151" t="n"/>
      <c r="G124" s="62" t="n"/>
      <c r="H124" s="63" t="n"/>
      <c r="I124" s="64" t="n"/>
      <c r="J124" s="65">
        <f>IF(AND(D124="",E124="",A124="",B124="",C124=""),"", IFERROR(IF(J123="",D2,J123),D2)+IF(E124="",0,E124)-IF(OR(G124="أبو اسحاق",G124="أبو آدم",G124="أبو اسحاق ",G124="أبو آدم "),0,IF(D124="",0,D124)))</f>
        <v/>
      </c>
      <c r="K124" s="66" t="n"/>
      <c r="L124">
        <f>IF(E123&gt;0,COUNTIF($E$4:E123,"&gt;0"),"")</f>
        <v/>
      </c>
      <c r="M124">
        <f>IF(AND(D123&gt;0,G123="المحفظة"),COUNTIFS($D$4:D123,"&gt;"&amp;0,$G$4:G123,"المحفظة"),"")</f>
        <v/>
      </c>
      <c r="N124">
        <f>IF(AND(OR('طباعة كشف الحساب'!$C$2="الكل",MONTH(A124)=IFERROR(MATCH('طباعة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الحساب'!$F$2="الكل",YEAR(A124)=IFERROR(VALUE('طباعة كشف الحساب'!$F$2),0)),A124&lt;&gt;""),IFERROR(MAX($N$4:N123),0)+1,"")</f>
        <v/>
      </c>
      <c r="O124">
        <f>IF(AND(D123&gt;0,F123="أحد الشركاء"),COUNTIFS($D$4:D123,"&gt;"&amp;0,$F$4:F123,"أحد الشركاء"),"")</f>
        <v/>
      </c>
    </row>
    <row r="125" ht="18.75" customHeight="1" s="67">
      <c r="A125" s="45" t="n"/>
      <c r="B125" s="46" t="n"/>
      <c r="C125" s="47" t="n"/>
      <c r="D125" s="48" t="n"/>
      <c r="E125" s="49" t="n"/>
      <c r="F125" s="50" t="n"/>
      <c r="G125" s="51" t="n"/>
      <c r="H125" s="52" t="n"/>
      <c r="I125" s="53" t="n"/>
      <c r="J125" s="54">
        <f>IF(AND(D125="",E125="",A125="",B125="",C125=""),"", IFERROR(IF(J124="",D2,J124),D2)+IF(E125="",0,E125)-IF(OR(G125="أبو اسحاق",G125="أبو آدم",G125="أبو اسحاق ",G125="أبو آدم "),0,IF(D125="",0,D125)))</f>
        <v/>
      </c>
      <c r="K125" s="55" t="n"/>
      <c r="L125">
        <f>IF(E124&gt;0,COUNTIF($E$4:E124,"&gt;0"),"")</f>
        <v/>
      </c>
      <c r="M125">
        <f>IF(AND(D124&gt;0,G124="المحفظة"),COUNTIFS($D$4:D124,"&gt;"&amp;0,$G$4:G124,"المحفظة"),"")</f>
        <v/>
      </c>
      <c r="N125">
        <f>IF(AND(OR('طباعة كشف الحساب'!$C$2="الكل",MONTH(A125)=IFERROR(MATCH('طباعة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الحساب'!$F$2="الكل",YEAR(A125)=IFERROR(VALUE('طباعة كشف الحساب'!$F$2),0)),A125&lt;&gt;""),IFERROR(MAX($N$4:N124),0)+1,"")</f>
        <v/>
      </c>
      <c r="O125">
        <f>IF(AND(D124&gt;0,F124="أحد الشركاء"),COUNTIFS($D$4:D124,"&gt;"&amp;0,$F$4:F124,"أحد الشركاء"),"")</f>
        <v/>
      </c>
    </row>
    <row r="126" ht="18.75" customHeight="1" s="67">
      <c r="A126" s="150" t="n"/>
      <c r="B126" s="57" t="n"/>
      <c r="C126" s="58" t="n"/>
      <c r="D126" s="59" t="n"/>
      <c r="E126" s="60" t="n"/>
      <c r="F126" s="151" t="n"/>
      <c r="G126" s="62" t="n"/>
      <c r="H126" s="63" t="n"/>
      <c r="I126" s="64" t="n"/>
      <c r="J126" s="65">
        <f>IF(AND(D126="",E126="",A126="",B126="",C126=""),"", IFERROR(IF(J125="",D2,J125),D2)+IF(E126="",0,E126)-IF(OR(G126="أبو اسحاق",G126="أبو آدم",G126="أبو اسحاق ",G126="أبو آدم "),0,IF(D126="",0,D126)))</f>
        <v/>
      </c>
      <c r="K126" s="66" t="n"/>
      <c r="L126">
        <f>IF(E125&gt;0,COUNTIF($E$4:E125,"&gt;0"),"")</f>
        <v/>
      </c>
      <c r="M126">
        <f>IF(AND(D125&gt;0,G125="المحفظة"),COUNTIFS($D$4:D125,"&gt;"&amp;0,$G$4:G125,"المحفظة"),"")</f>
        <v/>
      </c>
      <c r="N126">
        <f>IF(AND(OR('طباعة كشف الحساب'!$C$2="الكل",MONTH(A126)=IFERROR(MATCH('طباعة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الحساب'!$F$2="الكل",YEAR(A126)=IFERROR(VALUE('طباعة كشف الحساب'!$F$2),0)),A126&lt;&gt;""),IFERROR(MAX($N$4:N125),0)+1,"")</f>
        <v/>
      </c>
      <c r="O126">
        <f>IF(AND(D125&gt;0,F125="أحد الشركاء"),COUNTIFS($D$4:D125,"&gt;"&amp;0,$F$4:F125,"أحد الشركاء"),"")</f>
        <v/>
      </c>
    </row>
    <row r="127" ht="18.75" customHeight="1" s="67">
      <c r="A127" s="45" t="n"/>
      <c r="B127" s="46" t="n"/>
      <c r="C127" s="47" t="n"/>
      <c r="D127" s="48" t="n"/>
      <c r="E127" s="49" t="n"/>
      <c r="F127" s="50" t="n"/>
      <c r="G127" s="51" t="n"/>
      <c r="H127" s="52" t="n"/>
      <c r="I127" s="53" t="n"/>
      <c r="J127" s="54">
        <f>IF(AND(D127="",E127="",A127="",B127="",C127=""),"", IFERROR(IF(J126="",D2,J126),D2)+IF(E127="",0,E127)-IF(OR(G127="أبو اسحاق",G127="أبو آدم",G127="أبو اسحاق ",G127="أبو آدم "),0,IF(D127="",0,D127)))</f>
        <v/>
      </c>
      <c r="K127" s="55" t="n"/>
      <c r="L127">
        <f>IF(E126&gt;0,COUNTIF($E$4:E126,"&gt;0"),"")</f>
        <v/>
      </c>
      <c r="M127">
        <f>IF(AND(D126&gt;0,G126="المحفظة"),COUNTIFS($D$4:D126,"&gt;"&amp;0,$G$4:G126,"المحفظة"),"")</f>
        <v/>
      </c>
      <c r="N127">
        <f>IF(AND(OR('طباعة كشف الحساب'!$C$2="الكل",MONTH(A127)=IFERROR(MATCH('طباعة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الحساب'!$F$2="الكل",YEAR(A127)=IFERROR(VALUE('طباعة كشف الحساب'!$F$2),0)),A127&lt;&gt;""),IFERROR(MAX($N$4:N126),0)+1,"")</f>
        <v/>
      </c>
      <c r="O127">
        <f>IF(AND(D126&gt;0,F126="أحد الشركاء"),COUNTIFS($D$4:D126,"&gt;"&amp;0,$F$4:F126,"أحد الشركاء"),"")</f>
        <v/>
      </c>
    </row>
    <row r="128" ht="18.75" customHeight="1" s="67">
      <c r="A128" s="150" t="n"/>
      <c r="B128" s="57" t="n"/>
      <c r="C128" s="58" t="n"/>
      <c r="D128" s="59" t="n"/>
      <c r="E128" s="60" t="n"/>
      <c r="F128" s="151" t="n"/>
      <c r="G128" s="62" t="n"/>
      <c r="H128" s="63" t="n"/>
      <c r="I128" s="64" t="n"/>
      <c r="J128" s="65">
        <f>IF(AND(D128="",E128="",A128="",B128="",C128=""),"", IFERROR(IF(J127="",D2,J127),D2)+IF(E128="",0,E128)-IF(OR(G128="أبو اسحاق",G128="أبو آدم",G128="أبو اسحاق ",G128="أبو آدم "),0,IF(D128="",0,D128)))</f>
        <v/>
      </c>
      <c r="K128" s="66" t="n"/>
      <c r="L128">
        <f>IF(E127&gt;0,COUNTIF($E$4:E127,"&gt;0"),"")</f>
        <v/>
      </c>
      <c r="M128">
        <f>IF(AND(D127&gt;0,G127="المحفظة"),COUNTIFS($D$4:D127,"&gt;"&amp;0,$G$4:G127,"المحفظة"),"")</f>
        <v/>
      </c>
      <c r="N128">
        <f>IF(AND(OR('طباعة كشف الحساب'!$C$2="الكل",MONTH(A128)=IFERROR(MATCH('طباعة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الحساب'!$F$2="الكل",YEAR(A128)=IFERROR(VALUE('طباعة كشف الحساب'!$F$2),0)),A128&lt;&gt;""),IFERROR(MAX($N$4:N127),0)+1,"")</f>
        <v/>
      </c>
      <c r="O128">
        <f>IF(AND(D127&gt;0,F127="أحد الشركاء"),COUNTIFS($D$4:D127,"&gt;"&amp;0,$F$4:F127,"أحد الشركاء"),"")</f>
        <v/>
      </c>
    </row>
    <row r="129" ht="18.75" customHeight="1" s="67">
      <c r="A129" s="45" t="n"/>
      <c r="B129" s="46" t="n"/>
      <c r="C129" s="47" t="n"/>
      <c r="D129" s="48" t="n"/>
      <c r="E129" s="49" t="n"/>
      <c r="F129" s="50" t="n"/>
      <c r="G129" s="51" t="n"/>
      <c r="H129" s="52" t="n"/>
      <c r="I129" s="53" t="n"/>
      <c r="J129" s="54">
        <f>IF(AND(D129="",E129="",A129="",B129="",C129=""),"", IFERROR(IF(J128="",D2,J128),D2)+IF(E129="",0,E129)-IF(OR(G129="أبو اسحاق",G129="أبو آدم",G129="أبو اسحاق ",G129="أبو آدم "),0,IF(D129="",0,D129)))</f>
        <v/>
      </c>
      <c r="K129" s="55" t="n"/>
      <c r="L129">
        <f>IF(E128&gt;0,COUNTIF($E$4:E128,"&gt;0"),"")</f>
        <v/>
      </c>
      <c r="M129">
        <f>IF(AND(D128&gt;0,G128="المحفظة"),COUNTIFS($D$4:D128,"&gt;"&amp;0,$G$4:G128,"المحفظة"),"")</f>
        <v/>
      </c>
      <c r="N129">
        <f>IF(AND(OR('طباعة كشف الحساب'!$C$2="الكل",MONTH(A129)=IFERROR(MATCH('طباعة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الحساب'!$F$2="الكل",YEAR(A129)=IFERROR(VALUE('طباعة كشف الحساب'!$F$2),0)),A129&lt;&gt;""),IFERROR(MAX($N$4:N128),0)+1,"")</f>
        <v/>
      </c>
      <c r="O129">
        <f>IF(AND(D128&gt;0,F128="أحد الشركاء"),COUNTIFS($D$4:D128,"&gt;"&amp;0,$F$4:F128,"أحد الشركاء"),"")</f>
        <v/>
      </c>
    </row>
    <row r="130" ht="18.75" customHeight="1" s="67">
      <c r="A130" s="150" t="n"/>
      <c r="B130" s="57" t="n"/>
      <c r="C130" s="58" t="n"/>
      <c r="D130" s="59" t="n"/>
      <c r="E130" s="60" t="n"/>
      <c r="F130" s="151" t="n"/>
      <c r="G130" s="62" t="n"/>
      <c r="H130" s="63" t="n"/>
      <c r="I130" s="64" t="n"/>
      <c r="J130" s="65">
        <f>IF(AND(D130="",E130="",A130="",B130="",C130=""),"", IFERROR(IF(J129="",D2,J129),D2)+IF(E130="",0,E130)-IF(OR(G130="أبو اسحاق",G130="أبو آدم",G130="أبو اسحاق ",G130="أبو آدم "),0,IF(D130="",0,D130)))</f>
        <v/>
      </c>
      <c r="K130" s="66" t="n"/>
      <c r="L130">
        <f>IF(E129&gt;0,COUNTIF($E$4:E129,"&gt;0"),"")</f>
        <v/>
      </c>
      <c r="M130">
        <f>IF(AND(D129&gt;0,G129="المحفظة"),COUNTIFS($D$4:D129,"&gt;"&amp;0,$G$4:G129,"المحفظة"),"")</f>
        <v/>
      </c>
      <c r="N130">
        <f>IF(AND(OR('طباعة كشف الحساب'!$C$2="الكل",MONTH(A130)=IFERROR(MATCH('طباعة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الحساب'!$F$2="الكل",YEAR(A130)=IFERROR(VALUE('طباعة كشف الحساب'!$F$2),0)),A130&lt;&gt;""),IFERROR(MAX($N$4:N129),0)+1,"")</f>
        <v/>
      </c>
      <c r="O130">
        <f>IF(AND(D129&gt;0,F129="أحد الشركاء"),COUNTIFS($D$4:D129,"&gt;"&amp;0,$F$4:F129,"أحد الشركاء"),"")</f>
        <v/>
      </c>
    </row>
    <row r="131" ht="18.75" customHeight="1" s="67">
      <c r="A131" s="45" t="n"/>
      <c r="B131" s="46" t="n"/>
      <c r="C131" s="47" t="n"/>
      <c r="D131" s="48" t="n"/>
      <c r="E131" s="49" t="n"/>
      <c r="F131" s="50" t="n"/>
      <c r="G131" s="51" t="n"/>
      <c r="H131" s="52" t="n"/>
      <c r="I131" s="53" t="n"/>
      <c r="J131" s="54">
        <f>IF(AND(D131="",E131="",A131="",B131="",C131=""),"", IFERROR(IF(J130="",D2,J130),D2)+IF(E131="",0,E131)-IF(OR(G131="أبو اسحاق",G131="أبو آدم",G131="أبو اسحاق ",G131="أبو آدم "),0,IF(D131="",0,D131)))</f>
        <v/>
      </c>
      <c r="K131" s="55" t="n"/>
      <c r="L131">
        <f>IF(E130&gt;0,COUNTIF($E$4:E130,"&gt;0"),"")</f>
        <v/>
      </c>
      <c r="M131">
        <f>IF(AND(D130&gt;0,G130="المحفظة"),COUNTIFS($D$4:D130,"&gt;"&amp;0,$G$4:G130,"المحفظة"),"")</f>
        <v/>
      </c>
      <c r="N131">
        <f>IF(AND(OR('طباعة كشف الحساب'!$C$2="الكل",MONTH(A131)=IFERROR(MATCH('طباعة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الحساب'!$F$2="الكل",YEAR(A131)=IFERROR(VALUE('طباعة كشف الحساب'!$F$2),0)),A131&lt;&gt;""),IFERROR(MAX($N$4:N130),0)+1,"")</f>
        <v/>
      </c>
      <c r="O131">
        <f>IF(AND(D130&gt;0,F130="أحد الشركاء"),COUNTIFS($D$4:D130,"&gt;"&amp;0,$F$4:F130,"أحد الشركاء"),"")</f>
        <v/>
      </c>
    </row>
    <row r="132" ht="18.75" customHeight="1" s="67">
      <c r="A132" s="150" t="n"/>
      <c r="B132" s="57" t="n"/>
      <c r="C132" s="58" t="n"/>
      <c r="D132" s="59" t="n"/>
      <c r="E132" s="60" t="n"/>
      <c r="F132" s="151" t="n"/>
      <c r="G132" s="62" t="n"/>
      <c r="H132" s="63" t="n"/>
      <c r="I132" s="64" t="n"/>
      <c r="J132" s="65">
        <f>IF(AND(D132="",E132="",A132="",B132="",C132=""),"", IFERROR(IF(J131="",D2,J131),D2)+IF(E132="",0,E132)-IF(OR(G132="أبو اسحاق",G132="أبو آدم",G132="أبو اسحاق ",G132="أبو آدم "),0,IF(D132="",0,D132)))</f>
        <v/>
      </c>
      <c r="K132" s="66" t="n"/>
      <c r="L132">
        <f>IF(E131&gt;0,COUNTIF($E$4:E131,"&gt;0"),"")</f>
        <v/>
      </c>
      <c r="M132">
        <f>IF(AND(D131&gt;0,G131="المحفظة"),COUNTIFS($D$4:D131,"&gt;"&amp;0,$G$4:G131,"المحفظة"),"")</f>
        <v/>
      </c>
      <c r="N132">
        <f>IF(AND(OR('طباعة كشف الحساب'!$C$2="الكل",MONTH(A132)=IFERROR(MATCH('طباعة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الحساب'!$F$2="الكل",YEAR(A132)=IFERROR(VALUE('طباعة كشف الحساب'!$F$2),0)),A132&lt;&gt;""),IFERROR(MAX($N$4:N131),0)+1,"")</f>
        <v/>
      </c>
      <c r="O132">
        <f>IF(AND(D131&gt;0,F131="أحد الشركاء"),COUNTIFS($D$4:D131,"&gt;"&amp;0,$F$4:F131,"أحد الشركاء"),"")</f>
        <v/>
      </c>
    </row>
    <row r="133" ht="18.75" customHeight="1" s="67">
      <c r="A133" s="45" t="n"/>
      <c r="B133" s="46" t="n"/>
      <c r="C133" s="47" t="n"/>
      <c r="D133" s="48" t="n"/>
      <c r="E133" s="49" t="n"/>
      <c r="F133" s="50" t="n"/>
      <c r="G133" s="51" t="n"/>
      <c r="H133" s="52" t="n"/>
      <c r="I133" s="53" t="n"/>
      <c r="J133" s="54">
        <f>IF(AND(D133="",E133="",A133="",B133="",C133=""),"", IFERROR(IF(J132="",D2,J132),D2)+IF(E133="",0,E133)-IF(OR(G133="أبو اسحاق",G133="أبو آدم",G133="أبو اسحاق ",G133="أبو آدم "),0,IF(D133="",0,D133)))</f>
        <v/>
      </c>
      <c r="K133" s="55" t="n"/>
      <c r="L133">
        <f>IF(E132&gt;0,COUNTIF($E$4:E132,"&gt;0"),"")</f>
        <v/>
      </c>
      <c r="M133">
        <f>IF(AND(D132&gt;0,G132="المحفظة"),COUNTIFS($D$4:D132,"&gt;"&amp;0,$G$4:G132,"المحفظة"),"")</f>
        <v/>
      </c>
      <c r="N133">
        <f>IF(AND(OR('طباعة كشف الحساب'!$C$2="الكل",MONTH(A133)=IFERROR(MATCH('طباعة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الحساب'!$F$2="الكل",YEAR(A133)=IFERROR(VALUE('طباعة كشف الحساب'!$F$2),0)),A133&lt;&gt;""),IFERROR(MAX($N$4:N132),0)+1,"")</f>
        <v/>
      </c>
      <c r="O133">
        <f>IF(AND(D132&gt;0,F132="أحد الشركاء"),COUNTIFS($D$4:D132,"&gt;"&amp;0,$F$4:F132,"أحد الشركاء"),"")</f>
        <v/>
      </c>
    </row>
    <row r="134" ht="18.75" customHeight="1" s="67">
      <c r="A134" s="150" t="n"/>
      <c r="B134" s="57" t="n"/>
      <c r="C134" s="58" t="n"/>
      <c r="D134" s="59" t="n"/>
      <c r="E134" s="60" t="n"/>
      <c r="F134" s="151" t="n"/>
      <c r="G134" s="62" t="n"/>
      <c r="H134" s="63" t="n"/>
      <c r="I134" s="64" t="n"/>
      <c r="J134" s="65">
        <f>IF(AND(D134="",E134="",A134="",B134="",C134=""),"", IFERROR(IF(J133="",D2,J133),D2)+IF(E134="",0,E134)-IF(OR(G134="أبو اسحاق",G134="أبو آدم",G134="أبو اسحاق ",G134="أبو آدم "),0,IF(D134="",0,D134)))</f>
        <v/>
      </c>
      <c r="K134" s="66" t="n"/>
      <c r="L134">
        <f>IF(E133&gt;0,COUNTIF($E$4:E133,"&gt;0"),"")</f>
        <v/>
      </c>
      <c r="M134">
        <f>IF(AND(D133&gt;0,G133="المحفظة"),COUNTIFS($D$4:D133,"&gt;"&amp;0,$G$4:G133,"المحفظة"),"")</f>
        <v/>
      </c>
      <c r="N134">
        <f>IF(AND(OR('طباعة كشف الحساب'!$C$2="الكل",MONTH(A134)=IFERROR(MATCH('طباعة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الحساب'!$F$2="الكل",YEAR(A134)=IFERROR(VALUE('طباعة كشف الحساب'!$F$2),0)),A134&lt;&gt;""),IFERROR(MAX($N$4:N133),0)+1,"")</f>
        <v/>
      </c>
      <c r="O134">
        <f>IF(AND(D133&gt;0,F133="أحد الشركاء"),COUNTIFS($D$4:D133,"&gt;"&amp;0,$F$4:F133,"أحد الشركاء"),"")</f>
        <v/>
      </c>
    </row>
    <row r="135" ht="18.75" customHeight="1" s="67">
      <c r="A135" s="45" t="n"/>
      <c r="B135" s="46" t="n"/>
      <c r="C135" s="47" t="n"/>
      <c r="D135" s="48" t="n"/>
      <c r="E135" s="49" t="n"/>
      <c r="F135" s="50" t="n"/>
      <c r="G135" s="51" t="n"/>
      <c r="H135" s="52" t="n"/>
      <c r="I135" s="53" t="n"/>
      <c r="J135" s="54">
        <f>IF(AND(D135="",E135="",A135="",B135="",C135=""),"", IFERROR(IF(J134="",D2,J134),D2)+IF(E135="",0,E135)-IF(OR(G135="أبو اسحاق",G135="أبو آدم",G135="أبو اسحاق ",G135="أبو آدم "),0,IF(D135="",0,D135)))</f>
        <v/>
      </c>
      <c r="K135" s="55" t="n"/>
      <c r="L135">
        <f>IF(E134&gt;0,COUNTIF($E$4:E134,"&gt;0"),"")</f>
        <v/>
      </c>
      <c r="M135">
        <f>IF(AND(D134&gt;0,G134="المحفظة"),COUNTIFS($D$4:D134,"&gt;"&amp;0,$G$4:G134,"المحفظة"),"")</f>
        <v/>
      </c>
      <c r="N135">
        <f>IF(AND(OR('طباعة كشف الحساب'!$C$2="الكل",MONTH(A135)=IFERROR(MATCH('طباعة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الحساب'!$F$2="الكل",YEAR(A135)=IFERROR(VALUE('طباعة كشف الحساب'!$F$2),0)),A135&lt;&gt;""),IFERROR(MAX($N$4:N134),0)+1,"")</f>
        <v/>
      </c>
      <c r="O135">
        <f>IF(AND(D134&gt;0,F134="أحد الشركاء"),COUNTIFS($D$4:D134,"&gt;"&amp;0,$F$4:F134,"أحد الشركاء"),"")</f>
        <v/>
      </c>
    </row>
    <row r="136" ht="18.75" customHeight="1" s="67">
      <c r="A136" s="150" t="n"/>
      <c r="B136" s="57" t="n"/>
      <c r="C136" s="58" t="n"/>
      <c r="D136" s="59" t="n"/>
      <c r="E136" s="60" t="n"/>
      <c r="F136" s="151" t="n"/>
      <c r="G136" s="62" t="n"/>
      <c r="H136" s="63" t="n"/>
      <c r="I136" s="64" t="n"/>
      <c r="J136" s="65">
        <f>IF(AND(D136="",E136="",A136="",B136="",C136=""),"", IFERROR(IF(J135="",D2,J135),D2)+IF(E136="",0,E136)-IF(OR(G136="أبو اسحاق",G136="أبو آدم",G136="أبو اسحاق ",G136="أبو آدم "),0,IF(D136="",0,D136)))</f>
        <v/>
      </c>
      <c r="K136" s="66" t="n"/>
      <c r="L136">
        <f>IF(E135&gt;0,COUNTIF($E$4:E135,"&gt;0"),"")</f>
        <v/>
      </c>
      <c r="M136">
        <f>IF(AND(D135&gt;0,G135="المحفظة"),COUNTIFS($D$4:D135,"&gt;"&amp;0,$G$4:G135,"المحفظة"),"")</f>
        <v/>
      </c>
      <c r="N136">
        <f>IF(AND(OR('طباعة كشف الحساب'!$C$2="الكل",MONTH(A136)=IFERROR(MATCH('طباعة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الحساب'!$F$2="الكل",YEAR(A136)=IFERROR(VALUE('طباعة كشف الحساب'!$F$2),0)),A136&lt;&gt;""),IFERROR(MAX($N$4:N135),0)+1,"")</f>
        <v/>
      </c>
      <c r="O136">
        <f>IF(AND(D135&gt;0,F135="أحد الشركاء"),COUNTIFS($D$4:D135,"&gt;"&amp;0,$F$4:F135,"أحد الشركاء"),"")</f>
        <v/>
      </c>
    </row>
    <row r="137" ht="18.75" customHeight="1" s="67">
      <c r="A137" s="45" t="n"/>
      <c r="B137" s="46" t="n"/>
      <c r="C137" s="47" t="n"/>
      <c r="D137" s="48" t="n"/>
      <c r="E137" s="49" t="n"/>
      <c r="F137" s="50" t="n"/>
      <c r="G137" s="51" t="n"/>
      <c r="H137" s="52" t="n"/>
      <c r="I137" s="53" t="n"/>
      <c r="J137" s="54">
        <f>IF(AND(D137="",E137="",A137="",B137="",C137=""),"", IFERROR(IF(J136="",D2,J136),D2)+IF(E137="",0,E137)-IF(OR(G137="أبو اسحاق",G137="أبو آدم",G137="أبو اسحاق ",G137="أبو آدم "),0,IF(D137="",0,D137)))</f>
        <v/>
      </c>
      <c r="K137" s="55" t="n"/>
      <c r="L137">
        <f>IF(E136&gt;0,COUNTIF($E$4:E136,"&gt;0"),"")</f>
        <v/>
      </c>
      <c r="M137">
        <f>IF(AND(D136&gt;0,G136="المحفظة"),COUNTIFS($D$4:D136,"&gt;"&amp;0,$G$4:G136,"المحفظة"),"")</f>
        <v/>
      </c>
      <c r="N137">
        <f>IF(AND(OR('طباعة كشف الحساب'!$C$2="الكل",MONTH(A137)=IFERROR(MATCH('طباعة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الحساب'!$F$2="الكل",YEAR(A137)=IFERROR(VALUE('طباعة كشف الحساب'!$F$2),0)),A137&lt;&gt;""),IFERROR(MAX($N$4:N136),0)+1,"")</f>
        <v/>
      </c>
      <c r="O137">
        <f>IF(AND(D136&gt;0,F136="أحد الشركاء"),COUNTIFS($D$4:D136,"&gt;"&amp;0,$F$4:F136,"أحد الشركاء"),"")</f>
        <v/>
      </c>
    </row>
    <row r="138" ht="18.75" customHeight="1" s="67">
      <c r="A138" s="150" t="n"/>
      <c r="B138" s="57" t="n"/>
      <c r="C138" s="58" t="n"/>
      <c r="D138" s="59" t="n"/>
      <c r="E138" s="60" t="n"/>
      <c r="F138" s="151" t="n"/>
      <c r="G138" s="62" t="n"/>
      <c r="H138" s="63" t="n"/>
      <c r="I138" s="64" t="n"/>
      <c r="J138" s="65">
        <f>IF(AND(D138="",E138="",A138="",B138="",C138=""),"", IFERROR(IF(J137="",D2,J137),D2)+IF(E138="",0,E138)-IF(OR(G138="أبو اسحاق",G138="أبو آدم",G138="أبو اسحاق ",G138="أبو آدم "),0,IF(D138="",0,D138)))</f>
        <v/>
      </c>
      <c r="K138" s="66" t="n"/>
      <c r="L138">
        <f>IF(E137&gt;0,COUNTIF($E$4:E137,"&gt;0"),"")</f>
        <v/>
      </c>
      <c r="M138">
        <f>IF(AND(D137&gt;0,G137="المحفظة"),COUNTIFS($D$4:D137,"&gt;"&amp;0,$G$4:G137,"المحفظة"),"")</f>
        <v/>
      </c>
      <c r="N138">
        <f>IF(AND(OR('طباعة كشف الحساب'!$C$2="الكل",MONTH(A138)=IFERROR(MATCH('طباعة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الحساب'!$F$2="الكل",YEAR(A138)=IFERROR(VALUE('طباعة كشف الحساب'!$F$2),0)),A138&lt;&gt;""),IFERROR(MAX($N$4:N137),0)+1,"")</f>
        <v/>
      </c>
      <c r="O138">
        <f>IF(AND(D137&gt;0,F137="أحد الشركاء"),COUNTIFS($D$4:D137,"&gt;"&amp;0,$F$4:F137,"أحد الشركاء"),"")</f>
        <v/>
      </c>
    </row>
    <row r="139" ht="18.75" customHeight="1" s="67">
      <c r="A139" s="45" t="n"/>
      <c r="B139" s="46" t="n"/>
      <c r="C139" s="47" t="n"/>
      <c r="D139" s="48" t="n"/>
      <c r="E139" s="49" t="n"/>
      <c r="F139" s="50" t="n"/>
      <c r="G139" s="51" t="n"/>
      <c r="H139" s="52" t="n"/>
      <c r="I139" s="53" t="n"/>
      <c r="J139" s="54">
        <f>IF(AND(D139="",E139="",A139="",B139="",C139=""),"", IFERROR(IF(J138="",D2,J138),D2)+IF(E139="",0,E139)-IF(OR(G139="أبو اسحاق",G139="أبو آدم",G139="أبو اسحاق ",G139="أبو آدم "),0,IF(D139="",0,D139)))</f>
        <v/>
      </c>
      <c r="K139" s="55" t="n"/>
      <c r="L139">
        <f>IF(E138&gt;0,COUNTIF($E$4:E138,"&gt;0"),"")</f>
        <v/>
      </c>
      <c r="M139">
        <f>IF(AND(D138&gt;0,G138="المحفظة"),COUNTIFS($D$4:D138,"&gt;"&amp;0,$G$4:G138,"المحفظة"),"")</f>
        <v/>
      </c>
      <c r="N139">
        <f>IF(AND(OR('طباعة كشف الحساب'!$C$2="الكل",MONTH(A139)=IFERROR(MATCH('طباعة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الحساب'!$F$2="الكل",YEAR(A139)=IFERROR(VALUE('طباعة كشف الحساب'!$F$2),0)),A139&lt;&gt;""),IFERROR(MAX($N$4:N138),0)+1,"")</f>
        <v/>
      </c>
      <c r="O139">
        <f>IF(AND(D138&gt;0,F138="أحد الشركاء"),COUNTIFS($D$4:D138,"&gt;"&amp;0,$F$4:F138,"أحد الشركاء"),"")</f>
        <v/>
      </c>
    </row>
    <row r="140" ht="18.75" customHeight="1" s="67">
      <c r="A140" s="150" t="n"/>
      <c r="B140" s="57" t="n"/>
      <c r="C140" s="58" t="n"/>
      <c r="D140" s="59" t="n"/>
      <c r="E140" s="60" t="n"/>
      <c r="F140" s="151" t="n"/>
      <c r="G140" s="62" t="n"/>
      <c r="H140" s="63" t="n"/>
      <c r="I140" s="64" t="n"/>
      <c r="J140" s="65">
        <f>IF(AND(D140="",E140="",A140="",B140="",C140=""),"", IFERROR(IF(J139="",D2,J139),D2)+IF(E140="",0,E140)-IF(OR(G140="أبو اسحاق",G140="أبو آدم",G140="أبو اسحاق ",G140="أبو آدم "),0,IF(D140="",0,D140)))</f>
        <v/>
      </c>
      <c r="K140" s="66" t="n"/>
      <c r="L140">
        <f>IF(E139&gt;0,COUNTIF($E$4:E139,"&gt;0"),"")</f>
        <v/>
      </c>
      <c r="M140">
        <f>IF(AND(D139&gt;0,G139="المحفظة"),COUNTIFS($D$4:D139,"&gt;"&amp;0,$G$4:G139,"المحفظة"),"")</f>
        <v/>
      </c>
      <c r="N140">
        <f>IF(AND(OR('طباعة كشف الحساب'!$C$2="الكل",MONTH(A140)=IFERROR(MATCH('طباعة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الحساب'!$F$2="الكل",YEAR(A140)=IFERROR(VALUE('طباعة كشف الحساب'!$F$2),0)),A140&lt;&gt;""),IFERROR(MAX($N$4:N139),0)+1,"")</f>
        <v/>
      </c>
      <c r="O140">
        <f>IF(AND(D139&gt;0,F139="أحد الشركاء"),COUNTIFS($D$4:D139,"&gt;"&amp;0,$F$4:F139,"أحد الشركاء"),"")</f>
        <v/>
      </c>
    </row>
    <row r="141" ht="18.75" customHeight="1" s="67">
      <c r="A141" s="45" t="n"/>
      <c r="B141" s="46" t="n"/>
      <c r="C141" s="47" t="n"/>
      <c r="D141" s="48" t="n"/>
      <c r="E141" s="49" t="n"/>
      <c r="F141" s="50" t="n"/>
      <c r="G141" s="51" t="n"/>
      <c r="H141" s="52" t="n"/>
      <c r="I141" s="53" t="n"/>
      <c r="J141" s="54">
        <f>IF(AND(D141="",E141="",A141="",B141="",C141=""),"", IFERROR(IF(J140="",D2,J140),D2)+IF(E141="",0,E141)-IF(OR(G141="أبو اسحاق",G141="أبو آدم",G141="أبو اسحاق ",G141="أبو آدم "),0,IF(D141="",0,D141)))</f>
        <v/>
      </c>
      <c r="K141" s="55" t="n"/>
      <c r="L141">
        <f>IF(E140&gt;0,COUNTIF($E$4:E140,"&gt;0"),"")</f>
        <v/>
      </c>
      <c r="M141">
        <f>IF(AND(D140&gt;0,G140="المحفظة"),COUNTIFS($D$4:D140,"&gt;"&amp;0,$G$4:G140,"المحفظة"),"")</f>
        <v/>
      </c>
      <c r="N141">
        <f>IF(AND(OR('طباعة كشف الحساب'!$C$2="الكل",MONTH(A141)=IFERROR(MATCH('طباعة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الحساب'!$F$2="الكل",YEAR(A141)=IFERROR(VALUE('طباعة كشف الحساب'!$F$2),0)),A141&lt;&gt;""),IFERROR(MAX($N$4:N140),0)+1,"")</f>
        <v/>
      </c>
      <c r="O141">
        <f>IF(AND(D140&gt;0,F140="أحد الشركاء"),COUNTIFS($D$4:D140,"&gt;"&amp;0,$F$4:F140,"أحد الشركاء"),"")</f>
        <v/>
      </c>
    </row>
    <row r="142" ht="18.75" customHeight="1" s="67">
      <c r="A142" s="150" t="n"/>
      <c r="B142" s="57" t="n"/>
      <c r="C142" s="58" t="n"/>
      <c r="D142" s="59" t="n"/>
      <c r="E142" s="60" t="n"/>
      <c r="F142" s="151" t="n"/>
      <c r="G142" s="62" t="n"/>
      <c r="H142" s="63" t="n"/>
      <c r="I142" s="64" t="n"/>
      <c r="J142" s="65">
        <f>IF(AND(D142="",E142="",A142="",B142="",C142=""),"", IFERROR(IF(J141="",D2,J141),D2)+IF(E142="",0,E142)-IF(OR(G142="أبو اسحاق",G142="أبو آدم",G142="أبو اسحاق ",G142="أبو آدم "),0,IF(D142="",0,D142)))</f>
        <v/>
      </c>
      <c r="K142" s="66" t="n"/>
      <c r="L142">
        <f>IF(E141&gt;0,COUNTIF($E$4:E141,"&gt;0"),"")</f>
        <v/>
      </c>
      <c r="M142">
        <f>IF(AND(D141&gt;0,G141="المحفظة"),COUNTIFS($D$4:D141,"&gt;"&amp;0,$G$4:G141,"المحفظة"),"")</f>
        <v/>
      </c>
      <c r="N142">
        <f>IF(AND(OR('طباعة كشف الحساب'!$C$2="الكل",MONTH(A142)=IFERROR(MATCH('طباعة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الحساب'!$F$2="الكل",YEAR(A142)=IFERROR(VALUE('طباعة كشف الحساب'!$F$2),0)),A142&lt;&gt;""),IFERROR(MAX($N$4:N141),0)+1,"")</f>
        <v/>
      </c>
      <c r="O142">
        <f>IF(AND(D141&gt;0,F141="أحد الشركاء"),COUNTIFS($D$4:D141,"&gt;"&amp;0,$F$4:F141,"أحد الشركاء"),"")</f>
        <v/>
      </c>
    </row>
    <row r="143" ht="18.75" customHeight="1" s="67">
      <c r="A143" s="45" t="n"/>
      <c r="B143" s="46" t="n"/>
      <c r="C143" s="47" t="n"/>
      <c r="D143" s="48" t="n"/>
      <c r="E143" s="49" t="n"/>
      <c r="F143" s="50" t="n"/>
      <c r="G143" s="51" t="n"/>
      <c r="H143" s="52" t="n"/>
      <c r="I143" s="53" t="n"/>
      <c r="J143" s="54">
        <f>IF(AND(D143="",E143="",A143="",B143="",C143=""),"", IFERROR(IF(J142="",D2,J142),D2)+IF(E143="",0,E143)-IF(OR(G143="أبو اسحاق",G143="أبو آدم",G143="أبو اسحاق ",G143="أبو آدم "),0,IF(D143="",0,D143)))</f>
        <v/>
      </c>
      <c r="K143" s="55" t="n"/>
      <c r="L143">
        <f>IF(E142&gt;0,COUNTIF($E$4:E142,"&gt;0"),"")</f>
        <v/>
      </c>
      <c r="M143">
        <f>IF(AND(D142&gt;0,G142="المحفظة"),COUNTIFS($D$4:D142,"&gt;"&amp;0,$G$4:G142,"المحفظة"),"")</f>
        <v/>
      </c>
      <c r="N143">
        <f>IF(AND(OR('طباعة كشف الحساب'!$C$2="الكل",MONTH(A143)=IFERROR(MATCH('طباعة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الحساب'!$F$2="الكل",YEAR(A143)=IFERROR(VALUE('طباعة كشف الحساب'!$F$2),0)),A143&lt;&gt;""),IFERROR(MAX($N$4:N142),0)+1,"")</f>
        <v/>
      </c>
      <c r="O143">
        <f>IF(AND(D142&gt;0,F142="أحد الشركاء"),COUNTIFS($D$4:D142,"&gt;"&amp;0,$F$4:F142,"أحد الشركاء"),"")</f>
        <v/>
      </c>
    </row>
    <row r="144" ht="18.75" customHeight="1" s="67">
      <c r="A144" s="150" t="n"/>
      <c r="B144" s="57" t="n"/>
      <c r="C144" s="58" t="n"/>
      <c r="D144" s="59" t="n"/>
      <c r="E144" s="60" t="n"/>
      <c r="F144" s="151" t="n"/>
      <c r="G144" s="62" t="n"/>
      <c r="H144" s="63" t="n"/>
      <c r="I144" s="64" t="n"/>
      <c r="J144" s="65">
        <f>IF(AND(D144="",E144="",A144="",B144="",C144=""),"", IFERROR(IF(J143="",D2,J143),D2)+IF(E144="",0,E144)-IF(OR(G144="أبو اسحاق",G144="أبو آدم",G144="أبو اسحاق ",G144="أبو آدم "),0,IF(D144="",0,D144)))</f>
        <v/>
      </c>
      <c r="K144" s="66" t="n"/>
      <c r="L144">
        <f>IF(E143&gt;0,COUNTIF($E$4:E143,"&gt;0"),"")</f>
        <v/>
      </c>
      <c r="M144">
        <f>IF(AND(D143&gt;0,G143="المحفظة"),COUNTIFS($D$4:D143,"&gt;"&amp;0,$G$4:G143,"المحفظة"),"")</f>
        <v/>
      </c>
      <c r="N144">
        <f>IF(AND(OR('طباعة كشف الحساب'!$C$2="الكل",MONTH(A144)=IFERROR(MATCH('طباعة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الحساب'!$F$2="الكل",YEAR(A144)=IFERROR(VALUE('طباعة كشف الحساب'!$F$2),0)),A144&lt;&gt;""),IFERROR(MAX($N$4:N143),0)+1,"")</f>
        <v/>
      </c>
      <c r="O144">
        <f>IF(AND(D143&gt;0,F143="أحد الشركاء"),COUNTIFS($D$4:D143,"&gt;"&amp;0,$F$4:F143,"أحد الشركاء"),"")</f>
        <v/>
      </c>
    </row>
    <row r="145" ht="18.75" customHeight="1" s="67">
      <c r="A145" s="45" t="n"/>
      <c r="B145" s="46" t="n"/>
      <c r="C145" s="47" t="n"/>
      <c r="D145" s="48" t="n"/>
      <c r="E145" s="49" t="n"/>
      <c r="F145" s="50" t="n"/>
      <c r="G145" s="51" t="n"/>
      <c r="H145" s="52" t="n"/>
      <c r="I145" s="53" t="n"/>
      <c r="J145" s="54">
        <f>IF(AND(D145="",E145="",A145="",B145="",C145=""),"", IFERROR(IF(J144="",D2,J144),D2)+IF(E145="",0,E145)-IF(OR(G145="أبو اسحاق",G145="أبو آدم",G145="أبو اسحاق ",G145="أبو آدم "),0,IF(D145="",0,D145)))</f>
        <v/>
      </c>
      <c r="K145" s="55" t="n"/>
      <c r="L145">
        <f>IF(E144&gt;0,COUNTIF($E$4:E144,"&gt;0"),"")</f>
        <v/>
      </c>
      <c r="M145">
        <f>IF(AND(D144&gt;0,G144="المحفظة"),COUNTIFS($D$4:D144,"&gt;"&amp;0,$G$4:G144,"المحفظة"),"")</f>
        <v/>
      </c>
      <c r="N145">
        <f>IF(AND(OR('طباعة كشف الحساب'!$C$2="الكل",MONTH(A145)=IFERROR(MATCH('طباعة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الحساب'!$F$2="الكل",YEAR(A145)=IFERROR(VALUE('طباعة كشف الحساب'!$F$2),0)),A145&lt;&gt;""),IFERROR(MAX($N$4:N144),0)+1,"")</f>
        <v/>
      </c>
      <c r="O145">
        <f>IF(AND(D144&gt;0,F144="أحد الشركاء"),COUNTIFS($D$4:D144,"&gt;"&amp;0,$F$4:F144,"أحد الشركاء"),"")</f>
        <v/>
      </c>
    </row>
    <row r="146" ht="18.75" customHeight="1" s="67">
      <c r="A146" s="150" t="n"/>
      <c r="B146" s="57" t="n"/>
      <c r="C146" s="58" t="n"/>
      <c r="D146" s="59" t="n"/>
      <c r="E146" s="60" t="n"/>
      <c r="F146" s="151" t="n"/>
      <c r="G146" s="62" t="n"/>
      <c r="H146" s="63" t="n"/>
      <c r="I146" s="64" t="n"/>
      <c r="J146" s="65">
        <f>IF(AND(D146="",E146="",A146="",B146="",C146=""),"", IFERROR(IF(J145="",D2,J145),D2)+IF(E146="",0,E146)-IF(OR(G146="أبو اسحاق",G146="أبو آدم",G146="أبو اسحاق ",G146="أبو آدم "),0,IF(D146="",0,D146)))</f>
        <v/>
      </c>
      <c r="K146" s="66" t="n"/>
      <c r="L146">
        <f>IF(E145&gt;0,COUNTIF($E$4:E145,"&gt;0"),"")</f>
        <v/>
      </c>
      <c r="M146">
        <f>IF(AND(D145&gt;0,G145="المحفظة"),COUNTIFS($D$4:D145,"&gt;"&amp;0,$G$4:G145,"المحفظة"),"")</f>
        <v/>
      </c>
      <c r="N146">
        <f>IF(AND(OR('طباعة كشف الحساب'!$C$2="الكل",MONTH(A146)=IFERROR(MATCH('طباعة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الحساب'!$F$2="الكل",YEAR(A146)=IFERROR(VALUE('طباعة كشف الحساب'!$F$2),0)),A146&lt;&gt;""),IFERROR(MAX($N$4:N145),0)+1,"")</f>
        <v/>
      </c>
      <c r="O146">
        <f>IF(AND(D145&gt;0,F145="أحد الشركاء"),COUNTIFS($D$4:D145,"&gt;"&amp;0,$F$4:F145,"أحد الشركاء"),"")</f>
        <v/>
      </c>
    </row>
    <row r="147" ht="18.75" customHeight="1" s="67">
      <c r="A147" s="45" t="n"/>
      <c r="B147" s="46" t="n"/>
      <c r="C147" s="47" t="n"/>
      <c r="D147" s="48" t="n"/>
      <c r="E147" s="49" t="n"/>
      <c r="F147" s="50" t="n"/>
      <c r="G147" s="51" t="n"/>
      <c r="H147" s="52" t="n"/>
      <c r="I147" s="53" t="n"/>
      <c r="J147" s="54">
        <f>IF(AND(D147="",E147="",A147="",B147="",C147=""),"", IFERROR(IF(J146="",D2,J146),D2)+IF(E147="",0,E147)-IF(OR(G147="أبو اسحاق",G147="أبو آدم",G147="أبو اسحاق ",G147="أبو آدم "),0,IF(D147="",0,D147)))</f>
        <v/>
      </c>
      <c r="K147" s="55" t="n"/>
      <c r="L147">
        <f>IF(E146&gt;0,COUNTIF($E$4:E146,"&gt;0"),"")</f>
        <v/>
      </c>
      <c r="M147">
        <f>IF(AND(D146&gt;0,G146="المحفظة"),COUNTIFS($D$4:D146,"&gt;"&amp;0,$G$4:G146,"المحفظة"),"")</f>
        <v/>
      </c>
      <c r="N147">
        <f>IF(AND(OR('طباعة كشف الحساب'!$C$2="الكل",MONTH(A147)=IFERROR(MATCH('طباعة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الحساب'!$F$2="الكل",YEAR(A147)=IFERROR(VALUE('طباعة كشف الحساب'!$F$2),0)),A147&lt;&gt;""),IFERROR(MAX($N$4:N146),0)+1,"")</f>
        <v/>
      </c>
      <c r="O147">
        <f>IF(AND(D146&gt;0,F146="أحد الشركاء"),COUNTIFS($D$4:D146,"&gt;"&amp;0,$F$4:F146,"أحد الشركاء"),"")</f>
        <v/>
      </c>
    </row>
    <row r="148" ht="18.75" customHeight="1" s="67">
      <c r="A148" s="150" t="n"/>
      <c r="B148" s="57" t="n"/>
      <c r="C148" s="58" t="n"/>
      <c r="D148" s="59" t="n"/>
      <c r="E148" s="60" t="n"/>
      <c r="F148" s="151" t="n"/>
      <c r="G148" s="62" t="n"/>
      <c r="H148" s="63" t="n"/>
      <c r="I148" s="64" t="n"/>
      <c r="J148" s="65">
        <f>IF(AND(D148="",E148="",A148="",B148="",C148=""),"", IFERROR(IF(J147="",D2,J147),D2)+IF(E148="",0,E148)-IF(OR(G148="أبو اسحاق",G148="أبو آدم",G148="أبو اسحاق ",G148="أبو آدم "),0,IF(D148="",0,D148)))</f>
        <v/>
      </c>
      <c r="K148" s="66" t="n"/>
      <c r="L148">
        <f>IF(E147&gt;0,COUNTIF($E$4:E147,"&gt;0"),"")</f>
        <v/>
      </c>
      <c r="M148">
        <f>IF(AND(D147&gt;0,G147="المحفظة"),COUNTIFS($D$4:D147,"&gt;"&amp;0,$G$4:G147,"المحفظة"),"")</f>
        <v/>
      </c>
      <c r="N148">
        <f>IF(AND(OR('طباعة كشف الحساب'!$C$2="الكل",MONTH(A148)=IFERROR(MATCH('طباعة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الحساب'!$F$2="الكل",YEAR(A148)=IFERROR(VALUE('طباعة كشف الحساب'!$F$2),0)),A148&lt;&gt;""),IFERROR(MAX($N$4:N147),0)+1,"")</f>
        <v/>
      </c>
      <c r="O148">
        <f>IF(AND(D147&gt;0,F147="أحد الشركاء"),COUNTIFS($D$4:D147,"&gt;"&amp;0,$F$4:F147,"أحد الشركاء"),"")</f>
        <v/>
      </c>
    </row>
    <row r="149" ht="18.75" customHeight="1" s="67">
      <c r="A149" s="45" t="n"/>
      <c r="B149" s="46" t="n"/>
      <c r="C149" s="47" t="n"/>
      <c r="D149" s="48" t="n"/>
      <c r="E149" s="49" t="n"/>
      <c r="F149" s="50" t="n"/>
      <c r="G149" s="51" t="n"/>
      <c r="H149" s="52" t="n"/>
      <c r="I149" s="53" t="n"/>
      <c r="J149" s="54">
        <f>IF(AND(D149="",E149="",A149="",B149="",C149=""),"", IFERROR(IF(J148="",D2,J148),D2)+IF(E149="",0,E149)-IF(OR(G149="أبو اسحاق",G149="أبو آدم",G149="أبو اسحاق ",G149="أبو آدم "),0,IF(D149="",0,D149)))</f>
        <v/>
      </c>
      <c r="K149" s="55" t="n"/>
      <c r="L149">
        <f>IF(E148&gt;0,COUNTIF($E$4:E148,"&gt;0"),"")</f>
        <v/>
      </c>
      <c r="M149">
        <f>IF(AND(D148&gt;0,G148="المحفظة"),COUNTIFS($D$4:D148,"&gt;"&amp;0,$G$4:G148,"المحفظة"),"")</f>
        <v/>
      </c>
      <c r="N149">
        <f>IF(AND(OR('طباعة كشف الحساب'!$C$2="الكل",MONTH(A149)=IFERROR(MATCH('طباعة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الحساب'!$F$2="الكل",YEAR(A149)=IFERROR(VALUE('طباعة كشف الحساب'!$F$2),0)),A149&lt;&gt;""),IFERROR(MAX($N$4:N148),0)+1,"")</f>
        <v/>
      </c>
      <c r="O149">
        <f>IF(AND(D148&gt;0,F148="أحد الشركاء"),COUNTIFS($D$4:D148,"&gt;"&amp;0,$F$4:F148,"أحد الشركاء"),"")</f>
        <v/>
      </c>
    </row>
    <row r="150" ht="18.75" customHeight="1" s="67">
      <c r="A150" s="150" t="n"/>
      <c r="B150" s="57" t="n"/>
      <c r="C150" s="58" t="n"/>
      <c r="D150" s="59" t="n"/>
      <c r="E150" s="60" t="n"/>
      <c r="F150" s="151" t="n"/>
      <c r="G150" s="62" t="n"/>
      <c r="H150" s="63" t="n"/>
      <c r="I150" s="64" t="n"/>
      <c r="J150" s="65">
        <f>IF(AND(D150="",E150="",A150="",B150="",C150=""),"", IFERROR(IF(J149="",D2,J149),D2)+IF(E150="",0,E150)-IF(OR(G150="أبو اسحاق",G150="أبو آدم",G150="أبو اسحاق ",G150="أبو آدم "),0,IF(D150="",0,D150)))</f>
        <v/>
      </c>
      <c r="K150" s="66" t="n"/>
      <c r="L150">
        <f>IF(E149&gt;0,COUNTIF($E$4:E149,"&gt;0"),"")</f>
        <v/>
      </c>
      <c r="M150">
        <f>IF(AND(D149&gt;0,G149="المحفظة"),COUNTIFS($D$4:D149,"&gt;"&amp;0,$G$4:G149,"المحفظة"),"")</f>
        <v/>
      </c>
      <c r="N150">
        <f>IF(AND(OR('طباعة كشف الحساب'!$C$2="الكل",MONTH(A150)=IFERROR(MATCH('طباعة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الحساب'!$F$2="الكل",YEAR(A150)=IFERROR(VALUE('طباعة كشف الحساب'!$F$2),0)),A150&lt;&gt;""),IFERROR(MAX($N$4:N149),0)+1,"")</f>
        <v/>
      </c>
      <c r="O150">
        <f>IF(AND(D149&gt;0,F149="أحد الشركاء"),COUNTIFS($D$4:D149,"&gt;"&amp;0,$F$4:F149,"أحد الشركاء"),"")</f>
        <v/>
      </c>
    </row>
    <row r="151" ht="18.75" customHeight="1" s="67">
      <c r="A151" s="45" t="n"/>
      <c r="B151" s="46" t="n"/>
      <c r="C151" s="47" t="n"/>
      <c r="D151" s="48" t="n"/>
      <c r="E151" s="49" t="n"/>
      <c r="F151" s="50" t="n"/>
      <c r="G151" s="51" t="n"/>
      <c r="H151" s="52" t="n"/>
      <c r="I151" s="53" t="n"/>
      <c r="J151" s="54">
        <f>IF(AND(D151="",E151="",A151="",B151="",C151=""),"", IFERROR(IF(J150="",D2,J150),D2)+IF(E151="",0,E151)-IF(OR(G151="أبو اسحاق",G151="أبو آدم",G151="أبو اسحاق ",G151="أبو آدم "),0,IF(D151="",0,D151)))</f>
        <v/>
      </c>
      <c r="K151" s="55" t="n"/>
      <c r="L151">
        <f>IF(E150&gt;0,COUNTIF($E$4:E150,"&gt;0"),"")</f>
        <v/>
      </c>
      <c r="M151">
        <f>IF(AND(D150&gt;0,G150="المحفظة"),COUNTIFS($D$4:D150,"&gt;"&amp;0,$G$4:G150,"المحفظة"),"")</f>
        <v/>
      </c>
      <c r="N151">
        <f>IF(AND(OR('طباعة كشف الحساب'!$C$2="الكل",MONTH(A151)=IFERROR(MATCH('طباعة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الحساب'!$F$2="الكل",YEAR(A151)=IFERROR(VALUE('طباعة كشف الحساب'!$F$2),0)),A151&lt;&gt;""),IFERROR(MAX($N$4:N150),0)+1,"")</f>
        <v/>
      </c>
      <c r="O151">
        <f>IF(AND(D150&gt;0,F150="أحد الشركاء"),COUNTIFS($D$4:D150,"&gt;"&amp;0,$F$4:F150,"أحد الشركاء"),"")</f>
        <v/>
      </c>
    </row>
    <row r="152" ht="18.75" customHeight="1" s="67">
      <c r="A152" s="150" t="n"/>
      <c r="B152" s="57" t="n"/>
      <c r="C152" s="58" t="n"/>
      <c r="D152" s="59" t="n"/>
      <c r="E152" s="60" t="n"/>
      <c r="F152" s="151" t="n"/>
      <c r="G152" s="62" t="n"/>
      <c r="H152" s="63" t="n"/>
      <c r="I152" s="64" t="n"/>
      <c r="J152" s="65">
        <f>IF(AND(D152="",E152="",A152="",B152="",C152=""),"", IFERROR(IF(J151="",D2,J151),D2)+IF(E152="",0,E152)-IF(OR(G152="أبو اسحاق",G152="أبو آدم",G152="أبو اسحاق ",G152="أبو آدم "),0,IF(D152="",0,D152)))</f>
        <v/>
      </c>
      <c r="K152" s="66" t="n"/>
      <c r="L152">
        <f>IF(E151&gt;0,COUNTIF($E$4:E151,"&gt;0"),"")</f>
        <v/>
      </c>
      <c r="M152">
        <f>IF(AND(D151&gt;0,G151="المحفظة"),COUNTIFS($D$4:D151,"&gt;"&amp;0,$G$4:G151,"المحفظة"),"")</f>
        <v/>
      </c>
      <c r="N152">
        <f>IF(AND(OR('طباعة كشف الحساب'!$C$2="الكل",MONTH(A152)=IFERROR(MATCH('طباعة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الحساب'!$F$2="الكل",YEAR(A152)=IFERROR(VALUE('طباعة كشف الحساب'!$F$2),0)),A152&lt;&gt;""),IFERROR(MAX($N$4:N151),0)+1,"")</f>
        <v/>
      </c>
      <c r="O152">
        <f>IF(AND(D151&gt;0,F151="أحد الشركاء"),COUNTIFS($D$4:D151,"&gt;"&amp;0,$F$4:F151,"أحد الشركاء"),"")</f>
        <v/>
      </c>
    </row>
    <row r="153" ht="18.75" customHeight="1" s="67">
      <c r="A153" s="45" t="n"/>
      <c r="B153" s="46" t="n"/>
      <c r="C153" s="47" t="n"/>
      <c r="D153" s="48" t="n"/>
      <c r="E153" s="49" t="n"/>
      <c r="F153" s="50" t="n"/>
      <c r="G153" s="51" t="n"/>
      <c r="H153" s="52" t="n"/>
      <c r="I153" s="53" t="n"/>
      <c r="J153" s="54">
        <f>IF(AND(D153="",E153="",A153="",B153="",C153=""),"", IFERROR(IF(J152="",D2,J152),D2)+IF(E153="",0,E153)-IF(OR(G153="أبو اسحاق",G153="أبو آدم",G153="أبو اسحاق ",G153="أبو آدم "),0,IF(D153="",0,D153)))</f>
        <v/>
      </c>
      <c r="K153" s="55" t="n"/>
      <c r="L153">
        <f>IF(E152&gt;0,COUNTIF($E$4:E152,"&gt;0"),"")</f>
        <v/>
      </c>
      <c r="M153">
        <f>IF(AND(D152&gt;0,G152="المحفظة"),COUNTIFS($D$4:D152,"&gt;"&amp;0,$G$4:G152,"المحفظة"),"")</f>
        <v/>
      </c>
      <c r="N153">
        <f>IF(AND(OR('طباعة كشف الحساب'!$C$2="الكل",MONTH(A153)=IFERROR(MATCH('طباعة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الحساب'!$F$2="الكل",YEAR(A153)=IFERROR(VALUE('طباعة كشف الحساب'!$F$2),0)),A153&lt;&gt;""),IFERROR(MAX($N$4:N152),0)+1,"")</f>
        <v/>
      </c>
      <c r="O153">
        <f>IF(AND(D152&gt;0,F152="أحد الشركاء"),COUNTIFS($D$4:D152,"&gt;"&amp;0,$F$4:F152,"أحد الشركاء"),"")</f>
        <v/>
      </c>
    </row>
    <row r="154" ht="18.75" customHeight="1" s="67">
      <c r="A154" s="150" t="n"/>
      <c r="B154" s="57" t="n"/>
      <c r="C154" s="58" t="n"/>
      <c r="D154" s="59" t="n"/>
      <c r="E154" s="60" t="n"/>
      <c r="F154" s="151" t="n"/>
      <c r="G154" s="62" t="n"/>
      <c r="H154" s="63" t="n"/>
      <c r="I154" s="64" t="n"/>
      <c r="J154" s="65">
        <f>IF(AND(D154="",E154="",A154="",B154="",C154=""),"", IFERROR(IF(J153="",D2,J153),D2)+IF(E154="",0,E154)-IF(OR(G154="أبو اسحاق",G154="أبو آدم",G154="أبو اسحاق ",G154="أبو آدم "),0,IF(D154="",0,D154)))</f>
        <v/>
      </c>
      <c r="K154" s="66" t="n"/>
      <c r="L154">
        <f>IF(E153&gt;0,COUNTIF($E$4:E153,"&gt;0"),"")</f>
        <v/>
      </c>
      <c r="M154">
        <f>IF(AND(D153&gt;0,G153="المحفظة"),COUNTIFS($D$4:D153,"&gt;"&amp;0,$G$4:G153,"المحفظة"),"")</f>
        <v/>
      </c>
      <c r="N154">
        <f>IF(AND(OR('طباعة كشف الحساب'!$C$2="الكل",MONTH(A154)=IFERROR(MATCH('طباعة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الحساب'!$F$2="الكل",YEAR(A154)=IFERROR(VALUE('طباعة كشف الحساب'!$F$2),0)),A154&lt;&gt;""),IFERROR(MAX($N$4:N153),0)+1,"")</f>
        <v/>
      </c>
      <c r="O154">
        <f>IF(AND(D153&gt;0,F153="أحد الشركاء"),COUNTIFS($D$4:D153,"&gt;"&amp;0,$F$4:F153,"أحد الشركاء"),"")</f>
        <v/>
      </c>
    </row>
    <row r="155" ht="18.75" customHeight="1" s="67">
      <c r="A155" s="45" t="n"/>
      <c r="B155" s="46" t="n"/>
      <c r="C155" s="47" t="n"/>
      <c r="D155" s="48" t="n"/>
      <c r="E155" s="49" t="n"/>
      <c r="F155" s="50" t="n"/>
      <c r="G155" s="51" t="n"/>
      <c r="H155" s="52" t="n"/>
      <c r="I155" s="53" t="n"/>
      <c r="J155" s="54">
        <f>IF(AND(D155="",E155="",A155="",B155="",C155=""),"", IFERROR(IF(J154="",D2,J154),D2)+IF(E155="",0,E155)-IF(OR(G155="أبو اسحاق",G155="أبو آدم",G155="أبو اسحاق ",G155="أبو آدم "),0,IF(D155="",0,D155)))</f>
        <v/>
      </c>
      <c r="K155" s="55" t="n"/>
      <c r="L155">
        <f>IF(E154&gt;0,COUNTIF($E$4:E154,"&gt;0"),"")</f>
        <v/>
      </c>
      <c r="M155">
        <f>IF(AND(D154&gt;0,G154="المحفظة"),COUNTIFS($D$4:D154,"&gt;"&amp;0,$G$4:G154,"المحفظة"),"")</f>
        <v/>
      </c>
      <c r="N155">
        <f>IF(AND(OR('طباعة كشف الحساب'!$C$2="الكل",MONTH(A155)=IFERROR(MATCH('طباعة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الحساب'!$F$2="الكل",YEAR(A155)=IFERROR(VALUE('طباعة كشف الحساب'!$F$2),0)),A155&lt;&gt;""),IFERROR(MAX($N$4:N154),0)+1,"")</f>
        <v/>
      </c>
      <c r="O155">
        <f>IF(AND(D154&gt;0,F154="أحد الشركاء"),COUNTIFS($D$4:D154,"&gt;"&amp;0,$F$4:F154,"أحد الشركاء"),"")</f>
        <v/>
      </c>
    </row>
    <row r="156" ht="18.75" customHeight="1" s="67">
      <c r="A156" s="150" t="n"/>
      <c r="B156" s="57" t="n"/>
      <c r="C156" s="58" t="n"/>
      <c r="D156" s="59" t="n"/>
      <c r="E156" s="60" t="n"/>
      <c r="F156" s="151" t="n"/>
      <c r="G156" s="62" t="n"/>
      <c r="H156" s="63" t="n"/>
      <c r="I156" s="64" t="n"/>
      <c r="J156" s="65">
        <f>IF(AND(D156="",E156="",A156="",B156="",C156=""),"", IFERROR(IF(J155="",D2,J155),D2)+IF(E156="",0,E156)-IF(OR(G156="أبو اسحاق",G156="أبو آدم",G156="أبو اسحاق ",G156="أبو آدم "),0,IF(D156="",0,D156)))</f>
        <v/>
      </c>
      <c r="K156" s="66" t="n"/>
      <c r="L156">
        <f>IF(E155&gt;0,COUNTIF($E$4:E155,"&gt;0"),"")</f>
        <v/>
      </c>
      <c r="M156">
        <f>IF(AND(D155&gt;0,G155="المحفظة"),COUNTIFS($D$4:D155,"&gt;"&amp;0,$G$4:G155,"المحفظة"),"")</f>
        <v/>
      </c>
      <c r="N156">
        <f>IF(AND(OR('طباعة كشف الحساب'!$C$2="الكل",MONTH(A156)=IFERROR(MATCH('طباعة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الحساب'!$F$2="الكل",YEAR(A156)=IFERROR(VALUE('طباعة كشف الحساب'!$F$2),0)),A156&lt;&gt;""),IFERROR(MAX($N$4:N155),0)+1,"")</f>
        <v/>
      </c>
      <c r="O156">
        <f>IF(AND(D155&gt;0,F155="أحد الشركاء"),COUNTIFS($D$4:D155,"&gt;"&amp;0,$F$4:F155,"أحد الشركاء"),"")</f>
        <v/>
      </c>
    </row>
    <row r="157" ht="18.75" customHeight="1" s="67">
      <c r="A157" s="45" t="n"/>
      <c r="B157" s="46" t="n"/>
      <c r="C157" s="47" t="n"/>
      <c r="D157" s="48" t="n"/>
      <c r="E157" s="49" t="n"/>
      <c r="F157" s="50" t="n"/>
      <c r="G157" s="51" t="n"/>
      <c r="H157" s="52" t="n"/>
      <c r="I157" s="53" t="n"/>
      <c r="J157" s="54">
        <f>IF(AND(D157="",E157="",A157="",B157="",C157=""),"", IFERROR(IF(J156="",D2,J156),D2)+IF(E157="",0,E157)-IF(OR(G157="أبو اسحاق",G157="أبو آدم",G157="أبو اسحاق ",G157="أبو آدم "),0,IF(D157="",0,D157)))</f>
        <v/>
      </c>
      <c r="K157" s="55" t="n"/>
      <c r="L157">
        <f>IF(E156&gt;0,COUNTIF($E$4:E156,"&gt;0"),"")</f>
        <v/>
      </c>
      <c r="M157">
        <f>IF(AND(D156&gt;0,G156="المحفظة"),COUNTIFS($D$4:D156,"&gt;"&amp;0,$G$4:G156,"المحفظة"),"")</f>
        <v/>
      </c>
      <c r="N157">
        <f>IF(AND(OR('طباعة كشف الحساب'!$C$2="الكل",MONTH(A157)=IFERROR(MATCH('طباعة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الحساب'!$F$2="الكل",YEAR(A157)=IFERROR(VALUE('طباعة كشف الحساب'!$F$2),0)),A157&lt;&gt;""),IFERROR(MAX($N$4:N156),0)+1,"")</f>
        <v/>
      </c>
      <c r="O157">
        <f>IF(AND(D156&gt;0,F156="أحد الشركاء"),COUNTIFS($D$4:D156,"&gt;"&amp;0,$F$4:F156,"أحد الشركاء"),"")</f>
        <v/>
      </c>
    </row>
    <row r="158" ht="18.75" customHeight="1" s="67">
      <c r="A158" s="150" t="n"/>
      <c r="B158" s="57" t="n"/>
      <c r="C158" s="58" t="n"/>
      <c r="D158" s="59" t="n"/>
      <c r="E158" s="60" t="n"/>
      <c r="F158" s="151" t="n"/>
      <c r="G158" s="62" t="n"/>
      <c r="H158" s="63" t="n"/>
      <c r="I158" s="64" t="n"/>
      <c r="J158" s="65">
        <f>IF(AND(D158="",E158="",A158="",B158="",C158=""),"", IFERROR(IF(J157="",D2,J157),D2)+IF(E158="",0,E158)-IF(OR(G158="أبو اسحاق",G158="أبو آدم",G158="أبو اسحاق ",G158="أبو آدم "),0,IF(D158="",0,D158)))</f>
        <v/>
      </c>
      <c r="K158" s="66" t="n"/>
      <c r="L158">
        <f>IF(E157&gt;0,COUNTIF($E$4:E157,"&gt;0"),"")</f>
        <v/>
      </c>
      <c r="M158">
        <f>IF(AND(D157&gt;0,G157="المحفظة"),COUNTIFS($D$4:D157,"&gt;"&amp;0,$G$4:G157,"المحفظة"),"")</f>
        <v/>
      </c>
      <c r="N158">
        <f>IF(AND(OR('طباعة كشف الحساب'!$C$2="الكل",MONTH(A158)=IFERROR(MATCH('طباعة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الحساب'!$F$2="الكل",YEAR(A158)=IFERROR(VALUE('طباعة كشف الحساب'!$F$2),0)),A158&lt;&gt;""),IFERROR(MAX($N$4:N157),0)+1,"")</f>
        <v/>
      </c>
      <c r="O158">
        <f>IF(AND(D157&gt;0,F157="أحد الشركاء"),COUNTIFS($D$4:D157,"&gt;"&amp;0,$F$4:F157,"أحد الشركاء"),"")</f>
        <v/>
      </c>
    </row>
    <row r="159" ht="18.75" customHeight="1" s="67">
      <c r="A159" s="45" t="n"/>
      <c r="B159" s="46" t="n"/>
      <c r="C159" s="47" t="n"/>
      <c r="D159" s="48" t="n"/>
      <c r="E159" s="49" t="n"/>
      <c r="F159" s="50" t="n"/>
      <c r="G159" s="51" t="n"/>
      <c r="H159" s="52" t="n"/>
      <c r="I159" s="53" t="n"/>
      <c r="J159" s="54">
        <f>IF(AND(D159="",E159="",A159="",B159="",C159=""),"", IFERROR(IF(J158="",D2,J158),D2)+IF(E159="",0,E159)-IF(OR(G159="أبو اسحاق",G159="أبو آدم",G159="أبو اسحاق ",G159="أبو آدم "),0,IF(D159="",0,D159)))</f>
        <v/>
      </c>
      <c r="K159" s="55" t="n"/>
      <c r="L159">
        <f>IF(E158&gt;0,COUNTIF($E$4:E158,"&gt;0"),"")</f>
        <v/>
      </c>
      <c r="M159">
        <f>IF(AND(D158&gt;0,G158="المحفظة"),COUNTIFS($D$4:D158,"&gt;"&amp;0,$G$4:G158,"المحفظة"),"")</f>
        <v/>
      </c>
      <c r="N159">
        <f>IF(AND(OR('طباعة كشف الحساب'!$C$2="الكل",MONTH(A159)=IFERROR(MATCH('طباعة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الحساب'!$F$2="الكل",YEAR(A159)=IFERROR(VALUE('طباعة كشف الحساب'!$F$2),0)),A159&lt;&gt;""),IFERROR(MAX($N$4:N158),0)+1,"")</f>
        <v/>
      </c>
      <c r="O159">
        <f>IF(AND(D158&gt;0,F158="أحد الشركاء"),COUNTIFS($D$4:D158,"&gt;"&amp;0,$F$4:F158,"أحد الشركاء"),"")</f>
        <v/>
      </c>
    </row>
    <row r="160" ht="18.75" customHeight="1" s="67">
      <c r="A160" s="150" t="n"/>
      <c r="B160" s="57" t="n"/>
      <c r="C160" s="58" t="n"/>
      <c r="D160" s="59" t="n"/>
      <c r="E160" s="60" t="n"/>
      <c r="F160" s="151" t="n"/>
      <c r="G160" s="62" t="n"/>
      <c r="H160" s="63" t="n"/>
      <c r="I160" s="64" t="n"/>
      <c r="J160" s="65">
        <f>IF(AND(D160="",E160="",A160="",B160="",C160=""),"", IFERROR(IF(J159="",D2,J159),D2)+IF(E160="",0,E160)-IF(OR(G160="أبو اسحاق",G160="أبو آدم",G160="أبو اسحاق ",G160="أبو آدم "),0,IF(D160="",0,D160)))</f>
        <v/>
      </c>
      <c r="K160" s="66" t="n"/>
      <c r="L160">
        <f>IF(E159&gt;0,COUNTIF($E$4:E159,"&gt;0"),"")</f>
        <v/>
      </c>
      <c r="M160">
        <f>IF(AND(D159&gt;0,G159="المحفظة"),COUNTIFS($D$4:D159,"&gt;"&amp;0,$G$4:G159,"المحفظة"),"")</f>
        <v/>
      </c>
      <c r="N160">
        <f>IF(AND(OR('طباعة كشف الحساب'!$C$2="الكل",MONTH(A160)=IFERROR(MATCH('طباعة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الحساب'!$F$2="الكل",YEAR(A160)=IFERROR(VALUE('طباعة كشف الحساب'!$F$2),0)),A160&lt;&gt;""),IFERROR(MAX($N$4:N159),0)+1,"")</f>
        <v/>
      </c>
      <c r="O160">
        <f>IF(AND(D159&gt;0,F159="أحد الشركاء"),COUNTIFS($D$4:D159,"&gt;"&amp;0,$F$4:F159,"أحد الشركاء"),"")</f>
        <v/>
      </c>
    </row>
    <row r="161" ht="18.75" customHeight="1" s="67">
      <c r="A161" s="45" t="n"/>
      <c r="B161" s="46" t="n"/>
      <c r="C161" s="47" t="n"/>
      <c r="D161" s="48" t="n"/>
      <c r="E161" s="49" t="n"/>
      <c r="F161" s="50" t="n"/>
      <c r="G161" s="51" t="n"/>
      <c r="H161" s="52" t="n"/>
      <c r="I161" s="53" t="n"/>
      <c r="J161" s="54">
        <f>IF(AND(D161="",E161="",A161="",B161="",C161=""),"", IFERROR(IF(J160="",D2,J160),D2)+IF(E161="",0,E161)-IF(OR(G161="أبو اسحاق",G161="أبو آدم",G161="أبو اسحاق ",G161="أبو آدم "),0,IF(D161="",0,D161)))</f>
        <v/>
      </c>
      <c r="K161" s="55" t="n"/>
      <c r="L161">
        <f>IF(E160&gt;0,COUNTIF($E$4:E160,"&gt;0"),"")</f>
        <v/>
      </c>
      <c r="M161">
        <f>IF(AND(D160&gt;0,G160="المحفظة"),COUNTIFS($D$4:D160,"&gt;"&amp;0,$G$4:G160,"المحفظة"),"")</f>
        <v/>
      </c>
      <c r="N161">
        <f>IF(AND(OR('طباعة كشف الحساب'!$C$2="الكل",MONTH(A161)=IFERROR(MATCH('طباعة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الحساب'!$F$2="الكل",YEAR(A161)=IFERROR(VALUE('طباعة كشف الحساب'!$F$2),0)),A161&lt;&gt;""),IFERROR(MAX($N$4:N160),0)+1,"")</f>
        <v/>
      </c>
      <c r="O161">
        <f>IF(AND(D160&gt;0,F160="أحد الشركاء"),COUNTIFS($D$4:D160,"&gt;"&amp;0,$F$4:F160,"أحد الشركاء"),"")</f>
        <v/>
      </c>
    </row>
    <row r="162" ht="18.75" customHeight="1" s="67">
      <c r="A162" s="150" t="n"/>
      <c r="B162" s="57" t="n"/>
      <c r="C162" s="58" t="n"/>
      <c r="D162" s="59" t="n"/>
      <c r="E162" s="60" t="n"/>
      <c r="F162" s="151" t="n"/>
      <c r="G162" s="62" t="n"/>
      <c r="H162" s="63" t="n"/>
      <c r="I162" s="64" t="n"/>
      <c r="J162" s="65">
        <f>IF(AND(D162="",E162="",A162="",B162="",C162=""),"", IFERROR(IF(J161="",D2,J161),D2)+IF(E162="",0,E162)-IF(OR(G162="أبو اسحاق",G162="أبو آدم",G162="أبو اسحاق ",G162="أبو آدم "),0,IF(D162="",0,D162)))</f>
        <v/>
      </c>
      <c r="K162" s="66" t="n"/>
      <c r="L162">
        <f>IF(E161&gt;0,COUNTIF($E$4:E161,"&gt;0"),"")</f>
        <v/>
      </c>
      <c r="M162">
        <f>IF(AND(D161&gt;0,G161="المحفظة"),COUNTIFS($D$4:D161,"&gt;"&amp;0,$G$4:G161,"المحفظة"),"")</f>
        <v/>
      </c>
      <c r="N162">
        <f>IF(AND(OR('طباعة كشف الحساب'!$C$2="الكل",MONTH(A162)=IFERROR(MATCH('طباعة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الحساب'!$F$2="الكل",YEAR(A162)=IFERROR(VALUE('طباعة كشف الحساب'!$F$2),0)),A162&lt;&gt;""),IFERROR(MAX($N$4:N161),0)+1,"")</f>
        <v/>
      </c>
      <c r="O162">
        <f>IF(AND(D161&gt;0,F161="أحد الشركاء"),COUNTIFS($D$4:D161,"&gt;"&amp;0,$F$4:F161,"أحد الشركاء"),"")</f>
        <v/>
      </c>
    </row>
    <row r="163" ht="18.75" customHeight="1" s="67">
      <c r="A163" s="45" t="n"/>
      <c r="B163" s="46" t="n"/>
      <c r="C163" s="47" t="n"/>
      <c r="D163" s="48" t="n"/>
      <c r="E163" s="49" t="n"/>
      <c r="F163" s="50" t="n"/>
      <c r="G163" s="51" t="n"/>
      <c r="H163" s="52" t="n"/>
      <c r="I163" s="53" t="n"/>
      <c r="J163" s="54">
        <f>IF(AND(D163="",E163="",A163="",B163="",C163=""),"", IFERROR(IF(J162="",D2,J162),D2)+IF(E163="",0,E163)-IF(OR(G163="أبو اسحاق",G163="أبو آدم",G163="أبو اسحاق ",G163="أبو آدم "),0,IF(D163="",0,D163)))</f>
        <v/>
      </c>
      <c r="K163" s="55" t="n"/>
      <c r="L163">
        <f>IF(E162&gt;0,COUNTIF($E$4:E162,"&gt;0"),"")</f>
        <v/>
      </c>
      <c r="M163">
        <f>IF(AND(D162&gt;0,G162="المحفظة"),COUNTIFS($D$4:D162,"&gt;"&amp;0,$G$4:G162,"المحفظة"),"")</f>
        <v/>
      </c>
      <c r="N163">
        <f>IF(AND(OR('طباعة كشف الحساب'!$C$2="الكل",MONTH(A163)=IFERROR(MATCH('طباعة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الحساب'!$F$2="الكل",YEAR(A163)=IFERROR(VALUE('طباعة كشف الحساب'!$F$2),0)),A163&lt;&gt;""),IFERROR(MAX($N$4:N162),0)+1,"")</f>
        <v/>
      </c>
      <c r="O163">
        <f>IF(AND(D162&gt;0,F162="أحد الشركاء"),COUNTIFS($D$4:D162,"&gt;"&amp;0,$F$4:F162,"أحد الشركاء"),"")</f>
        <v/>
      </c>
    </row>
    <row r="164" ht="18.75" customHeight="1" s="67">
      <c r="A164" s="150" t="n"/>
      <c r="B164" s="57" t="n"/>
      <c r="C164" s="58" t="n"/>
      <c r="D164" s="59" t="n"/>
      <c r="E164" s="60" t="n"/>
      <c r="F164" s="151" t="n"/>
      <c r="G164" s="62" t="n"/>
      <c r="H164" s="63" t="n"/>
      <c r="I164" s="64" t="n"/>
      <c r="J164" s="65">
        <f>IF(AND(D164="",E164="",A164="",B164="",C164=""),"", IFERROR(IF(J163="",D2,J163),D2)+IF(E164="",0,E164)-IF(OR(G164="أبو اسحاق",G164="أبو آدم",G164="أبو اسحاق ",G164="أبو آدم "),0,IF(D164="",0,D164)))</f>
        <v/>
      </c>
      <c r="K164" s="66" t="n"/>
      <c r="L164">
        <f>IF(E163&gt;0,COUNTIF($E$4:E163,"&gt;0"),"")</f>
        <v/>
      </c>
      <c r="M164">
        <f>IF(AND(D163&gt;0,G163="المحفظة"),COUNTIFS($D$4:D163,"&gt;"&amp;0,$G$4:G163,"المحفظة"),"")</f>
        <v/>
      </c>
      <c r="N164">
        <f>IF(AND(OR('طباعة كشف الحساب'!$C$2="الكل",MONTH(A164)=IFERROR(MATCH('طباعة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الحساب'!$F$2="الكل",YEAR(A164)=IFERROR(VALUE('طباعة كشف الحساب'!$F$2),0)),A164&lt;&gt;""),IFERROR(MAX($N$4:N163),0)+1,"")</f>
        <v/>
      </c>
      <c r="O164">
        <f>IF(AND(D163&gt;0,F163="أحد الشركاء"),COUNTIFS($D$4:D163,"&gt;"&amp;0,$F$4:F163,"أحد الشركاء"),"")</f>
        <v/>
      </c>
    </row>
    <row r="165" ht="18.75" customHeight="1" s="67">
      <c r="A165" s="45" t="n"/>
      <c r="B165" s="46" t="n"/>
      <c r="C165" s="47" t="n"/>
      <c r="D165" s="48" t="n"/>
      <c r="E165" s="49" t="n"/>
      <c r="F165" s="50" t="n"/>
      <c r="G165" s="51" t="n"/>
      <c r="H165" s="52" t="n"/>
      <c r="I165" s="53" t="n"/>
      <c r="J165" s="54">
        <f>IF(AND(D165="",E165="",A165="",B165="",C165=""),"", IFERROR(IF(J164="",D2,J164),D2)+IF(E165="",0,E165)-IF(OR(G165="أبو اسحاق",G165="أبو آدم",G165="أبو اسحاق ",G165="أبو آدم "),0,IF(D165="",0,D165)))</f>
        <v/>
      </c>
      <c r="K165" s="55" t="n"/>
      <c r="L165">
        <f>IF(E164&gt;0,COUNTIF($E$4:E164,"&gt;0"),"")</f>
        <v/>
      </c>
      <c r="M165">
        <f>IF(AND(D164&gt;0,G164="المحفظة"),COUNTIFS($D$4:D164,"&gt;"&amp;0,$G$4:G164,"المحفظة"),"")</f>
        <v/>
      </c>
      <c r="N165">
        <f>IF(AND(OR('طباعة كشف الحساب'!$C$2="الكل",MONTH(A165)=IFERROR(MATCH('طباعة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الحساب'!$F$2="الكل",YEAR(A165)=IFERROR(VALUE('طباعة كشف الحساب'!$F$2),0)),A165&lt;&gt;""),IFERROR(MAX($N$4:N164),0)+1,"")</f>
        <v/>
      </c>
      <c r="O165">
        <f>IF(AND(D164&gt;0,F164="أحد الشركاء"),COUNTIFS($D$4:D164,"&gt;"&amp;0,$F$4:F164,"أحد الشركاء"),"")</f>
        <v/>
      </c>
    </row>
    <row r="166" ht="18.75" customHeight="1" s="67">
      <c r="A166" s="150" t="n"/>
      <c r="B166" s="57" t="n"/>
      <c r="C166" s="58" t="n"/>
      <c r="D166" s="59" t="n"/>
      <c r="E166" s="60" t="n"/>
      <c r="F166" s="151" t="n"/>
      <c r="G166" s="62" t="n"/>
      <c r="H166" s="63" t="n"/>
      <c r="I166" s="64" t="n"/>
      <c r="J166" s="65">
        <f>IF(AND(D166="",E166="",A166="",B166="",C166=""),"", IFERROR(IF(J165="",D2,J165),D2)+IF(E166="",0,E166)-IF(OR(G166="أبو اسحاق",G166="أبو آدم",G166="أبو اسحاق ",G166="أبو آدم "),0,IF(D166="",0,D166)))</f>
        <v/>
      </c>
      <c r="K166" s="66" t="n"/>
      <c r="L166">
        <f>IF(E165&gt;0,COUNTIF($E$4:E165,"&gt;0"),"")</f>
        <v/>
      </c>
      <c r="M166">
        <f>IF(AND(D165&gt;0,G165="المحفظة"),COUNTIFS($D$4:D165,"&gt;"&amp;0,$G$4:G165,"المحفظة"),"")</f>
        <v/>
      </c>
      <c r="N166">
        <f>IF(AND(OR('طباعة كشف الحساب'!$C$2="الكل",MONTH(A166)=IFERROR(MATCH('طباعة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الحساب'!$F$2="الكل",YEAR(A166)=IFERROR(VALUE('طباعة كشف الحساب'!$F$2),0)),A166&lt;&gt;""),IFERROR(MAX($N$4:N165),0)+1,"")</f>
        <v/>
      </c>
      <c r="O166">
        <f>IF(AND(D165&gt;0,F165="أحد الشركاء"),COUNTIFS($D$4:D165,"&gt;"&amp;0,$F$4:F165,"أحد الشركاء"),"")</f>
        <v/>
      </c>
    </row>
    <row r="167" ht="18.75" customHeight="1" s="67">
      <c r="A167" s="45" t="n"/>
      <c r="B167" s="46" t="n"/>
      <c r="C167" s="47" t="n"/>
      <c r="D167" s="48" t="n"/>
      <c r="E167" s="49" t="n"/>
      <c r="F167" s="50" t="n"/>
      <c r="G167" s="51" t="n"/>
      <c r="H167" s="52" t="n"/>
      <c r="I167" s="53" t="n"/>
      <c r="J167" s="54">
        <f>IF(AND(D167="",E167="",A167="",B167="",C167=""),"", IFERROR(IF(J166="",D2,J166),D2)+IF(E167="",0,E167)-IF(OR(G167="أبو اسحاق",G167="أبو آدم",G167="أبو اسحاق ",G167="أبو آدم "),0,IF(D167="",0,D167)))</f>
        <v/>
      </c>
      <c r="K167" s="55" t="n"/>
      <c r="L167">
        <f>IF(E166&gt;0,COUNTIF($E$4:E166,"&gt;0"),"")</f>
        <v/>
      </c>
      <c r="M167">
        <f>IF(AND(D166&gt;0,G166="المحفظة"),COUNTIFS($D$4:D166,"&gt;"&amp;0,$G$4:G166,"المحفظة"),"")</f>
        <v/>
      </c>
      <c r="N167">
        <f>IF(AND(OR('طباعة كشف الحساب'!$C$2="الكل",MONTH(A167)=IFERROR(MATCH('طباعة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الحساب'!$F$2="الكل",YEAR(A167)=IFERROR(VALUE('طباعة كشف الحساب'!$F$2),0)),A167&lt;&gt;""),IFERROR(MAX($N$4:N166),0)+1,"")</f>
        <v/>
      </c>
      <c r="O167">
        <f>IF(AND(D166&gt;0,F166="أحد الشركاء"),COUNTIFS($D$4:D166,"&gt;"&amp;0,$F$4:F166,"أحد الشركاء"),"")</f>
        <v/>
      </c>
    </row>
    <row r="168" ht="18.75" customHeight="1" s="67">
      <c r="A168" s="150" t="n"/>
      <c r="B168" s="57" t="n"/>
      <c r="C168" s="58" t="n"/>
      <c r="D168" s="59" t="n"/>
      <c r="E168" s="60" t="n"/>
      <c r="F168" s="151" t="n"/>
      <c r="G168" s="62" t="n"/>
      <c r="H168" s="63" t="n"/>
      <c r="I168" s="64" t="n"/>
      <c r="J168" s="65">
        <f>IF(AND(D168="",E168="",A168="",B168="",C168=""),"", IFERROR(IF(J167="",D2,J167),D2)+IF(E168="",0,E168)-IF(OR(G168="أبو اسحاق",G168="أبو آدم",G168="أبو اسحاق ",G168="أبو آدم "),0,IF(D168="",0,D168)))</f>
        <v/>
      </c>
      <c r="K168" s="66" t="n"/>
      <c r="L168">
        <f>IF(E167&gt;0,COUNTIF($E$4:E167,"&gt;0"),"")</f>
        <v/>
      </c>
      <c r="M168">
        <f>IF(AND(D167&gt;0,G167="المحفظة"),COUNTIFS($D$4:D167,"&gt;"&amp;0,$G$4:G167,"المحفظة"),"")</f>
        <v/>
      </c>
      <c r="N168">
        <f>IF(AND(OR('طباعة كشف الحساب'!$C$2="الكل",MONTH(A168)=IFERROR(MATCH('طباعة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الحساب'!$F$2="الكل",YEAR(A168)=IFERROR(VALUE('طباعة كشف الحساب'!$F$2),0)),A168&lt;&gt;""),IFERROR(MAX($N$4:N167),0)+1,"")</f>
        <v/>
      </c>
      <c r="O168">
        <f>IF(AND(D167&gt;0,F167="أحد الشركاء"),COUNTIFS($D$4:D167,"&gt;"&amp;0,$F$4:F167,"أحد الشركاء"),"")</f>
        <v/>
      </c>
    </row>
    <row r="169" ht="18.75" customHeight="1" s="67">
      <c r="A169" s="45" t="n"/>
      <c r="B169" s="46" t="n"/>
      <c r="C169" s="47" t="n"/>
      <c r="D169" s="48" t="n"/>
      <c r="E169" s="49" t="n"/>
      <c r="F169" s="50" t="n"/>
      <c r="G169" s="51" t="n"/>
      <c r="H169" s="52" t="n"/>
      <c r="I169" s="53" t="n"/>
      <c r="J169" s="54">
        <f>IF(AND(D169="",E169="",A169="",B169="",C169=""),"", IFERROR(IF(J168="",D2,J168),D2)+IF(E169="",0,E169)-IF(OR(G169="أبو اسحاق",G169="أبو آدم",G169="أبو اسحاق ",G169="أبو آدم "),0,IF(D169="",0,D169)))</f>
        <v/>
      </c>
      <c r="K169" s="55" t="n"/>
      <c r="L169">
        <f>IF(E168&gt;0,COUNTIF($E$4:E168,"&gt;0"),"")</f>
        <v/>
      </c>
      <c r="M169">
        <f>IF(AND(D168&gt;0,G168="المحفظة"),COUNTIFS($D$4:D168,"&gt;"&amp;0,$G$4:G168,"المحفظة"),"")</f>
        <v/>
      </c>
      <c r="N169">
        <f>IF(AND(OR('طباعة كشف الحساب'!$C$2="الكل",MONTH(A169)=IFERROR(MATCH('طباعة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الحساب'!$F$2="الكل",YEAR(A169)=IFERROR(VALUE('طباعة كشف الحساب'!$F$2),0)),A169&lt;&gt;""),IFERROR(MAX($N$4:N168),0)+1,"")</f>
        <v/>
      </c>
      <c r="O169">
        <f>IF(AND(D168&gt;0,F168="أحد الشركاء"),COUNTIFS($D$4:D168,"&gt;"&amp;0,$F$4:F168,"أحد الشركاء"),"")</f>
        <v/>
      </c>
    </row>
    <row r="170" ht="18.75" customHeight="1" s="67">
      <c r="A170" s="150" t="n"/>
      <c r="B170" s="57" t="n"/>
      <c r="C170" s="58" t="n"/>
      <c r="D170" s="59" t="n"/>
      <c r="E170" s="60" t="n"/>
      <c r="F170" s="151" t="n"/>
      <c r="G170" s="62" t="n"/>
      <c r="H170" s="63" t="n"/>
      <c r="I170" s="64" t="n"/>
      <c r="J170" s="65">
        <f>IF(AND(D170="",E170="",A170="",B170="",C170=""),"", IFERROR(IF(J169="",D2,J169),D2)+IF(E170="",0,E170)-IF(OR(G170="أبو اسحاق",G170="أبو آدم",G170="أبو اسحاق ",G170="أبو آدم "),0,IF(D170="",0,D170)))</f>
        <v/>
      </c>
      <c r="K170" s="66" t="n"/>
      <c r="L170">
        <f>IF(E169&gt;0,COUNTIF($E$4:E169,"&gt;0"),"")</f>
        <v/>
      </c>
      <c r="M170">
        <f>IF(AND(D169&gt;0,G169="المحفظة"),COUNTIFS($D$4:D169,"&gt;"&amp;0,$G$4:G169,"المحفظة"),"")</f>
        <v/>
      </c>
      <c r="N170">
        <f>IF(AND(OR('طباعة كشف الحساب'!$C$2="الكل",MONTH(A170)=IFERROR(MATCH('طباعة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الحساب'!$F$2="الكل",YEAR(A170)=IFERROR(VALUE('طباعة كشف الحساب'!$F$2),0)),A170&lt;&gt;""),IFERROR(MAX($N$4:N169),0)+1,"")</f>
        <v/>
      </c>
      <c r="O170">
        <f>IF(AND(D169&gt;0,F169="أحد الشركاء"),COUNTIFS($D$4:D169,"&gt;"&amp;0,$F$4:F169,"أحد الشركاء"),"")</f>
        <v/>
      </c>
    </row>
    <row r="171" ht="18.75" customHeight="1" s="67">
      <c r="A171" s="45" t="n"/>
      <c r="B171" s="46" t="n"/>
      <c r="C171" s="47" t="n"/>
      <c r="D171" s="48" t="n"/>
      <c r="E171" s="49" t="n"/>
      <c r="F171" s="50" t="n"/>
      <c r="G171" s="51" t="n"/>
      <c r="H171" s="52" t="n"/>
      <c r="I171" s="53" t="n"/>
      <c r="J171" s="54">
        <f>IF(AND(D171="",E171="",A171="",B171="",C171=""),"", IFERROR(IF(J170="",D2,J170),D2)+IF(E171="",0,E171)-IF(OR(G171="أبو اسحاق",G171="أبو آدم",G171="أبو اسحاق ",G171="أبو آدم "),0,IF(D171="",0,D171)))</f>
        <v/>
      </c>
      <c r="K171" s="55" t="n"/>
      <c r="L171">
        <f>IF(E170&gt;0,COUNTIF($E$4:E170,"&gt;0"),"")</f>
        <v/>
      </c>
      <c r="M171">
        <f>IF(AND(D170&gt;0,G170="المحفظة"),COUNTIFS($D$4:D170,"&gt;"&amp;0,$G$4:G170,"المحفظة"),"")</f>
        <v/>
      </c>
      <c r="N171">
        <f>IF(AND(OR('طباعة كشف الحساب'!$C$2="الكل",MONTH(A171)=IFERROR(MATCH('طباعة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الحساب'!$F$2="الكل",YEAR(A171)=IFERROR(VALUE('طباعة كشف الحساب'!$F$2),0)),A171&lt;&gt;""),IFERROR(MAX($N$4:N170),0)+1,"")</f>
        <v/>
      </c>
      <c r="O171">
        <f>IF(AND(D170&gt;0,F170="أحد الشركاء"),COUNTIFS($D$4:D170,"&gt;"&amp;0,$F$4:F170,"أحد الشركاء"),"")</f>
        <v/>
      </c>
    </row>
    <row r="172" ht="18.75" customHeight="1" s="67">
      <c r="A172" s="150" t="n"/>
      <c r="B172" s="57" t="n"/>
      <c r="C172" s="58" t="n"/>
      <c r="D172" s="59" t="n"/>
      <c r="E172" s="60" t="n"/>
      <c r="F172" s="151" t="n"/>
      <c r="G172" s="62" t="n"/>
      <c r="H172" s="63" t="n"/>
      <c r="I172" s="64" t="n"/>
      <c r="J172" s="65">
        <f>IF(AND(D172="",E172="",A172="",B172="",C172=""),"", IFERROR(IF(J171="",D2,J171),D2)+IF(E172="",0,E172)-IF(OR(G172="أبو اسحاق",G172="أبو آدم",G172="أبو اسحاق ",G172="أبو آدم "),0,IF(D172="",0,D172)))</f>
        <v/>
      </c>
      <c r="K172" s="66" t="n"/>
      <c r="L172">
        <f>IF(E171&gt;0,COUNTIF($E$4:E171,"&gt;0"),"")</f>
        <v/>
      </c>
      <c r="M172">
        <f>IF(AND(D171&gt;0,G171="المحفظة"),COUNTIFS($D$4:D171,"&gt;"&amp;0,$G$4:G171,"المحفظة"),"")</f>
        <v/>
      </c>
      <c r="N172">
        <f>IF(AND(OR('طباعة كشف الحساب'!$C$2="الكل",MONTH(A172)=IFERROR(MATCH('طباعة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الحساب'!$F$2="الكل",YEAR(A172)=IFERROR(VALUE('طباعة كشف الحساب'!$F$2),0)),A172&lt;&gt;""),IFERROR(MAX($N$4:N171),0)+1,"")</f>
        <v/>
      </c>
      <c r="O172">
        <f>IF(AND(D171&gt;0,F171="أحد الشركاء"),COUNTIFS($D$4:D171,"&gt;"&amp;0,$F$4:F171,"أحد الشركاء"),"")</f>
        <v/>
      </c>
    </row>
    <row r="173" ht="18.75" customHeight="1" s="67">
      <c r="A173" s="45" t="n"/>
      <c r="B173" s="46" t="n"/>
      <c r="C173" s="47" t="n"/>
      <c r="D173" s="48" t="n"/>
      <c r="E173" s="49" t="n"/>
      <c r="F173" s="50" t="n"/>
      <c r="G173" s="51" t="n"/>
      <c r="H173" s="52" t="n"/>
      <c r="I173" s="53" t="n"/>
      <c r="J173" s="54">
        <f>IF(AND(D173="",E173="",A173="",B173="",C173=""),"", IFERROR(IF(J172="",D2,J172),D2)+IF(E173="",0,E173)-IF(OR(G173="أبو اسحاق",G173="أبو آدم",G173="أبو اسحاق ",G173="أبو آدم "),0,IF(D173="",0,D173)))</f>
        <v/>
      </c>
      <c r="K173" s="55" t="n"/>
      <c r="L173">
        <f>IF(E172&gt;0,COUNTIF($E$4:E172,"&gt;0"),"")</f>
        <v/>
      </c>
      <c r="M173">
        <f>IF(AND(D172&gt;0,G172="المحفظة"),COUNTIFS($D$4:D172,"&gt;"&amp;0,$G$4:G172,"المحفظة"),"")</f>
        <v/>
      </c>
      <c r="N173">
        <f>IF(AND(OR('طباعة كشف الحساب'!$C$2="الكل",MONTH(A173)=IFERROR(MATCH('طباعة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الحساب'!$F$2="الكل",YEAR(A173)=IFERROR(VALUE('طباعة كشف الحساب'!$F$2),0)),A173&lt;&gt;""),IFERROR(MAX($N$4:N172),0)+1,"")</f>
        <v/>
      </c>
      <c r="O173">
        <f>IF(AND(D172&gt;0,F172="أحد الشركاء"),COUNTIFS($D$4:D172,"&gt;"&amp;0,$F$4:F172,"أحد الشركاء"),"")</f>
        <v/>
      </c>
    </row>
    <row r="174" ht="18.75" customHeight="1" s="67">
      <c r="A174" s="150" t="n"/>
      <c r="B174" s="57" t="n"/>
      <c r="C174" s="58" t="n"/>
      <c r="D174" s="59" t="n"/>
      <c r="E174" s="60" t="n"/>
      <c r="F174" s="151" t="n"/>
      <c r="G174" s="62" t="n"/>
      <c r="H174" s="63" t="n"/>
      <c r="I174" s="64" t="n"/>
      <c r="J174" s="65">
        <f>IF(AND(D174="",E174="",A174="",B174="",C174=""),"", IFERROR(IF(J173="",D2,J173),D2)+IF(E174="",0,E174)-IF(OR(G174="أبو اسحاق",G174="أبو آدم",G174="أبو اسحاق ",G174="أبو آدم "),0,IF(D174="",0,D174)))</f>
        <v/>
      </c>
      <c r="K174" s="66" t="n"/>
      <c r="L174">
        <f>IF(E173&gt;0,COUNTIF($E$4:E173,"&gt;0"),"")</f>
        <v/>
      </c>
      <c r="M174">
        <f>IF(AND(D173&gt;0,G173="المحفظة"),COUNTIFS($D$4:D173,"&gt;"&amp;0,$G$4:G173,"المحفظة"),"")</f>
        <v/>
      </c>
      <c r="N174">
        <f>IF(AND(OR('طباعة كشف الحساب'!$C$2="الكل",MONTH(A174)=IFERROR(MATCH('طباعة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الحساب'!$F$2="الكل",YEAR(A174)=IFERROR(VALUE('طباعة كشف الحساب'!$F$2),0)),A174&lt;&gt;""),IFERROR(MAX($N$4:N173),0)+1,"")</f>
        <v/>
      </c>
      <c r="O174">
        <f>IF(AND(D173&gt;0,F173="أحد الشركاء"),COUNTIFS($D$4:D173,"&gt;"&amp;0,$F$4:F173,"أحد الشركاء"),"")</f>
        <v/>
      </c>
    </row>
    <row r="175" ht="18.75" customHeight="1" s="67">
      <c r="A175" s="45" t="n"/>
      <c r="B175" s="46" t="n"/>
      <c r="C175" s="47" t="n"/>
      <c r="D175" s="48" t="n"/>
      <c r="E175" s="49" t="n"/>
      <c r="F175" s="50" t="n"/>
      <c r="G175" s="51" t="n"/>
      <c r="H175" s="52" t="n"/>
      <c r="I175" s="53" t="n"/>
      <c r="J175" s="54">
        <f>IF(AND(D175="",E175="",A175="",B175="",C175=""),"", IFERROR(IF(J174="",D2,J174),D2)+IF(E175="",0,E175)-IF(OR(G175="أبو اسحاق",G175="أبو آدم",G175="أبو اسحاق ",G175="أبو آدم "),0,IF(D175="",0,D175)))</f>
        <v/>
      </c>
      <c r="K175" s="55" t="n"/>
      <c r="L175">
        <f>IF(E174&gt;0,COUNTIF($E$4:E174,"&gt;0"),"")</f>
        <v/>
      </c>
      <c r="M175">
        <f>IF(AND(D174&gt;0,G174="المحفظة"),COUNTIFS($D$4:D174,"&gt;"&amp;0,$G$4:G174,"المحفظة"),"")</f>
        <v/>
      </c>
      <c r="N175">
        <f>IF(AND(OR('طباعة كشف الحساب'!$C$2="الكل",MONTH(A175)=IFERROR(MATCH('طباعة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الحساب'!$F$2="الكل",YEAR(A175)=IFERROR(VALUE('طباعة كشف الحساب'!$F$2),0)),A175&lt;&gt;""),IFERROR(MAX($N$4:N174),0)+1,"")</f>
        <v/>
      </c>
      <c r="O175">
        <f>IF(AND(D174&gt;0,F174="أحد الشركاء"),COUNTIFS($D$4:D174,"&gt;"&amp;0,$F$4:F174,"أحد الشركاء"),"")</f>
        <v/>
      </c>
    </row>
    <row r="176" ht="18.75" customHeight="1" s="67">
      <c r="A176" s="150" t="n"/>
      <c r="B176" s="57" t="n"/>
      <c r="C176" s="58" t="n"/>
      <c r="D176" s="59" t="n"/>
      <c r="E176" s="60" t="n"/>
      <c r="F176" s="151" t="n"/>
      <c r="G176" s="62" t="n"/>
      <c r="H176" s="63" t="n"/>
      <c r="I176" s="64" t="n"/>
      <c r="J176" s="65">
        <f>IF(AND(D176="",E176="",A176="",B176="",C176=""),"", IFERROR(IF(J175="",D2,J175),D2)+IF(E176="",0,E176)-IF(OR(G176="أبو اسحاق",G176="أبو آدم",G176="أبو اسحاق ",G176="أبو آدم "),0,IF(D176="",0,D176)))</f>
        <v/>
      </c>
      <c r="K176" s="66" t="n"/>
      <c r="L176">
        <f>IF(E175&gt;0,COUNTIF($E$4:E175,"&gt;0"),"")</f>
        <v/>
      </c>
      <c r="M176">
        <f>IF(AND(D175&gt;0,G175="المحفظة"),COUNTIFS($D$4:D175,"&gt;"&amp;0,$G$4:G175,"المحفظة"),"")</f>
        <v/>
      </c>
      <c r="N176">
        <f>IF(AND(OR('طباعة كشف الحساب'!$C$2="الكل",MONTH(A176)=IFERROR(MATCH('طباعة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الحساب'!$F$2="الكل",YEAR(A176)=IFERROR(VALUE('طباعة كشف الحساب'!$F$2),0)),A176&lt;&gt;""),IFERROR(MAX($N$4:N175),0)+1,"")</f>
        <v/>
      </c>
      <c r="O176">
        <f>IF(AND(D175&gt;0,F175="أحد الشركاء"),COUNTIFS($D$4:D175,"&gt;"&amp;0,$F$4:F175,"أحد الشركاء"),"")</f>
        <v/>
      </c>
    </row>
    <row r="177" ht="18.75" customHeight="1" s="67">
      <c r="A177" s="45" t="n"/>
      <c r="B177" s="46" t="n"/>
      <c r="C177" s="47" t="n"/>
      <c r="D177" s="48" t="n"/>
      <c r="E177" s="49" t="n"/>
      <c r="F177" s="50" t="n"/>
      <c r="G177" s="51" t="n"/>
      <c r="H177" s="52" t="n"/>
      <c r="I177" s="53" t="n"/>
      <c r="J177" s="54">
        <f>IF(AND(D177="",E177="",A177="",B177="",C177=""),"", IFERROR(IF(J176="",D2,J176),D2)+IF(E177="",0,E177)-IF(OR(G177="أبو اسحاق",G177="أبو آدم",G177="أبو اسحاق ",G177="أبو آدم "),0,IF(D177="",0,D177)))</f>
        <v/>
      </c>
      <c r="K177" s="55" t="n"/>
      <c r="L177">
        <f>IF(E176&gt;0,COUNTIF($E$4:E176,"&gt;0"),"")</f>
        <v/>
      </c>
      <c r="M177">
        <f>IF(AND(D176&gt;0,G176="المحفظة"),COUNTIFS($D$4:D176,"&gt;"&amp;0,$G$4:G176,"المحفظة"),"")</f>
        <v/>
      </c>
      <c r="N177">
        <f>IF(AND(OR('طباعة كشف الحساب'!$C$2="الكل",MONTH(A177)=IFERROR(MATCH('طباعة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الحساب'!$F$2="الكل",YEAR(A177)=IFERROR(VALUE('طباعة كشف الحساب'!$F$2),0)),A177&lt;&gt;""),IFERROR(MAX($N$4:N176),0)+1,"")</f>
        <v/>
      </c>
      <c r="O177">
        <f>IF(AND(D176&gt;0,F176="أحد الشركاء"),COUNTIFS($D$4:D176,"&gt;"&amp;0,$F$4:F176,"أحد الشركاء"),"")</f>
        <v/>
      </c>
    </row>
    <row r="178" ht="18.75" customHeight="1" s="67">
      <c r="A178" s="150" t="n"/>
      <c r="B178" s="57" t="n"/>
      <c r="C178" s="58" t="n"/>
      <c r="D178" s="59" t="n"/>
      <c r="E178" s="60" t="n"/>
      <c r="F178" s="151" t="n"/>
      <c r="G178" s="62" t="n"/>
      <c r="H178" s="63" t="n"/>
      <c r="I178" s="64" t="n"/>
      <c r="J178" s="65">
        <f>IF(AND(D178="",E178="",A178="",B178="",C178=""),"", IFERROR(IF(J177="",D2,J177),D2)+IF(E178="",0,E178)-IF(OR(G178="أبو اسحاق",G178="أبو آدم",G178="أبو اسحاق ",G178="أبو آدم "),0,IF(D178="",0,D178)))</f>
        <v/>
      </c>
      <c r="K178" s="66" t="n"/>
      <c r="L178">
        <f>IF(E177&gt;0,COUNTIF($E$4:E177,"&gt;0"),"")</f>
        <v/>
      </c>
      <c r="M178">
        <f>IF(AND(D177&gt;0,G177="المحفظة"),COUNTIFS($D$4:D177,"&gt;"&amp;0,$G$4:G177,"المحفظة"),"")</f>
        <v/>
      </c>
      <c r="N178">
        <f>IF(AND(OR('طباعة كشف الحساب'!$C$2="الكل",MONTH(A178)=IFERROR(MATCH('طباعة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الحساب'!$F$2="الكل",YEAR(A178)=IFERROR(VALUE('طباعة كشف الحساب'!$F$2),0)),A178&lt;&gt;""),IFERROR(MAX($N$4:N177),0)+1,"")</f>
        <v/>
      </c>
      <c r="O178">
        <f>IF(AND(D177&gt;0,F177="أحد الشركاء"),COUNTIFS($D$4:D177,"&gt;"&amp;0,$F$4:F177,"أحد الشركاء"),"")</f>
        <v/>
      </c>
    </row>
    <row r="179" ht="18.75" customHeight="1" s="67">
      <c r="A179" s="45" t="n"/>
      <c r="B179" s="46" t="n"/>
      <c r="C179" s="47" t="n"/>
      <c r="D179" s="48" t="n"/>
      <c r="E179" s="49" t="n"/>
      <c r="F179" s="50" t="n"/>
      <c r="G179" s="51" t="n"/>
      <c r="H179" s="52" t="n"/>
      <c r="I179" s="53" t="n"/>
      <c r="J179" s="54">
        <f>IF(AND(D179="",E179="",A179="",B179="",C179=""),"", IFERROR(IF(J178="",D2,J178),D2)+IF(E179="",0,E179)-IF(OR(G179="أبو اسحاق",G179="أبو آدم",G179="أبو اسحاق ",G179="أبو آدم "),0,IF(D179="",0,D179)))</f>
        <v/>
      </c>
      <c r="K179" s="55" t="n"/>
      <c r="L179">
        <f>IF(E178&gt;0,COUNTIF($E$4:E178,"&gt;0"),"")</f>
        <v/>
      </c>
      <c r="M179">
        <f>IF(AND(D178&gt;0,G178="المحفظة"),COUNTIFS($D$4:D178,"&gt;"&amp;0,$G$4:G178,"المحفظة"),"")</f>
        <v/>
      </c>
      <c r="N179">
        <f>IF(AND(OR('طباعة كشف الحساب'!$C$2="الكل",MONTH(A179)=IFERROR(MATCH('طباعة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الحساب'!$F$2="الكل",YEAR(A179)=IFERROR(VALUE('طباعة كشف الحساب'!$F$2),0)),A179&lt;&gt;""),IFERROR(MAX($N$4:N178),0)+1,"")</f>
        <v/>
      </c>
      <c r="O179">
        <f>IF(AND(D178&gt;0,F178="أحد الشركاء"),COUNTIFS($D$4:D178,"&gt;"&amp;0,$F$4:F178,"أحد الشركاء"),"")</f>
        <v/>
      </c>
    </row>
    <row r="180" ht="18.75" customHeight="1" s="67">
      <c r="A180" s="150" t="n"/>
      <c r="B180" s="57" t="n"/>
      <c r="C180" s="58" t="n"/>
      <c r="D180" s="59" t="n"/>
      <c r="E180" s="60" t="n"/>
      <c r="F180" s="151" t="n"/>
      <c r="G180" s="62" t="n"/>
      <c r="H180" s="63" t="n"/>
      <c r="I180" s="64" t="n"/>
      <c r="J180" s="65">
        <f>IF(AND(D180="",E180="",A180="",B180="",C180=""),"", IFERROR(IF(J179="",D2,J179),D2)+IF(E180="",0,E180)-IF(OR(G180="أبو اسحاق",G180="أبو آدم",G180="أبو اسحاق ",G180="أبو آدم "),0,IF(D180="",0,D180)))</f>
        <v/>
      </c>
      <c r="K180" s="66" t="n"/>
      <c r="L180">
        <f>IF(E179&gt;0,COUNTIF($E$4:E179,"&gt;0"),"")</f>
        <v/>
      </c>
      <c r="M180">
        <f>IF(AND(D179&gt;0,G179="المحفظة"),COUNTIFS($D$4:D179,"&gt;"&amp;0,$G$4:G179,"المحفظة"),"")</f>
        <v/>
      </c>
      <c r="N180">
        <f>IF(AND(OR('طباعة كشف الحساب'!$C$2="الكل",MONTH(A180)=IFERROR(MATCH('طباعة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الحساب'!$F$2="الكل",YEAR(A180)=IFERROR(VALUE('طباعة كشف الحساب'!$F$2),0)),A180&lt;&gt;""),IFERROR(MAX($N$4:N179),0)+1,"")</f>
        <v/>
      </c>
      <c r="O180">
        <f>IF(AND(D179&gt;0,F179="أحد الشركاء"),COUNTIFS($D$4:D179,"&gt;"&amp;0,$F$4:F179,"أحد الشركاء"),"")</f>
        <v/>
      </c>
    </row>
    <row r="181" ht="18.75" customHeight="1" s="67">
      <c r="A181" s="45" t="n"/>
      <c r="B181" s="46" t="n"/>
      <c r="C181" s="47" t="n"/>
      <c r="D181" s="48" t="n"/>
      <c r="E181" s="49" t="n"/>
      <c r="F181" s="50" t="n"/>
      <c r="G181" s="51" t="n"/>
      <c r="H181" s="52" t="n"/>
      <c r="I181" s="53" t="n"/>
      <c r="J181" s="54">
        <f>IF(AND(D181="",E181="",A181="",B181="",C181=""),"", IFERROR(IF(J180="",D2,J180),D2)+IF(E181="",0,E181)-IF(OR(G181="أبو اسحاق",G181="أبو آدم",G181="أبو اسحاق ",G181="أبو آدم "),0,IF(D181="",0,D181)))</f>
        <v/>
      </c>
      <c r="K181" s="55" t="n"/>
      <c r="L181">
        <f>IF(E180&gt;0,COUNTIF($E$4:E180,"&gt;0"),"")</f>
        <v/>
      </c>
      <c r="M181">
        <f>IF(AND(D180&gt;0,G180="المحفظة"),COUNTIFS($D$4:D180,"&gt;"&amp;0,$G$4:G180,"المحفظة"),"")</f>
        <v/>
      </c>
      <c r="N181">
        <f>IF(AND(OR('طباعة كشف الحساب'!$C$2="الكل",MONTH(A181)=IFERROR(MATCH('طباعة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الحساب'!$F$2="الكل",YEAR(A181)=IFERROR(VALUE('طباعة كشف الحساب'!$F$2),0)),A181&lt;&gt;""),IFERROR(MAX($N$4:N180),0)+1,"")</f>
        <v/>
      </c>
      <c r="O181">
        <f>IF(AND(D180&gt;0,F180="أحد الشركاء"),COUNTIFS($D$4:D180,"&gt;"&amp;0,$F$4:F180,"أحد الشركاء"),"")</f>
        <v/>
      </c>
    </row>
    <row r="182" ht="18.75" customHeight="1" s="67">
      <c r="A182" s="150" t="n"/>
      <c r="B182" s="57" t="n"/>
      <c r="C182" s="58" t="n"/>
      <c r="D182" s="59" t="n"/>
      <c r="E182" s="60" t="n"/>
      <c r="F182" s="151" t="n"/>
      <c r="G182" s="62" t="n"/>
      <c r="H182" s="63" t="n"/>
      <c r="I182" s="64" t="n"/>
      <c r="J182" s="65">
        <f>IF(AND(D182="",E182="",A182="",B182="",C182=""),"", IFERROR(IF(J181="",D2,J181),D2)+IF(E182="",0,E182)-IF(OR(G182="أبو اسحاق",G182="أبو آدم",G182="أبو اسحاق ",G182="أبو آدم "),0,IF(D182="",0,D182)))</f>
        <v/>
      </c>
      <c r="K182" s="66" t="n"/>
      <c r="L182">
        <f>IF(E181&gt;0,COUNTIF($E$4:E181,"&gt;0"),"")</f>
        <v/>
      </c>
      <c r="M182">
        <f>IF(AND(D181&gt;0,G181="المحفظة"),COUNTIFS($D$4:D181,"&gt;"&amp;0,$G$4:G181,"المحفظة"),"")</f>
        <v/>
      </c>
      <c r="N182">
        <f>IF(AND(OR('طباعة كشف الحساب'!$C$2="الكل",MONTH(A182)=IFERROR(MATCH('طباعة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الحساب'!$F$2="الكل",YEAR(A182)=IFERROR(VALUE('طباعة كشف الحساب'!$F$2),0)),A182&lt;&gt;""),IFERROR(MAX($N$4:N181),0)+1,"")</f>
        <v/>
      </c>
      <c r="O182">
        <f>IF(AND(D181&gt;0,F181="أحد الشركاء"),COUNTIFS($D$4:D181,"&gt;"&amp;0,$F$4:F181,"أحد الشركاء"),"")</f>
        <v/>
      </c>
    </row>
    <row r="183" ht="18.75" customHeight="1" s="67">
      <c r="A183" s="45" t="n"/>
      <c r="B183" s="46" t="n"/>
      <c r="C183" s="47" t="n"/>
      <c r="D183" s="48" t="n"/>
      <c r="E183" s="49" t="n"/>
      <c r="F183" s="50" t="n"/>
      <c r="G183" s="51" t="n"/>
      <c r="H183" s="52" t="n"/>
      <c r="I183" s="53" t="n"/>
      <c r="J183" s="54">
        <f>IF(AND(D183="",E183="",A183="",B183="",C183=""),"", IFERROR(IF(J182="",D2,J182),D2)+IF(E183="",0,E183)-IF(OR(G183="أبو اسحاق",G183="أبو آدم",G183="أبو اسحاق ",G183="أبو آدم "),0,IF(D183="",0,D183)))</f>
        <v/>
      </c>
      <c r="K183" s="55" t="n"/>
      <c r="L183">
        <f>IF(E182&gt;0,COUNTIF($E$4:E182,"&gt;0"),"")</f>
        <v/>
      </c>
      <c r="M183">
        <f>IF(AND(D182&gt;0,G182="المحفظة"),COUNTIFS($D$4:D182,"&gt;"&amp;0,$G$4:G182,"المحفظة"),"")</f>
        <v/>
      </c>
      <c r="N183">
        <f>IF(AND(OR('طباعة كشف الحساب'!$C$2="الكل",MONTH(A183)=IFERROR(MATCH('طباعة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الحساب'!$F$2="الكل",YEAR(A183)=IFERROR(VALUE('طباعة كشف الحساب'!$F$2),0)),A183&lt;&gt;""),IFERROR(MAX($N$4:N182),0)+1,"")</f>
        <v/>
      </c>
      <c r="O183">
        <f>IF(AND(D182&gt;0,F182="أحد الشركاء"),COUNTIFS($D$4:D182,"&gt;"&amp;0,$F$4:F182,"أحد الشركاء"),"")</f>
        <v/>
      </c>
    </row>
    <row r="184" ht="18.75" customHeight="1" s="67">
      <c r="A184" s="150" t="n"/>
      <c r="B184" s="57" t="n"/>
      <c r="C184" s="58" t="n"/>
      <c r="D184" s="59" t="n"/>
      <c r="E184" s="60" t="n"/>
      <c r="F184" s="151" t="n"/>
      <c r="G184" s="62" t="n"/>
      <c r="H184" s="63" t="n"/>
      <c r="I184" s="64" t="n"/>
      <c r="J184" s="65">
        <f>IF(AND(D184="",E184="",A184="",B184="",C184=""),"", IFERROR(IF(J183="",D2,J183),D2)+IF(E184="",0,E184)-IF(OR(G184="أبو اسحاق",G184="أبو آدم",G184="أبو اسحاق ",G184="أبو آدم "),0,IF(D184="",0,D184)))</f>
        <v/>
      </c>
      <c r="K184" s="66" t="n"/>
      <c r="L184">
        <f>IF(E183&gt;0,COUNTIF($E$4:E183,"&gt;0"),"")</f>
        <v/>
      </c>
      <c r="M184">
        <f>IF(AND(D183&gt;0,G183="المحفظة"),COUNTIFS($D$4:D183,"&gt;"&amp;0,$G$4:G183,"المحفظة"),"")</f>
        <v/>
      </c>
      <c r="N184">
        <f>IF(AND(OR('طباعة كشف الحساب'!$C$2="الكل",MONTH(A184)=IFERROR(MATCH('طباعة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الحساب'!$F$2="الكل",YEAR(A184)=IFERROR(VALUE('طباعة كشف الحساب'!$F$2),0)),A184&lt;&gt;""),IFERROR(MAX($N$4:N183),0)+1,"")</f>
        <v/>
      </c>
      <c r="O184">
        <f>IF(AND(D183&gt;0,F183="أحد الشركاء"),COUNTIFS($D$4:D183,"&gt;"&amp;0,$F$4:F183,"أحد الشركاء"),"")</f>
        <v/>
      </c>
    </row>
    <row r="185" ht="18.75" customHeight="1" s="67">
      <c r="A185" s="45" t="n"/>
      <c r="B185" s="46" t="n"/>
      <c r="C185" s="47" t="n"/>
      <c r="D185" s="48" t="n"/>
      <c r="E185" s="49" t="n"/>
      <c r="F185" s="50" t="n"/>
      <c r="G185" s="51" t="n"/>
      <c r="H185" s="52" t="n"/>
      <c r="I185" s="53" t="n"/>
      <c r="J185" s="54">
        <f>IF(AND(D185="",E185="",A185="",B185="",C185=""),"", IFERROR(IF(J184="",D2,J184),D2)+IF(E185="",0,E185)-IF(OR(G185="أبو اسحاق",G185="أبو آدم",G185="أبو اسحاق ",G185="أبو آدم "),0,IF(D185="",0,D185)))</f>
        <v/>
      </c>
      <c r="K185" s="55" t="n"/>
      <c r="L185">
        <f>IF(E184&gt;0,COUNTIF($E$4:E184,"&gt;0"),"")</f>
        <v/>
      </c>
      <c r="M185">
        <f>IF(AND(D184&gt;0,G184="المحفظة"),COUNTIFS($D$4:D184,"&gt;"&amp;0,$G$4:G184,"المحفظة"),"")</f>
        <v/>
      </c>
      <c r="N185">
        <f>IF(AND(OR('طباعة كشف الحساب'!$C$2="الكل",MONTH(A185)=IFERROR(MATCH('طباعة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الحساب'!$F$2="الكل",YEAR(A185)=IFERROR(VALUE('طباعة كشف الحساب'!$F$2),0)),A185&lt;&gt;""),IFERROR(MAX($N$4:N184),0)+1,"")</f>
        <v/>
      </c>
      <c r="O185">
        <f>IF(AND(D184&gt;0,F184="أحد الشركاء"),COUNTIFS($D$4:D184,"&gt;"&amp;0,$F$4:F184,"أحد الشركاء"),"")</f>
        <v/>
      </c>
    </row>
    <row r="186" ht="18.75" customHeight="1" s="67">
      <c r="A186" s="150" t="n"/>
      <c r="B186" s="57" t="n"/>
      <c r="C186" s="58" t="n"/>
      <c r="D186" s="59" t="n"/>
      <c r="E186" s="60" t="n"/>
      <c r="F186" s="151" t="n"/>
      <c r="G186" s="62" t="n"/>
      <c r="H186" s="63" t="n"/>
      <c r="I186" s="64" t="n"/>
      <c r="J186" s="65">
        <f>IF(AND(D186="",E186="",A186="",B186="",C186=""),"", IFERROR(IF(J185="",D2,J185),D2)+IF(E186="",0,E186)-IF(OR(G186="أبو اسحاق",G186="أبو آدم",G186="أبو اسحاق ",G186="أبو آدم "),0,IF(D186="",0,D186)))</f>
        <v/>
      </c>
      <c r="K186" s="66" t="n"/>
      <c r="L186">
        <f>IF(E185&gt;0,COUNTIF($E$4:E185,"&gt;0"),"")</f>
        <v/>
      </c>
      <c r="M186">
        <f>IF(AND(D185&gt;0,G185="المحفظة"),COUNTIFS($D$4:D185,"&gt;"&amp;0,$G$4:G185,"المحفظة"),"")</f>
        <v/>
      </c>
      <c r="N186">
        <f>IF(AND(OR('طباعة كشف الحساب'!$C$2="الكل",MONTH(A186)=IFERROR(MATCH('طباعة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الحساب'!$F$2="الكل",YEAR(A186)=IFERROR(VALUE('طباعة كشف الحساب'!$F$2),0)),A186&lt;&gt;""),IFERROR(MAX($N$4:N185),0)+1,"")</f>
        <v/>
      </c>
      <c r="O186">
        <f>IF(AND(D185&gt;0,F185="أحد الشركاء"),COUNTIFS($D$4:D185,"&gt;"&amp;0,$F$4:F185,"أحد الشركاء"),"")</f>
        <v/>
      </c>
    </row>
    <row r="187" ht="18.75" customHeight="1" s="67">
      <c r="A187" s="45" t="n"/>
      <c r="B187" s="46" t="n"/>
      <c r="C187" s="47" t="n"/>
      <c r="D187" s="48" t="n"/>
      <c r="E187" s="49" t="n"/>
      <c r="F187" s="50" t="n"/>
      <c r="G187" s="51" t="n"/>
      <c r="H187" s="52" t="n"/>
      <c r="I187" s="53" t="n"/>
      <c r="J187" s="54">
        <f>IF(AND(D187="",E187="",A187="",B187="",C187=""),"", IFERROR(IF(J186="",D2,J186),D2)+IF(E187="",0,E187)-IF(OR(G187="أبو اسحاق",G187="أبو آدم",G187="أبو اسحاق ",G187="أبو آدم "),0,IF(D187="",0,D187)))</f>
        <v/>
      </c>
      <c r="K187" s="55" t="n"/>
      <c r="L187">
        <f>IF(E186&gt;0,COUNTIF($E$4:E186,"&gt;0"),"")</f>
        <v/>
      </c>
      <c r="M187">
        <f>IF(AND(D186&gt;0,G186="المحفظة"),COUNTIFS($D$4:D186,"&gt;"&amp;0,$G$4:G186,"المحفظة"),"")</f>
        <v/>
      </c>
      <c r="N187">
        <f>IF(AND(OR('طباعة كشف الحساب'!$C$2="الكل",MONTH(A187)=IFERROR(MATCH('طباعة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الحساب'!$F$2="الكل",YEAR(A187)=IFERROR(VALUE('طباعة كشف الحساب'!$F$2),0)),A187&lt;&gt;""),IFERROR(MAX($N$4:N186),0)+1,"")</f>
        <v/>
      </c>
      <c r="O187">
        <f>IF(AND(D186&gt;0,F186="أحد الشركاء"),COUNTIFS($D$4:D186,"&gt;"&amp;0,$F$4:F186,"أحد الشركاء"),"")</f>
        <v/>
      </c>
    </row>
    <row r="188" ht="18.75" customHeight="1" s="67">
      <c r="A188" s="150" t="n"/>
      <c r="B188" s="57" t="n"/>
      <c r="C188" s="58" t="n"/>
      <c r="D188" s="59" t="n"/>
      <c r="E188" s="60" t="n"/>
      <c r="F188" s="151" t="n"/>
      <c r="G188" s="62" t="n"/>
      <c r="H188" s="63" t="n"/>
      <c r="I188" s="64" t="n"/>
      <c r="J188" s="65">
        <f>IF(AND(D188="",E188="",A188="",B188="",C188=""),"", IFERROR(IF(J187="",D2,J187),D2)+IF(E188="",0,E188)-IF(OR(G188="أبو اسحاق",G188="أبو آدم",G188="أبو اسحاق ",G188="أبو آدم "),0,IF(D188="",0,D188)))</f>
        <v/>
      </c>
      <c r="K188" s="66" t="n"/>
      <c r="L188">
        <f>IF(E187&gt;0,COUNTIF($E$4:E187,"&gt;0"),"")</f>
        <v/>
      </c>
      <c r="M188">
        <f>IF(AND(D187&gt;0,G187="المحفظة"),COUNTIFS($D$4:D187,"&gt;"&amp;0,$G$4:G187,"المحفظة"),"")</f>
        <v/>
      </c>
      <c r="N188">
        <f>IF(AND(OR('طباعة كشف الحساب'!$C$2="الكل",MONTH(A188)=IFERROR(MATCH('طباعة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الحساب'!$F$2="الكل",YEAR(A188)=IFERROR(VALUE('طباعة كشف الحساب'!$F$2),0)),A188&lt;&gt;""),IFERROR(MAX($N$4:N187),0)+1,"")</f>
        <v/>
      </c>
      <c r="O188">
        <f>IF(AND(D187&gt;0,F187="أحد الشركاء"),COUNTIFS($D$4:D187,"&gt;"&amp;0,$F$4:F187,"أحد الشركاء"),"")</f>
        <v/>
      </c>
    </row>
    <row r="189" ht="18.75" customHeight="1" s="67">
      <c r="A189" s="45" t="n"/>
      <c r="B189" s="46" t="n"/>
      <c r="C189" s="47" t="n"/>
      <c r="D189" s="48" t="n"/>
      <c r="E189" s="49" t="n"/>
      <c r="F189" s="50" t="n"/>
      <c r="G189" s="51" t="n"/>
      <c r="H189" s="52" t="n"/>
      <c r="I189" s="53" t="n"/>
      <c r="J189" s="54">
        <f>IF(AND(D189="",E189="",A189="",B189="",C189=""),"", IFERROR(IF(J188="",D2,J188),D2)+IF(E189="",0,E189)-IF(OR(G189="أبو اسحاق",G189="أبو آدم",G189="أبو اسحاق ",G189="أبو آدم "),0,IF(D189="",0,D189)))</f>
        <v/>
      </c>
      <c r="K189" s="55" t="n"/>
      <c r="L189">
        <f>IF(E188&gt;0,COUNTIF($E$4:E188,"&gt;0"),"")</f>
        <v/>
      </c>
      <c r="M189">
        <f>IF(AND(D188&gt;0,G188="المحفظة"),COUNTIFS($D$4:D188,"&gt;"&amp;0,$G$4:G188,"المحفظة"),"")</f>
        <v/>
      </c>
      <c r="N189">
        <f>IF(AND(OR('طباعة كشف الحساب'!$C$2="الكل",MONTH(A189)=IFERROR(MATCH('طباعة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الحساب'!$F$2="الكل",YEAR(A189)=IFERROR(VALUE('طباعة كشف الحساب'!$F$2),0)),A189&lt;&gt;""),IFERROR(MAX($N$4:N188),0)+1,"")</f>
        <v/>
      </c>
      <c r="O189">
        <f>IF(AND(D188&gt;0,F188="أحد الشركاء"),COUNTIFS($D$4:D188,"&gt;"&amp;0,$F$4:F188,"أحد الشركاء"),"")</f>
        <v/>
      </c>
    </row>
    <row r="190" ht="18.75" customHeight="1" s="67">
      <c r="A190" s="150" t="n"/>
      <c r="B190" s="57" t="n"/>
      <c r="C190" s="58" t="n"/>
      <c r="D190" s="59" t="n"/>
      <c r="E190" s="60" t="n"/>
      <c r="F190" s="151" t="n"/>
      <c r="G190" s="62" t="n"/>
      <c r="H190" s="63" t="n"/>
      <c r="I190" s="64" t="n"/>
      <c r="J190" s="65">
        <f>IF(AND(D190="",E190="",A190="",B190="",C190=""),"", IFERROR(IF(J189="",D2,J189),D2)+IF(E190="",0,E190)-IF(OR(G190="أبو اسحاق",G190="أبو آدم",G190="أبو اسحاق ",G190="أبو آدم "),0,IF(D190="",0,D190)))</f>
        <v/>
      </c>
      <c r="K190" s="66" t="n"/>
      <c r="L190">
        <f>IF(E189&gt;0,COUNTIF($E$4:E189,"&gt;0"),"")</f>
        <v/>
      </c>
      <c r="M190">
        <f>IF(AND(D189&gt;0,G189="المحفظة"),COUNTIFS($D$4:D189,"&gt;"&amp;0,$G$4:G189,"المحفظة"),"")</f>
        <v/>
      </c>
      <c r="N190">
        <f>IF(AND(OR('طباعة كشف الحساب'!$C$2="الكل",MONTH(A190)=IFERROR(MATCH('طباعة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الحساب'!$F$2="الكل",YEAR(A190)=IFERROR(VALUE('طباعة كشف الحساب'!$F$2),0)),A190&lt;&gt;""),IFERROR(MAX($N$4:N189),0)+1,"")</f>
        <v/>
      </c>
      <c r="O190">
        <f>IF(AND(D189&gt;0,F189="أحد الشركاء"),COUNTIFS($D$4:D189,"&gt;"&amp;0,$F$4:F189,"أحد الشركاء"),"")</f>
        <v/>
      </c>
    </row>
    <row r="191" ht="18.75" customHeight="1" s="67">
      <c r="A191" s="45" t="n"/>
      <c r="B191" s="46" t="n"/>
      <c r="C191" s="47" t="n"/>
      <c r="D191" s="48" t="n"/>
      <c r="E191" s="49" t="n"/>
      <c r="F191" s="50" t="n"/>
      <c r="G191" s="51" t="n"/>
      <c r="H191" s="52" t="n"/>
      <c r="I191" s="53" t="n"/>
      <c r="J191" s="54">
        <f>IF(AND(D191="",E191="",A191="",B191="",C191=""),"", IFERROR(IF(J190="",D2,J190),D2)+IF(E191="",0,E191)-IF(OR(G191="أبو اسحاق",G191="أبو آدم",G191="أبو اسحاق ",G191="أبو آدم "),0,IF(D191="",0,D191)))</f>
        <v/>
      </c>
      <c r="K191" s="55" t="n"/>
      <c r="L191">
        <f>IF(E190&gt;0,COUNTIF($E$4:E190,"&gt;0"),"")</f>
        <v/>
      </c>
      <c r="M191">
        <f>IF(AND(D190&gt;0,G190="المحفظة"),COUNTIFS($D$4:D190,"&gt;"&amp;0,$G$4:G190,"المحفظة"),"")</f>
        <v/>
      </c>
      <c r="N191">
        <f>IF(AND(OR('طباعة كشف الحساب'!$C$2="الكل",MONTH(A191)=IFERROR(MATCH('طباعة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الحساب'!$F$2="الكل",YEAR(A191)=IFERROR(VALUE('طباعة كشف الحساب'!$F$2),0)),A191&lt;&gt;""),IFERROR(MAX($N$4:N190),0)+1,"")</f>
        <v/>
      </c>
      <c r="O191">
        <f>IF(AND(D190&gt;0,F190="أحد الشركاء"),COUNTIFS($D$4:D190,"&gt;"&amp;0,$F$4:F190,"أحد الشركاء"),"")</f>
        <v/>
      </c>
    </row>
    <row r="192" ht="18.75" customHeight="1" s="67">
      <c r="A192" s="150" t="n"/>
      <c r="B192" s="57" t="n"/>
      <c r="C192" s="58" t="n"/>
      <c r="D192" s="59" t="n"/>
      <c r="E192" s="60" t="n"/>
      <c r="F192" s="151" t="n"/>
      <c r="G192" s="62" t="n"/>
      <c r="H192" s="63" t="n"/>
      <c r="I192" s="64" t="n"/>
      <c r="J192" s="65">
        <f>IF(AND(D192="",E192="",A192="",B192="",C192=""),"", IFERROR(IF(J191="",D2,J191),D2)+IF(E192="",0,E192)-IF(OR(G192="أبو اسحاق",G192="أبو آدم",G192="أبو اسحاق ",G192="أبو آدم "),0,IF(D192="",0,D192)))</f>
        <v/>
      </c>
      <c r="K192" s="66" t="n"/>
      <c r="L192">
        <f>IF(E191&gt;0,COUNTIF($E$4:E191,"&gt;0"),"")</f>
        <v/>
      </c>
      <c r="M192">
        <f>IF(AND(D191&gt;0,G191="المحفظة"),COUNTIFS($D$4:D191,"&gt;"&amp;0,$G$4:G191,"المحفظة"),"")</f>
        <v/>
      </c>
      <c r="N192">
        <f>IF(AND(OR('طباعة كشف الحساب'!$C$2="الكل",MONTH(A192)=IFERROR(MATCH('طباعة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الحساب'!$F$2="الكل",YEAR(A192)=IFERROR(VALUE('طباعة كشف الحساب'!$F$2),0)),A192&lt;&gt;""),IFERROR(MAX($N$4:N191),0)+1,"")</f>
        <v/>
      </c>
      <c r="O192">
        <f>IF(AND(D191&gt;0,F191="أحد الشركاء"),COUNTIFS($D$4:D191,"&gt;"&amp;0,$F$4:F191,"أحد الشركاء"),"")</f>
        <v/>
      </c>
    </row>
    <row r="193" ht="18.75" customHeight="1" s="67">
      <c r="A193" s="45" t="n"/>
      <c r="B193" s="46" t="n"/>
      <c r="C193" s="47" t="n"/>
      <c r="D193" s="48" t="n"/>
      <c r="E193" s="49" t="n"/>
      <c r="F193" s="50" t="n"/>
      <c r="G193" s="51" t="n"/>
      <c r="H193" s="52" t="n"/>
      <c r="I193" s="53" t="n"/>
      <c r="J193" s="54">
        <f>IF(AND(D193="",E193="",A193="",B193="",C193=""),"", IFERROR(IF(J192="",D2,J192),D2)+IF(E193="",0,E193)-IF(OR(G193="أبو اسحاق",G193="أبو آدم",G193="أبو اسحاق ",G193="أبو آدم "),0,IF(D193="",0,D193)))</f>
        <v/>
      </c>
      <c r="K193" s="55" t="n"/>
      <c r="L193">
        <f>IF(E192&gt;0,COUNTIF($E$4:E192,"&gt;0"),"")</f>
        <v/>
      </c>
      <c r="M193">
        <f>IF(AND(D192&gt;0,G192="المحفظة"),COUNTIFS($D$4:D192,"&gt;"&amp;0,$G$4:G192,"المحفظة"),"")</f>
        <v/>
      </c>
      <c r="N193">
        <f>IF(AND(OR('طباعة كشف الحساب'!$C$2="الكل",MONTH(A193)=IFERROR(MATCH('طباعة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الحساب'!$F$2="الكل",YEAR(A193)=IFERROR(VALUE('طباعة كشف الحساب'!$F$2),0)),A193&lt;&gt;""),IFERROR(MAX($N$4:N192),0)+1,"")</f>
        <v/>
      </c>
      <c r="O193">
        <f>IF(AND(D192&gt;0,F192="أحد الشركاء"),COUNTIFS($D$4:D192,"&gt;"&amp;0,$F$4:F192,"أحد الشركاء"),"")</f>
        <v/>
      </c>
    </row>
    <row r="194" ht="18.75" customHeight="1" s="67">
      <c r="A194" s="150" t="n"/>
      <c r="B194" s="57" t="n"/>
      <c r="C194" s="58" t="n"/>
      <c r="D194" s="59" t="n"/>
      <c r="E194" s="60" t="n"/>
      <c r="F194" s="151" t="n"/>
      <c r="G194" s="62" t="n"/>
      <c r="H194" s="63" t="n"/>
      <c r="I194" s="64" t="n"/>
      <c r="J194" s="65">
        <f>IF(AND(D194="",E194="",A194="",B194="",C194=""),"", IFERROR(IF(J193="",D2,J193),D2)+IF(E194="",0,E194)-IF(OR(G194="أبو اسحاق",G194="أبو آدم",G194="أبو اسحاق ",G194="أبو آدم "),0,IF(D194="",0,D194)))</f>
        <v/>
      </c>
      <c r="K194" s="66" t="n"/>
      <c r="L194">
        <f>IF(E193&gt;0,COUNTIF($E$4:E193,"&gt;0"),"")</f>
        <v/>
      </c>
      <c r="M194">
        <f>IF(AND(D193&gt;0,G193="المحفظة"),COUNTIFS($D$4:D193,"&gt;"&amp;0,$G$4:G193,"المحفظة"),"")</f>
        <v/>
      </c>
      <c r="N194">
        <f>IF(AND(OR('طباعة كشف الحساب'!$C$2="الكل",MONTH(A194)=IFERROR(MATCH('طباعة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الحساب'!$F$2="الكل",YEAR(A194)=IFERROR(VALUE('طباعة كشف الحساب'!$F$2),0)),A194&lt;&gt;""),IFERROR(MAX($N$4:N193),0)+1,"")</f>
        <v/>
      </c>
      <c r="O194">
        <f>IF(AND(D193&gt;0,F193="أحد الشركاء"),COUNTIFS($D$4:D193,"&gt;"&amp;0,$F$4:F193,"أحد الشركاء"),"")</f>
        <v/>
      </c>
    </row>
    <row r="195" ht="18.75" customHeight="1" s="67">
      <c r="A195" s="45" t="n"/>
      <c r="B195" s="46" t="n"/>
      <c r="C195" s="47" t="n"/>
      <c r="D195" s="48" t="n"/>
      <c r="E195" s="49" t="n"/>
      <c r="F195" s="50" t="n"/>
      <c r="G195" s="51" t="n"/>
      <c r="H195" s="52" t="n"/>
      <c r="I195" s="53" t="n"/>
      <c r="J195" s="54">
        <f>IF(AND(D195="",E195="",A195="",B195="",C195=""),"", IFERROR(IF(J194="",D2,J194),D2)+IF(E195="",0,E195)-IF(OR(G195="أبو اسحاق",G195="أبو آدم",G195="أبو اسحاق ",G195="أبو آدم "),0,IF(D195="",0,D195)))</f>
        <v/>
      </c>
      <c r="K195" s="55" t="n"/>
      <c r="L195">
        <f>IF(E194&gt;0,COUNTIF($E$4:E194,"&gt;0"),"")</f>
        <v/>
      </c>
      <c r="M195">
        <f>IF(AND(D194&gt;0,G194="المحفظة"),COUNTIFS($D$4:D194,"&gt;"&amp;0,$G$4:G194,"المحفظة"),"")</f>
        <v/>
      </c>
      <c r="N195">
        <f>IF(AND(OR('طباعة كشف الحساب'!$C$2="الكل",MONTH(A195)=IFERROR(MATCH('طباعة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الحساب'!$F$2="الكل",YEAR(A195)=IFERROR(VALUE('طباعة كشف الحساب'!$F$2),0)),A195&lt;&gt;""),IFERROR(MAX($N$4:N194),0)+1,"")</f>
        <v/>
      </c>
      <c r="O195">
        <f>IF(AND(D194&gt;0,F194="أحد الشركاء"),COUNTIFS($D$4:D194,"&gt;"&amp;0,$F$4:F194,"أحد الشركاء"),"")</f>
        <v/>
      </c>
    </row>
    <row r="196" ht="18.75" customHeight="1" s="67">
      <c r="A196" s="150" t="n"/>
      <c r="B196" s="57" t="n"/>
      <c r="C196" s="58" t="n"/>
      <c r="D196" s="59" t="n"/>
      <c r="E196" s="60" t="n"/>
      <c r="F196" s="151" t="n"/>
      <c r="G196" s="62" t="n"/>
      <c r="H196" s="63" t="n"/>
      <c r="I196" s="64" t="n"/>
      <c r="J196" s="65">
        <f>IF(AND(D196="",E196="",A196="",B196="",C196=""),"", IFERROR(IF(J195="",D2,J195),D2)+IF(E196="",0,E196)-IF(OR(G196="أبو اسحاق",G196="أبو آدم",G196="أبو اسحاق ",G196="أبو آدم "),0,IF(D196="",0,D196)))</f>
        <v/>
      </c>
      <c r="K196" s="66" t="n"/>
      <c r="L196">
        <f>IF(E195&gt;0,COUNTIF($E$4:E195,"&gt;0"),"")</f>
        <v/>
      </c>
      <c r="M196">
        <f>IF(AND(D195&gt;0,G195="المحفظة"),COUNTIFS($D$4:D195,"&gt;"&amp;0,$G$4:G195,"المحفظة"),"")</f>
        <v/>
      </c>
      <c r="N196">
        <f>IF(AND(OR('طباعة كشف الحساب'!$C$2="الكل",MONTH(A196)=IFERROR(MATCH('طباعة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الحساب'!$F$2="الكل",YEAR(A196)=IFERROR(VALUE('طباعة كشف الحساب'!$F$2),0)),A196&lt;&gt;""),IFERROR(MAX($N$4:N195),0)+1,"")</f>
        <v/>
      </c>
      <c r="O196">
        <f>IF(AND(D195&gt;0,F195="أحد الشركاء"),COUNTIFS($D$4:D195,"&gt;"&amp;0,$F$4:F195,"أحد الشركاء"),"")</f>
        <v/>
      </c>
    </row>
    <row r="197" ht="18.75" customHeight="1" s="67">
      <c r="A197" s="45" t="n"/>
      <c r="B197" s="46" t="n"/>
      <c r="C197" s="47" t="n"/>
      <c r="D197" s="48" t="n"/>
      <c r="E197" s="49" t="n"/>
      <c r="F197" s="50" t="n"/>
      <c r="G197" s="51" t="n"/>
      <c r="H197" s="52" t="n"/>
      <c r="I197" s="53" t="n"/>
      <c r="J197" s="54">
        <f>IF(AND(D197="",E197="",A197="",B197="",C197=""),"", IFERROR(IF(J196="",D2,J196),D2)+IF(E197="",0,E197)-IF(OR(G197="أبو اسحاق",G197="أبو آدم",G197="أبو اسحاق ",G197="أبو آدم "),0,IF(D197="",0,D197)))</f>
        <v/>
      </c>
      <c r="K197" s="55" t="n"/>
      <c r="L197">
        <f>IF(E196&gt;0,COUNTIF($E$4:E196,"&gt;0"),"")</f>
        <v/>
      </c>
      <c r="M197">
        <f>IF(AND(D196&gt;0,G196="المحفظة"),COUNTIFS($D$4:D196,"&gt;"&amp;0,$G$4:G196,"المحفظة"),"")</f>
        <v/>
      </c>
      <c r="N197">
        <f>IF(AND(OR('طباعة كشف الحساب'!$C$2="الكل",MONTH(A197)=IFERROR(MATCH('طباعة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الحساب'!$F$2="الكل",YEAR(A197)=IFERROR(VALUE('طباعة كشف الحساب'!$F$2),0)),A197&lt;&gt;""),IFERROR(MAX($N$4:N196),0)+1,"")</f>
        <v/>
      </c>
      <c r="O197">
        <f>IF(AND(D196&gt;0,F196="أحد الشركاء"),COUNTIFS($D$4:D196,"&gt;"&amp;0,$F$4:F196,"أحد الشركاء"),"")</f>
        <v/>
      </c>
    </row>
    <row r="198" ht="18.75" customHeight="1" s="67">
      <c r="A198" s="150" t="n"/>
      <c r="B198" s="57" t="n"/>
      <c r="C198" s="58" t="n"/>
      <c r="D198" s="59" t="n"/>
      <c r="E198" s="60" t="n"/>
      <c r="F198" s="151" t="n"/>
      <c r="G198" s="62" t="n"/>
      <c r="H198" s="63" t="n"/>
      <c r="I198" s="64" t="n"/>
      <c r="J198" s="65">
        <f>IF(AND(D198="",E198="",A198="",B198="",C198=""),"", IFERROR(IF(J197="",D2,J197),D2)+IF(E198="",0,E198)-IF(OR(G198="أبو اسحاق",G198="أبو آدم",G198="أبو اسحاق ",G198="أبو آدم "),0,IF(D198="",0,D198)))</f>
        <v/>
      </c>
      <c r="K198" s="66" t="n"/>
      <c r="L198">
        <f>IF(E197&gt;0,COUNTIF($E$4:E197,"&gt;0"),"")</f>
        <v/>
      </c>
      <c r="M198">
        <f>IF(AND(D197&gt;0,G197="المحفظة"),COUNTIFS($D$4:D197,"&gt;"&amp;0,$G$4:G197,"المحفظة"),"")</f>
        <v/>
      </c>
      <c r="N198">
        <f>IF(AND(OR('طباعة كشف الحساب'!$C$2="الكل",MONTH(A198)=IFERROR(MATCH('طباعة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الحساب'!$F$2="الكل",YEAR(A198)=IFERROR(VALUE('طباعة كشف الحساب'!$F$2),0)),A198&lt;&gt;""),IFERROR(MAX($N$4:N197),0)+1,"")</f>
        <v/>
      </c>
      <c r="O198">
        <f>IF(AND(D197&gt;0,F197="أحد الشركاء"),COUNTIFS($D$4:D197,"&gt;"&amp;0,$F$4:F197,"أحد الشركاء"),"")</f>
        <v/>
      </c>
    </row>
    <row r="199" ht="18.75" customHeight="1" s="67">
      <c r="A199" s="45" t="n"/>
      <c r="B199" s="46" t="n"/>
      <c r="C199" s="47" t="n"/>
      <c r="D199" s="48" t="n"/>
      <c r="E199" s="49" t="n"/>
      <c r="F199" s="50" t="n"/>
      <c r="G199" s="51" t="n"/>
      <c r="H199" s="52" t="n"/>
      <c r="I199" s="53" t="n"/>
      <c r="J199" s="54">
        <f>IF(AND(D199="",E199="",A199="",B199="",C199=""),"", IFERROR(IF(J198="",D2,J198),D2)+IF(E199="",0,E199)-IF(OR(G199="أبو اسحاق",G199="أبو آدم",G199="أبو اسحاق ",G199="أبو آدم "),0,IF(D199="",0,D199)))</f>
        <v/>
      </c>
      <c r="K199" s="55" t="n"/>
      <c r="L199">
        <f>IF(E198&gt;0,COUNTIF($E$4:E198,"&gt;0"),"")</f>
        <v/>
      </c>
      <c r="M199">
        <f>IF(AND(D198&gt;0,G198="المحفظة"),COUNTIFS($D$4:D198,"&gt;"&amp;0,$G$4:G198,"المحفظة"),"")</f>
        <v/>
      </c>
      <c r="N199">
        <f>IF(AND(OR('طباعة كشف الحساب'!$C$2="الكل",MONTH(A199)=IFERROR(MATCH('طباعة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الحساب'!$F$2="الكل",YEAR(A199)=IFERROR(VALUE('طباعة كشف الحساب'!$F$2),0)),A199&lt;&gt;""),IFERROR(MAX($N$4:N198),0)+1,"")</f>
        <v/>
      </c>
      <c r="O199">
        <f>IF(AND(D198&gt;0,F198="أحد الشركاء"),COUNTIFS($D$4:D198,"&gt;"&amp;0,$F$4:F198,"أحد الشركاء"),"")</f>
        <v/>
      </c>
    </row>
    <row r="200" ht="18.75" customHeight="1" s="67">
      <c r="A200" s="150" t="n"/>
      <c r="B200" s="57" t="n"/>
      <c r="C200" s="58" t="n"/>
      <c r="D200" s="59" t="n"/>
      <c r="E200" s="60" t="n"/>
      <c r="F200" s="151" t="n"/>
      <c r="G200" s="62" t="n"/>
      <c r="H200" s="63" t="n"/>
      <c r="I200" s="64" t="n"/>
      <c r="J200" s="65">
        <f>IF(AND(D200="",E200="",A200="",B200="",C200=""),"", IFERROR(IF(J199="",D2,J199),D2)+IF(E200="",0,E200)-IF(OR(G200="أبو اسحاق",G200="أبو آدم",G200="أبو اسحاق ",G200="أبو آدم "),0,IF(D200="",0,D200)))</f>
        <v/>
      </c>
      <c r="K200" s="66" t="n"/>
      <c r="L200">
        <f>IF(E199&gt;0,COUNTIF($E$4:E199,"&gt;0"),"")</f>
        <v/>
      </c>
      <c r="M200">
        <f>IF(AND(D199&gt;0,G199="المحفظة"),COUNTIFS($D$4:D199,"&gt;"&amp;0,$G$4:G199,"المحفظة"),"")</f>
        <v/>
      </c>
      <c r="N200">
        <f>IF(AND(OR('طباعة كشف الحساب'!$C$2="الكل",MONTH(A200)=IFERROR(MATCH('طباعة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الحساب'!$F$2="الكل",YEAR(A200)=IFERROR(VALUE('طباعة كشف الحساب'!$F$2),0)),A200&lt;&gt;""),IFERROR(MAX($N$4:N199),0)+1,"")</f>
        <v/>
      </c>
      <c r="O200">
        <f>IF(AND(D199&gt;0,F199="أحد الشركاء"),COUNTIFS($D$4:D199,"&gt;"&amp;0,$F$4:F199,"أحد الشركاء"),"")</f>
        <v/>
      </c>
    </row>
    <row r="201" ht="18.75" customHeight="1" s="67">
      <c r="A201" s="45" t="n"/>
      <c r="B201" s="46" t="n"/>
      <c r="C201" s="47" t="n"/>
      <c r="D201" s="48" t="n"/>
      <c r="E201" s="49" t="n"/>
      <c r="F201" s="50" t="n"/>
      <c r="G201" s="51" t="n"/>
      <c r="H201" s="52" t="n"/>
      <c r="I201" s="53" t="n"/>
      <c r="J201" s="54">
        <f>IF(AND(D201="",E201="",A201="",B201="",C201=""),"", IFERROR(IF(J200="",D2,J200),D2)+IF(E201="",0,E201)-IF(OR(G201="أبو اسحاق",G201="أبو آدم",G201="أبو اسحاق ",G201="أبو آدم "),0,IF(D201="",0,D201)))</f>
        <v/>
      </c>
      <c r="K201" s="55" t="n"/>
      <c r="L201">
        <f>IF(E200&gt;0,COUNTIF($E$4:E200,"&gt;0"),"")</f>
        <v/>
      </c>
      <c r="M201">
        <f>IF(AND(D200&gt;0,G200="المحفظة"),COUNTIFS($D$4:D200,"&gt;"&amp;0,$G$4:G200,"المحفظة"),"")</f>
        <v/>
      </c>
      <c r="N201">
        <f>IF(AND(OR('طباعة كشف الحساب'!$C$2="الكل",MONTH(A201)=IFERROR(MATCH('طباعة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الحساب'!$F$2="الكل",YEAR(A201)=IFERROR(VALUE('طباعة كشف الحساب'!$F$2),0)),A201&lt;&gt;""),IFERROR(MAX($N$4:N200),0)+1,"")</f>
        <v/>
      </c>
      <c r="O201">
        <f>IF(AND(D200&gt;0,F200="أحد الشركاء"),COUNTIFS($D$4:D200,"&gt;"&amp;0,$F$4:F200,"أحد الشركاء"),"")</f>
        <v/>
      </c>
    </row>
    <row r="202" ht="18.75" customHeight="1" s="67">
      <c r="A202" s="150" t="n"/>
      <c r="B202" s="57" t="n"/>
      <c r="C202" s="58" t="n"/>
      <c r="D202" s="59" t="n"/>
      <c r="E202" s="60" t="n"/>
      <c r="F202" s="151" t="n"/>
      <c r="G202" s="62" t="n"/>
      <c r="H202" s="63" t="n"/>
      <c r="I202" s="64" t="n"/>
      <c r="J202" s="65">
        <f>IF(AND(D202="",E202="",A202="",B202="",C202=""),"", IFERROR(IF(J201="",D2,J201),D2)+IF(E202="",0,E202)-IF(OR(G202="أبو اسحاق",G202="أبو آدم",G202="أبو اسحاق ",G202="أبو آدم "),0,IF(D202="",0,D202)))</f>
        <v/>
      </c>
      <c r="K202" s="66" t="n"/>
      <c r="L202">
        <f>IF(E201&gt;0,COUNTIF($E$4:E201,"&gt;0"),"")</f>
        <v/>
      </c>
      <c r="M202">
        <f>IF(AND(D201&gt;0,G201="المحفظة"),COUNTIFS($D$4:D201,"&gt;"&amp;0,$G$4:G201,"المحفظة"),"")</f>
        <v/>
      </c>
      <c r="N202">
        <f>IF(AND(OR('طباعة كشف الحساب'!$C$2="الكل",MONTH(A202)=IFERROR(MATCH('طباعة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الحساب'!$F$2="الكل",YEAR(A202)=IFERROR(VALUE('طباعة كشف الحساب'!$F$2),0)),A202&lt;&gt;""),IFERROR(MAX($N$4:N201),0)+1,"")</f>
        <v/>
      </c>
      <c r="O202">
        <f>IF(AND(D201&gt;0,F201="أحد الشركاء"),COUNTIFS($D$4:D201,"&gt;"&amp;0,$F$4:F201,"أحد الشركاء"),"")</f>
        <v/>
      </c>
    </row>
    <row r="203" ht="18.75" customHeight="1" s="67">
      <c r="A203" s="45" t="n"/>
      <c r="B203" s="46" t="n"/>
      <c r="C203" s="47" t="n"/>
      <c r="D203" s="48" t="n"/>
      <c r="E203" s="49" t="n"/>
      <c r="F203" s="50" t="n"/>
      <c r="G203" s="51" t="n"/>
      <c r="H203" s="52" t="n"/>
      <c r="I203" s="53" t="n"/>
      <c r="J203" s="54">
        <f>IF(AND(D203="",E203="",A203="",B203="",C203=""),"", IFERROR(IF(J202="",D2,J202),D2)+IF(E203="",0,E203)-IF(OR(G203="أبو اسحاق",G203="أبو آدم",G203="أبو اسحاق ",G203="أبو آدم "),0,IF(D203="",0,D203)))</f>
        <v/>
      </c>
      <c r="K203" s="55" t="n"/>
      <c r="L203">
        <f>IF(E202&gt;0,COUNTIF($E$4:E202,"&gt;0"),"")</f>
        <v/>
      </c>
      <c r="M203">
        <f>IF(AND(D202&gt;0,G202="المحفظة"),COUNTIFS($D$4:D202,"&gt;"&amp;0,$G$4:G202,"المحفظة"),"")</f>
        <v/>
      </c>
      <c r="N203">
        <f>IF(AND(OR('طباعة كشف الحساب'!$C$2="الكل",MONTH(A203)=IFERROR(MATCH('طباعة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الحساب'!$F$2="الكل",YEAR(A203)=IFERROR(VALUE('طباعة كشف الحساب'!$F$2),0)),A203&lt;&gt;""),IFERROR(MAX($N$4:N202),0)+1,"")</f>
        <v/>
      </c>
      <c r="O203">
        <f>IF(AND(D202&gt;0,F202="أحد الشركاء"),COUNTIFS($D$4:D202,"&gt;"&amp;0,$F$4:F202,"أحد الشركاء"),"")</f>
        <v/>
      </c>
    </row>
    <row r="204" ht="25.5" customHeight="1" s="67">
      <c r="A204" s="150" t="n"/>
      <c r="B204" s="69" t="n"/>
      <c r="C204" s="204" t="n"/>
      <c r="D204" s="59" t="n"/>
      <c r="E204" s="60" t="n"/>
      <c r="F204" s="151" t="n"/>
      <c r="G204" s="69" t="n"/>
      <c r="H204" s="204" t="n"/>
      <c r="I204" s="64" t="n"/>
      <c r="J204" s="65">
        <f>IF(AND(D203="",E203="",A203="",B203="",C203=""),"", IFERROR(IF(J202="",D2,J202),D2)+IF(E203="",0,E203)-IF(D203="",0,D203))</f>
        <v/>
      </c>
      <c r="K204" s="66" t="n"/>
      <c r="L204">
        <f>IF(E203&gt;0,COUNTIF($E$4:E203,"&gt;0"),"")</f>
        <v/>
      </c>
      <c r="M204">
        <f>IF(AND(D203&gt;0,G203="المحفظة"),COUNTIFS($D$4:D203,"&gt;"&amp;0,$G$4:G203,"المحفظة"),"")</f>
        <v/>
      </c>
      <c r="N204">
        <f>IF(AND(OR('طباعة كشف الحساب'!$C$2="الكل",MONTH(A203)=IFERROR(MATCH('طباعة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الحساب'!$F$2="الكل",YEAR(A203)=IFERROR(VALUE('طباعة كشف الحساب'!$F$2),0)),A203&lt;&gt;""),IFERROR(MAX($N$4:N202),0)+1,"")</f>
        <v/>
      </c>
      <c r="O204">
        <f>IF(AND(D203&gt;0,F203="أحد الشركاء"),COUNTIFS($D$4:D203,"&gt;"&amp;0,$F$4:F203,"أحد الشركاء"),"")</f>
        <v/>
      </c>
    </row>
    <row r="205" ht="15.75" customHeight="1" s="67">
      <c r="A205" s="143" t="inlineStr">
        <is>
          <t>الإجمالي  /  TOTALS</t>
        </is>
      </c>
      <c r="B205" s="69" t="n"/>
      <c r="C205" s="69" t="n"/>
      <c r="D205" s="70">
        <f>SUM(D4:D203)</f>
        <v/>
      </c>
      <c r="E205" s="70">
        <f>SUM(E4:E203)</f>
        <v/>
      </c>
      <c r="F205" s="156">
        <f>COUNTIF(H4:H203,"معلق")</f>
        <v/>
      </c>
      <c r="G205" s="69" t="n"/>
      <c r="H205" s="69" t="n"/>
      <c r="J205" s="70">
        <f>$D$2+E204-D204</f>
        <v/>
      </c>
      <c r="N205">
        <f>IF(AND(OR('طباعة كشف الحساب'!$C$2="الكل",IFERROR(MONTH(A205),0)=IFERROR(MATCH('طباعة كشف الحساب'!$C$2,{"يناير","فبراير","مارس","أبريل","مايو","يونيو","يوليو","أغسطس","سبتمبر","أكتوبر","نوفمبر","ديسمبر"},0),0)),OR('طباعة كشف الحساب'!$F$2="الكل",IFERROR(YEAR(A205),0)=IFERROR(VALUE('طباعة كشف الحساب'!$F$2),0)),A205&lt;&gt;""),IFERROR(MAX($N$4:N204),0)+1,"")</f>
        <v/>
      </c>
    </row>
    <row r="206" ht="15" customHeight="1" s="67">
      <c r="D206" s="72" t="inlineStr">
        <is>
          <t>إجمالي السحوبات</t>
        </is>
      </c>
      <c r="E206" s="73" t="inlineStr">
        <is>
          <t>إجمالي الإيداعات</t>
        </is>
      </c>
      <c r="F206" s="74" t="inlineStr">
        <is>
          <t>عدد المعلقات</t>
        </is>
      </c>
      <c r="J206" s="75" t="inlineStr">
        <is>
          <t>الرصيد الختامي</t>
        </is>
      </c>
    </row>
  </sheetData>
  <mergeCells count="5">
    <mergeCell ref="F204:H204"/>
    <mergeCell ref="A2:C2"/>
    <mergeCell ref="E2:K2"/>
    <mergeCell ref="A1:K1"/>
    <mergeCell ref="A204:C204"/>
  </mergeCells>
  <conditionalFormatting sqref="J4:J203">
    <cfRule type="cellIs" priority="2" operator="lessThan" dxfId="1">
      <formula>0</formula>
    </cfRule>
    <cfRule type="cellIs" priority="3" operator="greaterThanOrEqual" dxfId="0">
      <formula>0</formula>
    </cfRule>
  </conditionalFormatting>
  <conditionalFormatting sqref="H4:H203">
    <cfRule type="expression" priority="4" dxfId="3">
      <formula>H4="معلق"</formula>
    </cfRule>
  </conditionalFormatting>
  <conditionalFormatting sqref="G4:G203">
    <cfRule type="expression" priority="5" dxfId="2">
      <formula>G4="المحفظة"</formula>
    </cfRule>
  </conditionalFormatting>
  <dataValidations count="4">
    <dataValidation sqref="F4:F203" showDropDown="0" showInputMessage="0" showErrorMessage="1" allowBlank="1" errorTitle="خطأ" error="اختر من القائمة" type="list">
      <formula1>"نقداً,أون لاين,أحد الشركاء,من المحفظة"</formula1>
      <formula2>0</formula2>
    </dataValidation>
    <dataValidation sqref="G4:G203" showDropDown="0" showInputMessage="0" showErrorMessage="1" allowBlank="1" errorTitle="خطأ" error="اختر من القائمة" type="list">
      <formula1>"أبو اسحاق,أبو آدم,نزمول,المحفظة"</formula1>
      <formula2>0</formula2>
    </dataValidation>
    <dataValidation sqref="H4:H203" showDropDown="0" showInputMessage="0" showErrorMessage="1" allowBlank="1" errorTitle="خطأ" error="اختر من القائمة" type="list">
      <formula1>"تم الدفع,معلق"</formula1>
      <formula2>0</formula2>
    </dataValidation>
    <dataValidation sqref="A4:A203" showDropDown="0" showInputMessage="0" showErrorMessage="1" allowBlank="1" errorTitle="تاريخ خاطئ" error="أدخل تاريخاً صحيحاً" type="date">
      <formula1>DATE(2020,1,1)</formula1>
      <formula2>DATE(2035,12,31)</formula2>
    </dataValidation>
  </dataValidations>
  <pageMargins left="0.25" right="0.25" top="0.75" bottom="0.75" header="0.511811023622047" footer="0.511811023622047"/>
  <pageSetup orientation="portrait" paperSize="9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zoomScaleNormal="100" workbookViewId="0">
      <selection activeCell="A1" sqref="A1:C1"/>
    </sheetView>
  </sheetViews>
  <sheetFormatPr baseColWidth="8" defaultColWidth="8.7109375" defaultRowHeight="15"/>
  <cols>
    <col width="28" customWidth="1" style="67" min="1" max="1"/>
    <col width="36" customWidth="1" style="67" min="2" max="2"/>
    <col width="22" customWidth="1" style="67" min="3" max="3"/>
  </cols>
  <sheetData>
    <row r="1" ht="27.75" customHeight="1" s="67">
      <c r="A1" s="152" t="inlineStr">
        <is>
          <t>بنود التسديد من المحفظة</t>
        </is>
      </c>
      <c r="B1" s="69" t="n"/>
      <c r="C1" s="69" t="n"/>
    </row>
    <row r="2" ht="21.75" customHeight="1" s="67">
      <c r="A2" s="76" t="inlineStr">
        <is>
          <t>بند الصرف</t>
        </is>
      </c>
      <c r="B2" s="76" t="inlineStr">
        <is>
          <t>الوصف</t>
        </is>
      </c>
      <c r="C2" s="76" t="inlineStr">
        <is>
          <t>ملاحظات</t>
        </is>
      </c>
    </row>
    <row r="3" ht="18" customHeight="1" s="67">
      <c r="A3" s="77" t="inlineStr">
        <is>
          <t>رواتب العمال</t>
        </is>
      </c>
      <c r="B3" s="77" t="n"/>
      <c r="C3" s="46" t="n"/>
    </row>
    <row r="4" ht="18" customHeight="1" s="67">
      <c r="A4" s="78" t="inlineStr">
        <is>
          <t>وقود ومحروقات</t>
        </is>
      </c>
      <c r="B4" s="78" t="n"/>
      <c r="C4" s="57" t="n"/>
    </row>
    <row r="5" ht="18" customHeight="1" s="67">
      <c r="A5" s="77" t="inlineStr">
        <is>
          <t>صيانة المعدات</t>
        </is>
      </c>
      <c r="B5" s="77" t="n"/>
      <c r="C5" s="46" t="n"/>
    </row>
    <row r="6" ht="18" customHeight="1" s="67">
      <c r="A6" s="78" t="inlineStr">
        <is>
          <t>مستلزمات زراعية</t>
        </is>
      </c>
      <c r="B6" s="78" t="n"/>
      <c r="C6" s="57" t="n"/>
    </row>
    <row r="7" ht="18" customHeight="1" s="67">
      <c r="A7" s="77" t="inlineStr">
        <is>
          <t>مياه وكهرباء</t>
        </is>
      </c>
      <c r="B7" s="77" t="n"/>
      <c r="C7" s="46" t="n"/>
    </row>
    <row r="8" ht="18" customHeight="1" s="67">
      <c r="A8" s="78" t="inlineStr">
        <is>
          <t>نقليات وتوصيل</t>
        </is>
      </c>
      <c r="B8" s="78" t="n"/>
      <c r="C8" s="57" t="n"/>
    </row>
    <row r="9" ht="18" customHeight="1" s="67">
      <c r="A9" s="77" t="inlineStr">
        <is>
          <t>أحواض وأدوات</t>
        </is>
      </c>
      <c r="B9" s="77" t="n"/>
      <c r="C9" s="46" t="n"/>
    </row>
    <row r="10" ht="18" customHeight="1" s="67">
      <c r="A10" s="78" t="inlineStr">
        <is>
          <t>مبيدات وأسمدة</t>
        </is>
      </c>
      <c r="B10" s="78" t="n"/>
      <c r="C10" s="57" t="n"/>
    </row>
    <row r="11" ht="18" customHeight="1" s="67">
      <c r="A11" s="77" t="inlineStr">
        <is>
          <t>إيجارات</t>
        </is>
      </c>
      <c r="B11" s="77" t="n"/>
      <c r="C11" s="46" t="n"/>
    </row>
    <row r="12" ht="18" customHeight="1" s="67">
      <c r="A12" s="78" t="inlineStr">
        <is>
          <t>مصاريف إدارية</t>
        </is>
      </c>
      <c r="B12" s="78" t="n"/>
      <c r="C12" s="57" t="n"/>
    </row>
    <row r="13" ht="18" customHeight="1" s="67">
      <c r="A13" s="77" t="inlineStr">
        <is>
          <t>مدفوعات المهندس مختار</t>
        </is>
      </c>
      <c r="B13" s="77" t="n"/>
      <c r="C13" s="46" t="n"/>
    </row>
    <row r="14" ht="18" customHeight="1" s="67">
      <c r="A14" s="78" t="inlineStr">
        <is>
          <t>مدفوعات محمد أبو آدم</t>
        </is>
      </c>
      <c r="B14" s="78" t="n"/>
      <c r="C14" s="57" t="n"/>
    </row>
    <row r="15" ht="18" customHeight="1" s="67">
      <c r="A15" s="77" t="inlineStr">
        <is>
          <t>مبيعات الجمعيات</t>
        </is>
      </c>
      <c r="B15" s="77" t="n"/>
      <c r="C15" s="46" t="n"/>
    </row>
    <row r="16" ht="18" customHeight="1" s="67">
      <c r="A16" s="78" t="inlineStr">
        <is>
          <t>مبيعات أون لاين</t>
        </is>
      </c>
      <c r="B16" s="78" t="n"/>
      <c r="C16" s="57" t="n"/>
    </row>
    <row r="17" ht="18" customHeight="1" s="67">
      <c r="A17" s="77" t="inlineStr">
        <is>
          <t>مبيعات المزرعة المباشرة</t>
        </is>
      </c>
      <c r="B17" s="77" t="n"/>
      <c r="C17" s="46" t="n"/>
    </row>
    <row r="18" ht="18" customHeight="1" s="67">
      <c r="A18" s="78" t="inlineStr">
        <is>
          <t>ديون مستردة</t>
        </is>
      </c>
      <c r="B18" s="78" t="n"/>
      <c r="C18" s="57" t="n"/>
    </row>
    <row r="19" ht="18" customHeight="1" s="67">
      <c r="A19" s="77" t="inlineStr">
        <is>
          <t>مصاريف طارئة</t>
        </is>
      </c>
      <c r="B19" s="77" t="n"/>
      <c r="C19" s="46" t="n"/>
    </row>
    <row r="20" ht="18" customHeight="1" s="67">
      <c r="A20" s="78" t="inlineStr">
        <is>
          <t>أخرى</t>
        </is>
      </c>
      <c r="B20" s="78" t="n"/>
      <c r="C20" s="57" t="n"/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zoomScaleNormal="100" workbookViewId="0">
      <selection activeCell="A1" sqref="A1:B1"/>
    </sheetView>
  </sheetViews>
  <sheetFormatPr baseColWidth="8" defaultColWidth="8.7109375" defaultRowHeight="15"/>
  <cols>
    <col width="5" customWidth="1" style="67" min="1" max="1"/>
    <col width="64" customWidth="1" style="67" min="2" max="2"/>
  </cols>
  <sheetData>
    <row r="1" ht="30" customHeight="1" s="67">
      <c r="A1" s="153" t="inlineStr">
        <is>
          <t>📘  تعليمات الاستخدام</t>
        </is>
      </c>
      <c r="B1" s="69" t="n"/>
    </row>
    <row r="2" ht="21.75" customHeight="1" s="67">
      <c r="A2" s="154" t="inlineStr">
        <is>
          <t>كشف الحساب — الدفع العادي</t>
        </is>
      </c>
      <c r="B2" s="69" t="n"/>
    </row>
    <row r="3" ht="19.5" customHeight="1" s="67">
      <c r="A3" s="79" t="inlineStr">
        <is>
          <t>①</t>
        </is>
      </c>
      <c r="B3" s="58" t="inlineStr">
        <is>
          <t>اكتب المبلغ في عمود D (سحب) واختر طريقة الدفع = نقداً أو أون لاين أو أحد الشركاء</t>
        </is>
      </c>
    </row>
    <row r="4" ht="19.5" customHeight="1" s="67">
      <c r="A4" s="80" t="inlineStr">
        <is>
          <t>②</t>
        </is>
      </c>
      <c r="B4" s="47" t="inlineStr">
        <is>
          <t>اختر الدافع G: أبو اسحاق / أبو آدم / نزمول — لا يخصم من المحفظة</t>
        </is>
      </c>
    </row>
    <row r="5" ht="21.75" customHeight="1" s="67">
      <c r="A5" s="154" t="inlineStr">
        <is>
          <t>كشف الحساب — الدفع من المحفظة</t>
        </is>
      </c>
      <c r="B5" s="69" t="n"/>
    </row>
    <row r="6" ht="19.5" customHeight="1" s="67">
      <c r="A6" s="80" t="inlineStr">
        <is>
          <t>①</t>
        </is>
      </c>
      <c r="B6" s="47" t="inlineStr">
        <is>
          <t>اكتب المبلغ في عمود D (سحب)</t>
        </is>
      </c>
    </row>
    <row r="7" ht="19.5" customHeight="1" s="67">
      <c r="A7" s="79" t="inlineStr">
        <is>
          <t>②</t>
        </is>
      </c>
      <c r="B7" s="58" t="inlineStr">
        <is>
          <t>عمود F (طريقة الدفع): اختر  "من المحفظة"</t>
        </is>
      </c>
    </row>
    <row r="8" ht="19.5" customHeight="1" s="67">
      <c r="A8" s="80" t="inlineStr">
        <is>
          <t>③</t>
        </is>
      </c>
      <c r="B8" s="47" t="inlineStr">
        <is>
          <t>عمود G (الدافع): اختر  "المحفظة"  ← هذا هو المفتاح للخصم التلقائي</t>
        </is>
      </c>
    </row>
    <row r="9" ht="19.5" customHeight="1" s="67">
      <c r="A9" s="79" t="inlineStr">
        <is>
          <t>④</t>
        </is>
      </c>
      <c r="B9" s="58" t="inlineStr">
        <is>
          <t>عمود I (بند الصرف): اختر البند المناسب مثل رواتب / وقود / إلخ</t>
        </is>
      </c>
    </row>
    <row r="10" ht="19.5" customHeight="1" s="67">
      <c r="A10" s="80" t="inlineStr">
        <is>
          <t>⑤</t>
        </is>
      </c>
      <c r="B10" s="47" t="inlineStr">
        <is>
          <t>🔄 المبلغ يُخصم تلقائياً من المحفظة — لا تحتاج كتابة أي شيء في ورقة المحفظة</t>
        </is>
      </c>
    </row>
    <row r="11" ht="21.75" customHeight="1" s="67">
      <c r="A11" s="154" t="inlineStr">
        <is>
          <t>المحفظة — كيف تعمل</t>
        </is>
      </c>
      <c r="B11" s="69" t="n"/>
    </row>
    <row r="12" ht="19.5" customHeight="1" s="67">
      <c r="A12" s="80" t="inlineStr">
        <is>
          <t>①</t>
        </is>
      </c>
      <c r="B12" s="47" t="inlineStr">
        <is>
          <t>القسم الأخضر: جميع الإيرادات (عمود إيداع E في كشف الحساب) تظهر تلقائياً</t>
        </is>
      </c>
    </row>
    <row r="13" ht="19.5" customHeight="1" s="67">
      <c r="A13" s="79" t="inlineStr">
        <is>
          <t>②</t>
        </is>
      </c>
      <c r="B13" s="58" t="inlineStr">
        <is>
          <t>القسم الأحمر: جميع المصروفات المدفوعة من المحفظة (عند اختيار المحفظة كدافع) تظهر تلقائياً</t>
        </is>
      </c>
    </row>
    <row r="14" ht="19.5" customHeight="1" s="67">
      <c r="A14" s="80" t="inlineStr">
        <is>
          <t>③</t>
        </is>
      </c>
      <c r="B14" s="47" t="inlineStr">
        <is>
          <t>رصيد المحفظة = الافتتاحي + إجمالي الإيرادات − إجمالي المصروفات</t>
        </is>
      </c>
    </row>
    <row r="15" ht="19.5" customHeight="1" s="67">
      <c r="A15" s="79" t="inlineStr">
        <is>
          <t>④</t>
        </is>
      </c>
      <c r="B15" s="58" t="inlineStr">
        <is>
          <t>الرصيد في الخلية C3 يتحدث فورياً مع أي تغيير في كشف الحساب</t>
        </is>
      </c>
    </row>
  </sheetData>
  <mergeCells count="4">
    <mergeCell ref="A2:B2"/>
    <mergeCell ref="A11:B11"/>
    <mergeCell ref="A1:B1"/>
    <mergeCell ref="A5:B5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56"/>
  <sheetViews>
    <sheetView rightToLeft="1" zoomScaleNormal="100" workbookViewId="0">
      <pane ySplit="4" topLeftCell="A141" activePane="bottomLeft" state="frozen"/>
      <selection pane="bottomLeft" activeCell="C2" sqref="C2"/>
    </sheetView>
  </sheetViews>
  <sheetFormatPr baseColWidth="8" defaultColWidth="8.7109375" defaultRowHeight="15"/>
  <cols>
    <col width="12" customWidth="1" style="67" min="1" max="1"/>
    <col width="14" customWidth="1" style="67" min="2" max="2"/>
    <col width="36" customWidth="1" style="67" min="3" max="3"/>
    <col width="15" customWidth="1" style="67" min="4" max="5"/>
    <col width="14" customWidth="1" style="67" min="6" max="6"/>
    <col width="13" customWidth="1" style="67" min="7" max="8"/>
    <col width="19" customWidth="1" style="67" min="9" max="10"/>
    <col width="16" customWidth="1" style="67" min="11" max="11"/>
  </cols>
  <sheetData>
    <row r="1" ht="30" customHeight="1" s="67">
      <c r="A1" s="145" t="inlineStr">
        <is>
          <t>كشف حساب المزرعة  —  Farm Account Statement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</row>
    <row r="2" ht="24" customHeight="1" s="67">
      <c r="A2" s="157" t="n"/>
      <c r="B2" s="69" t="n"/>
      <c r="C2" s="81" t="inlineStr">
        <is>
          <t>يونيو</t>
        </is>
      </c>
      <c r="D2" s="157" t="n">
        <v>2026</v>
      </c>
      <c r="E2" s="69" t="n"/>
      <c r="F2" s="81" t="inlineStr">
        <is>
          <t>الكل</t>
        </is>
      </c>
      <c r="G2" s="158" t="inlineStr">
        <is>
          <t>⬆ اختر الشهر والسنة ثم  Ctrl+P  أو  File → Export → PDF</t>
        </is>
      </c>
    </row>
    <row r="3" ht="19.5" customHeight="1" s="67">
      <c r="A3" s="159" t="inlineStr">
        <is>
          <t>الرصيد الافتتاحي:</t>
        </is>
      </c>
      <c r="B3" s="69" t="n"/>
      <c r="C3" s="69" t="n"/>
      <c r="D3" s="82">
        <f>'كشف الحساب'!$D$2</f>
        <v/>
      </c>
    </row>
    <row r="4" ht="19.5" customHeight="1" s="67">
      <c r="A4" s="83" t="inlineStr">
        <is>
          <t>التاريخ</t>
        </is>
      </c>
      <c r="B4" s="83" t="inlineStr">
        <is>
          <t>المرجع</t>
        </is>
      </c>
      <c r="C4" s="83" t="inlineStr">
        <is>
          <t>البيان / الوصف</t>
        </is>
      </c>
      <c r="D4" s="83" t="inlineStr">
        <is>
          <t>سحب</t>
        </is>
      </c>
      <c r="E4" s="83" t="inlineStr">
        <is>
          <t>إيداع</t>
        </is>
      </c>
      <c r="F4" s="83" t="inlineStr">
        <is>
          <t>طريقة الدفع</t>
        </is>
      </c>
      <c r="G4" s="83" t="inlineStr">
        <is>
          <t>الدافع</t>
        </is>
      </c>
      <c r="H4" s="83" t="inlineStr">
        <is>
          <t>الحالة</t>
        </is>
      </c>
      <c r="I4" s="83" t="inlineStr">
        <is>
          <t>بند الصرف</t>
        </is>
      </c>
      <c r="J4" s="83" t="inlineStr">
        <is>
          <t>الرصيد</t>
        </is>
      </c>
      <c r="K4" s="83" t="inlineStr">
        <is>
          <t>ملاحظات</t>
        </is>
      </c>
    </row>
    <row r="5" ht="16.5" customHeight="1" s="67">
      <c r="A5" s="150">
        <f>IFERROR(IF(IFERROR(MATCH(1,'كشف الحساب'!$N$4:$N$203,0),0)=0,"",INDEX('كشف الحساب'!$A$4:$A$203,IFERROR(MATCH(1,'كشف الحساب'!$N$4:$N$203,0),0))),"")</f>
        <v/>
      </c>
      <c r="B5" s="84">
        <f>IFERROR(IF(IFERROR(MATCH(1,'كشف الحساب'!$N$4:$N$203,0),0)=0,"",INDEX('كشف الحساب'!$B$4:$B$203,IFERROR(MATCH(1,'كشف الحساب'!$N$4:$N$203,0),0))),"")</f>
        <v/>
      </c>
      <c r="C5" s="58">
        <f>IFERROR(IF(IFERROR(MATCH(1,'كشف الحساب'!$N$4:$N$203,0),0)=0,"",INDEX('كشف الحساب'!$C$4:$C$203,IFERROR(MATCH(1,'كشف الحساب'!$N$4:$N$203,0),0))),"")</f>
        <v/>
      </c>
      <c r="D5" s="59">
        <f>IFERROR(IF(IFERROR(MATCH(1,'كشف الحساب'!$N$4:$N$203,0),0)=0,"",INDEX('كشف الحساب'!$D$4:$D$203,IFERROR(MATCH(1,'كشف الحساب'!$N$4:$N$203,0),0))),"")</f>
        <v/>
      </c>
      <c r="E5" s="85">
        <f>IFERROR(IF(IFERROR(MATCH(1,'كشف الحساب'!$N$4:$N$203,0),0)=0,"",INDEX('كشف الحساب'!$E$4:$E$203,IFERROR(MATCH(1,'كشف الحساب'!$N$4:$N$203,0),0))),"")</f>
        <v/>
      </c>
      <c r="F5" s="84">
        <f>IFERROR(IF(IFERROR(MATCH(1,'كشف الحساب'!$N$4:$N$203,0),0)=0,"",INDEX('كشف الحساب'!$F$4:$F$203,IFERROR(MATCH(1,'كشف الحساب'!$N$4:$N$203,0),0))),"")</f>
        <v/>
      </c>
      <c r="G5" s="84">
        <f>IFERROR(IF(IFERROR(MATCH(1,'كشف الحساب'!$N$4:$N$203,0),0)=0,"",INDEX('كشف الحساب'!$G$4:$G$203,IFERROR(MATCH(1,'كشف الحساب'!$N$4:$N$203,0),0))),"")</f>
        <v/>
      </c>
      <c r="H5" s="84">
        <f>IFERROR(IF(IFERROR(MATCH(1,'كشف الحساب'!$N$4:$N$203,0),0)=0,"",INDEX('كشف الحساب'!$H$4:$H$203,IFERROR(MATCH(1,'كشف الحساب'!$N$4:$N$203,0),0))),"")</f>
        <v/>
      </c>
      <c r="I5" s="84">
        <f>IFERROR(IF(IFERROR(MATCH(1,'كشف الحساب'!$N$4:$N$203,0),0)=0,"",INDEX('كشف الحساب'!$I$4:$I$203,IFERROR(MATCH(1,'كشف الحساب'!$N$4:$N$203,0),0))),"")</f>
        <v/>
      </c>
      <c r="J5" s="65">
        <f>IFERROR(IF(IFERROR(MATCH(1,'كشف الحساب'!$N$4:$N$203,0),0)=0,"",INDEX('كشف الحساب'!$J$4:$J$203,IFERROR(MATCH(1,'كشف الحساب'!$N$4:$N$203,0),0))),"")</f>
        <v/>
      </c>
      <c r="K5" s="84">
        <f>IFERROR(IF(IFERROR(MATCH(1,'كشف الحساب'!$N$4:$N$203,0),0)=0,"",INDEX('كشف الحساب'!$K$4:$K$203,IFERROR(MATCH(1,'كشف الحساب'!$N$4:$N$203,0),0))),"")</f>
        <v/>
      </c>
    </row>
    <row r="6" ht="16.5" customHeight="1" s="67">
      <c r="A6" s="45">
        <f>IFERROR(IF(IFERROR(MATCH(2,'كشف الحساب'!$N$4:$N$203,0),0)=0,"",INDEX('كشف الحساب'!$A$4:$A$203,IFERROR(MATCH(2,'كشف الحساب'!$N$4:$N$203,0),0))),"")</f>
        <v/>
      </c>
      <c r="B6" s="86">
        <f>IFERROR(IF(IFERROR(MATCH(2,'كشف الحساب'!$N$4:$N$203,0),0)=0,"",INDEX('كشف الحساب'!$B$4:$B$203,IFERROR(MATCH(2,'كشف الحساب'!$N$4:$N$203,0),0))),"")</f>
        <v/>
      </c>
      <c r="C6" s="47">
        <f>IFERROR(IF(IFERROR(MATCH(2,'كشف الحساب'!$N$4:$N$203,0),0)=0,"",INDEX('كشف الحساب'!$C$4:$C$203,IFERROR(MATCH(2,'كشف الحساب'!$N$4:$N$203,0),0))),"")</f>
        <v/>
      </c>
      <c r="D6" s="48">
        <f>IFERROR(IF(IFERROR(MATCH(2,'كشف الحساب'!$N$4:$N$203,0),0)=0,"",INDEX('كشف الحساب'!$D$4:$D$203,IFERROR(MATCH(2,'كشف الحساب'!$N$4:$N$203,0),0))),"")</f>
        <v/>
      </c>
      <c r="E6" s="87">
        <f>IFERROR(IF(IFERROR(MATCH(2,'كشف الحساب'!$N$4:$N$203,0),0)=0,"",INDEX('كشف الحساب'!$E$4:$E$203,IFERROR(MATCH(2,'كشف الحساب'!$N$4:$N$203,0),0))),"")</f>
        <v/>
      </c>
      <c r="F6" s="86">
        <f>IFERROR(IF(IFERROR(MATCH(2,'كشف الحساب'!$N$4:$N$203,0),0)=0,"",INDEX('كشف الحساب'!$F$4:$F$203,IFERROR(MATCH(2,'كشف الحساب'!$N$4:$N$203,0),0))),"")</f>
        <v/>
      </c>
      <c r="G6" s="86">
        <f>IFERROR(IF(IFERROR(MATCH(2,'كشف الحساب'!$N$4:$N$203,0),0)=0,"",INDEX('كشف الحساب'!$G$4:$G$203,IFERROR(MATCH(2,'كشف الحساب'!$N$4:$N$203,0),0))),"")</f>
        <v/>
      </c>
      <c r="H6" s="86">
        <f>IFERROR(IF(IFERROR(MATCH(2,'كشف الحساب'!$N$4:$N$203,0),0)=0,"",INDEX('كشف الحساب'!$H$4:$H$203,IFERROR(MATCH(2,'كشف الحساب'!$N$4:$N$203,0),0))),"")</f>
        <v/>
      </c>
      <c r="I6" s="86">
        <f>IFERROR(IF(IFERROR(MATCH(2,'كشف الحساب'!$N$4:$N$203,0),0)=0,"",INDEX('كشف الحساب'!$I$4:$I$203,IFERROR(MATCH(2,'كشف الحساب'!$N$4:$N$203,0),0))),"")</f>
        <v/>
      </c>
      <c r="J6" s="54">
        <f>IFERROR(IF(IFERROR(MATCH(2,'كشف الحساب'!$N$4:$N$203,0),0)=0,"",INDEX('كشف الحساب'!$J$4:$J$203,IFERROR(MATCH(2,'كشف الحساب'!$N$4:$N$203,0),0))),"")</f>
        <v/>
      </c>
      <c r="K6" s="86">
        <f>IFERROR(IF(IFERROR(MATCH(2,'كشف الحساب'!$N$4:$N$203,0),0)=0,"",INDEX('كشف الحساب'!$K$4:$K$203,IFERROR(MATCH(2,'كشف الحساب'!$N$4:$N$203,0),0))),"")</f>
        <v/>
      </c>
    </row>
    <row r="7" ht="16.5" customHeight="1" s="67">
      <c r="A7" s="150">
        <f>IFERROR(IF(IFERROR(MATCH(3,'كشف الحساب'!$N$4:$N$203,0),0)=0,"",INDEX('كشف الحساب'!$A$4:$A$203,IFERROR(MATCH(3,'كشف الحساب'!$N$4:$N$203,0),0))),"")</f>
        <v/>
      </c>
      <c r="B7" s="84">
        <f>IFERROR(IF(IFERROR(MATCH(3,'كشف الحساب'!$N$4:$N$203,0),0)=0,"",INDEX('كشف الحساب'!$B$4:$B$203,IFERROR(MATCH(3,'كشف الحساب'!$N$4:$N$203,0),0))),"")</f>
        <v/>
      </c>
      <c r="C7" s="58">
        <f>IFERROR(IF(IFERROR(MATCH(3,'كشف الحساب'!$N$4:$N$203,0),0)=0,"",INDEX('كشف الحساب'!$C$4:$C$203,IFERROR(MATCH(3,'كشف الحساب'!$N$4:$N$203,0),0))),"")</f>
        <v/>
      </c>
      <c r="D7" s="59">
        <f>IFERROR(IF(IFERROR(MATCH(3,'كشف الحساب'!$N$4:$N$203,0),0)=0,"",INDEX('كشف الحساب'!$D$4:$D$203,IFERROR(MATCH(3,'كشف الحساب'!$N$4:$N$203,0),0))),"")</f>
        <v/>
      </c>
      <c r="E7" s="85">
        <f>IFERROR(IF(IFERROR(MATCH(3,'كشف الحساب'!$N$4:$N$203,0),0)=0,"",INDEX('كشف الحساب'!$E$4:$E$203,IFERROR(MATCH(3,'كشف الحساب'!$N$4:$N$203,0),0))),"")</f>
        <v/>
      </c>
      <c r="F7" s="84">
        <f>IFERROR(IF(IFERROR(MATCH(3,'كشف الحساب'!$N$4:$N$203,0),0)=0,"",INDEX('كشف الحساب'!$F$4:$F$203,IFERROR(MATCH(3,'كشف الحساب'!$N$4:$N$203,0),0))),"")</f>
        <v/>
      </c>
      <c r="G7" s="84">
        <f>IFERROR(IF(IFERROR(MATCH(3,'كشف الحساب'!$N$4:$N$203,0),0)=0,"",INDEX('كشف الحساب'!$G$4:$G$203,IFERROR(MATCH(3,'كشف الحساب'!$N$4:$N$203,0),0))),"")</f>
        <v/>
      </c>
      <c r="H7" s="84">
        <f>IFERROR(IF(IFERROR(MATCH(3,'كشف الحساب'!$N$4:$N$203,0),0)=0,"",INDEX('كشف الحساب'!$H$4:$H$203,IFERROR(MATCH(3,'كشف الحساب'!$N$4:$N$203,0),0))),"")</f>
        <v/>
      </c>
      <c r="I7" s="84">
        <f>IFERROR(IF(IFERROR(MATCH(3,'كشف الحساب'!$N$4:$N$203,0),0)=0,"",INDEX('كشف الحساب'!$I$4:$I$203,IFERROR(MATCH(3,'كشف الحساب'!$N$4:$N$203,0),0))),"")</f>
        <v/>
      </c>
      <c r="J7" s="65">
        <f>IFERROR(IF(IFERROR(MATCH(3,'كشف الحساب'!$N$4:$N$203,0),0)=0,"",INDEX('كشف الحساب'!$J$4:$J$203,IFERROR(MATCH(3,'كشف الحساب'!$N$4:$N$203,0),0))),"")</f>
        <v/>
      </c>
      <c r="K7" s="84">
        <f>IFERROR(IF(IFERROR(MATCH(3,'كشف الحساب'!$N$4:$N$203,0),0)=0,"",INDEX('كشف الحساب'!$K$4:$K$203,IFERROR(MATCH(3,'كشف الحساب'!$N$4:$N$203,0),0))),"")</f>
        <v/>
      </c>
    </row>
    <row r="8" ht="16.5" customHeight="1" s="67">
      <c r="A8" s="45">
        <f>IFERROR(IF(IFERROR(MATCH(4,'كشف الحساب'!$N$4:$N$203,0),0)=0,"",INDEX('كشف الحساب'!$A$4:$A$203,IFERROR(MATCH(4,'كشف الحساب'!$N$4:$N$203,0),0))),"")</f>
        <v/>
      </c>
      <c r="B8" s="86">
        <f>IFERROR(IF(IFERROR(MATCH(4,'كشف الحساب'!$N$4:$N$203,0),0)=0,"",INDEX('كشف الحساب'!$B$4:$B$203,IFERROR(MATCH(4,'كشف الحساب'!$N$4:$N$203,0),0))),"")</f>
        <v/>
      </c>
      <c r="C8" s="47">
        <f>IFERROR(IF(IFERROR(MATCH(4,'كشف الحساب'!$N$4:$N$203,0),0)=0,"",INDEX('كشف الحساب'!$C$4:$C$203,IFERROR(MATCH(4,'كشف الحساب'!$N$4:$N$203,0),0))),"")</f>
        <v/>
      </c>
      <c r="D8" s="48">
        <f>IFERROR(IF(IFERROR(MATCH(4,'كشف الحساب'!$N$4:$N$203,0),0)=0,"",INDEX('كشف الحساب'!$D$4:$D$203,IFERROR(MATCH(4,'كشف الحساب'!$N$4:$N$203,0),0))),"")</f>
        <v/>
      </c>
      <c r="E8" s="87">
        <f>IFERROR(IF(IFERROR(MATCH(4,'كشف الحساب'!$N$4:$N$203,0),0)=0,"",INDEX('كشف الحساب'!$E$4:$E$203,IFERROR(MATCH(4,'كشف الحساب'!$N$4:$N$203,0),0))),"")</f>
        <v/>
      </c>
      <c r="F8" s="86">
        <f>IFERROR(IF(IFERROR(MATCH(4,'كشف الحساب'!$N$4:$N$203,0),0)=0,"",INDEX('كشف الحساب'!$F$4:$F$203,IFERROR(MATCH(4,'كشف الحساب'!$N$4:$N$203,0),0))),"")</f>
        <v/>
      </c>
      <c r="G8" s="86">
        <f>IFERROR(IF(IFERROR(MATCH(4,'كشف الحساب'!$N$4:$N$203,0),0)=0,"",INDEX('كشف الحساب'!$G$4:$G$203,IFERROR(MATCH(4,'كشف الحساب'!$N$4:$N$203,0),0))),"")</f>
        <v/>
      </c>
      <c r="H8" s="86">
        <f>IFERROR(IF(IFERROR(MATCH(4,'كشف الحساب'!$N$4:$N$203,0),0)=0,"",INDEX('كشف الحساب'!$H$4:$H$203,IFERROR(MATCH(4,'كشف الحساب'!$N$4:$N$203,0),0))),"")</f>
        <v/>
      </c>
      <c r="I8" s="86">
        <f>IFERROR(IF(IFERROR(MATCH(4,'كشف الحساب'!$N$4:$N$203,0),0)=0,"",INDEX('كشف الحساب'!$I$4:$I$203,IFERROR(MATCH(4,'كشف الحساب'!$N$4:$N$203,0),0))),"")</f>
        <v/>
      </c>
      <c r="J8" s="54">
        <f>IFERROR(IF(IFERROR(MATCH(4,'كشف الحساب'!$N$4:$N$203,0),0)=0,"",INDEX('كشف الحساب'!$J$4:$J$203,IFERROR(MATCH(4,'كشف الحساب'!$N$4:$N$203,0),0))),"")</f>
        <v/>
      </c>
      <c r="K8" s="86">
        <f>IFERROR(IF(IFERROR(MATCH(4,'كشف الحساب'!$N$4:$N$203,0),0)=0,"",INDEX('كشف الحساب'!$K$4:$K$203,IFERROR(MATCH(4,'كشف الحساب'!$N$4:$N$203,0),0))),"")</f>
        <v/>
      </c>
    </row>
    <row r="9" ht="16.5" customHeight="1" s="67">
      <c r="A9" s="150">
        <f>IFERROR(IF(IFERROR(MATCH(5,'كشف الحساب'!$N$4:$N$203,0),0)=0,"",INDEX('كشف الحساب'!$A$4:$A$203,IFERROR(MATCH(5,'كشف الحساب'!$N$4:$N$203,0),0))),"")</f>
        <v/>
      </c>
      <c r="B9" s="84">
        <f>IFERROR(IF(IFERROR(MATCH(5,'كشف الحساب'!$N$4:$N$203,0),0)=0,"",INDEX('كشف الحساب'!$B$4:$B$203,IFERROR(MATCH(5,'كشف الحساب'!$N$4:$N$203,0),0))),"")</f>
        <v/>
      </c>
      <c r="C9" s="58">
        <f>IFERROR(IF(IFERROR(MATCH(5,'كشف الحساب'!$N$4:$N$203,0),0)=0,"",INDEX('كشف الحساب'!$C$4:$C$203,IFERROR(MATCH(5,'كشف الحساب'!$N$4:$N$203,0),0))),"")</f>
        <v/>
      </c>
      <c r="D9" s="59">
        <f>IFERROR(IF(IFERROR(MATCH(5,'كشف الحساب'!$N$4:$N$203,0),0)=0,"",INDEX('كشف الحساب'!$D$4:$D$203,IFERROR(MATCH(5,'كشف الحساب'!$N$4:$N$203,0),0))),"")</f>
        <v/>
      </c>
      <c r="E9" s="85">
        <f>IFERROR(IF(IFERROR(MATCH(5,'كشف الحساب'!$N$4:$N$203,0),0)=0,"",INDEX('كشف الحساب'!$E$4:$E$203,IFERROR(MATCH(5,'كشف الحساب'!$N$4:$N$203,0),0))),"")</f>
        <v/>
      </c>
      <c r="F9" s="84">
        <f>IFERROR(IF(IFERROR(MATCH(5,'كشف الحساب'!$N$4:$N$203,0),0)=0,"",INDEX('كشف الحساب'!$F$4:$F$203,IFERROR(MATCH(5,'كشف الحساب'!$N$4:$N$203,0),0))),"")</f>
        <v/>
      </c>
      <c r="G9" s="84">
        <f>IFERROR(IF(IFERROR(MATCH(5,'كشف الحساب'!$N$4:$N$203,0),0)=0,"",INDEX('كشف الحساب'!$G$4:$G$203,IFERROR(MATCH(5,'كشف الحساب'!$N$4:$N$203,0),0))),"")</f>
        <v/>
      </c>
      <c r="H9" s="84">
        <f>IFERROR(IF(IFERROR(MATCH(5,'كشف الحساب'!$N$4:$N$203,0),0)=0,"",INDEX('كشف الحساب'!$H$4:$H$203,IFERROR(MATCH(5,'كشف الحساب'!$N$4:$N$203,0),0))),"")</f>
        <v/>
      </c>
      <c r="I9" s="84">
        <f>IFERROR(IF(IFERROR(MATCH(5,'كشف الحساب'!$N$4:$N$203,0),0)=0,"",INDEX('كشف الحساب'!$I$4:$I$203,IFERROR(MATCH(5,'كشف الحساب'!$N$4:$N$203,0),0))),"")</f>
        <v/>
      </c>
      <c r="J9" s="65">
        <f>IFERROR(IF(IFERROR(MATCH(5,'كشف الحساب'!$N$4:$N$203,0),0)=0,"",INDEX('كشف الحساب'!$J$4:$J$203,IFERROR(MATCH(5,'كشف الحساب'!$N$4:$N$203,0),0))),"")</f>
        <v/>
      </c>
      <c r="K9" s="84">
        <f>IFERROR(IF(IFERROR(MATCH(5,'كشف الحساب'!$N$4:$N$203,0),0)=0,"",INDEX('كشف الحساب'!$K$4:$K$203,IFERROR(MATCH(5,'كشف الحساب'!$N$4:$N$203,0),0))),"")</f>
        <v/>
      </c>
    </row>
    <row r="10" ht="16.5" customHeight="1" s="67">
      <c r="A10" s="45">
        <f>IFERROR(IF(IFERROR(MATCH(6,'كشف الحساب'!$N$4:$N$203,0),0)=0,"",INDEX('كشف الحساب'!$A$4:$A$203,IFERROR(MATCH(6,'كشف الحساب'!$N$4:$N$203,0),0))),"")</f>
        <v/>
      </c>
      <c r="B10" s="86">
        <f>IFERROR(IF(IFERROR(MATCH(6,'كشف الحساب'!$N$4:$N$203,0),0)=0,"",INDEX('كشف الحساب'!$B$4:$B$203,IFERROR(MATCH(6,'كشف الحساب'!$N$4:$N$203,0),0))),"")</f>
        <v/>
      </c>
      <c r="C10" s="47">
        <f>IFERROR(IF(IFERROR(MATCH(6,'كشف الحساب'!$N$4:$N$203,0),0)=0,"",INDEX('كشف الحساب'!$C$4:$C$203,IFERROR(MATCH(6,'كشف الحساب'!$N$4:$N$203,0),0))),"")</f>
        <v/>
      </c>
      <c r="D10" s="48">
        <f>IFERROR(IF(IFERROR(MATCH(6,'كشف الحساب'!$N$4:$N$203,0),0)=0,"",INDEX('كشف الحساب'!$D$4:$D$203,IFERROR(MATCH(6,'كشف الحساب'!$N$4:$N$203,0),0))),"")</f>
        <v/>
      </c>
      <c r="E10" s="87">
        <f>IFERROR(IF(IFERROR(MATCH(6,'كشف الحساب'!$N$4:$N$203,0),0)=0,"",INDEX('كشف الحساب'!$E$4:$E$203,IFERROR(MATCH(6,'كشف الحساب'!$N$4:$N$203,0),0))),"")</f>
        <v/>
      </c>
      <c r="F10" s="86">
        <f>IFERROR(IF(IFERROR(MATCH(6,'كشف الحساب'!$N$4:$N$203,0),0)=0,"",INDEX('كشف الحساب'!$F$4:$F$203,IFERROR(MATCH(6,'كشف الحساب'!$N$4:$N$203,0),0))),"")</f>
        <v/>
      </c>
      <c r="G10" s="86">
        <f>IFERROR(IF(IFERROR(MATCH(6,'كشف الحساب'!$N$4:$N$203,0),0)=0,"",INDEX('كشف الحساب'!$G$4:$G$203,IFERROR(MATCH(6,'كشف الحساب'!$N$4:$N$203,0),0))),"")</f>
        <v/>
      </c>
      <c r="H10" s="86">
        <f>IFERROR(IF(IFERROR(MATCH(6,'كشف الحساب'!$N$4:$N$203,0),0)=0,"",INDEX('كشف الحساب'!$H$4:$H$203,IFERROR(MATCH(6,'كشف الحساب'!$N$4:$N$203,0),0))),"")</f>
        <v/>
      </c>
      <c r="I10" s="86">
        <f>IFERROR(IF(IFERROR(MATCH(6,'كشف الحساب'!$N$4:$N$203,0),0)=0,"",INDEX('كشف الحساب'!$I$4:$I$203,IFERROR(MATCH(6,'كشف الحساب'!$N$4:$N$203,0),0))),"")</f>
        <v/>
      </c>
      <c r="J10" s="54">
        <f>IFERROR(IF(IFERROR(MATCH(6,'كشف الحساب'!$N$4:$N$203,0),0)=0,"",INDEX('كشف الحساب'!$J$4:$J$203,IFERROR(MATCH(6,'كشف الحساب'!$N$4:$N$203,0),0))),"")</f>
        <v/>
      </c>
      <c r="K10" s="86">
        <f>IFERROR(IF(IFERROR(MATCH(6,'كشف الحساب'!$N$4:$N$203,0),0)=0,"",INDEX('كشف الحساب'!$K$4:$K$203,IFERROR(MATCH(6,'كشف الحساب'!$N$4:$N$203,0),0))),"")</f>
        <v/>
      </c>
    </row>
    <row r="11" ht="16.5" customHeight="1" s="67">
      <c r="A11" s="150">
        <f>IFERROR(IF(IFERROR(MATCH(7,'كشف الحساب'!$N$4:$N$203,0),0)=0,"",INDEX('كشف الحساب'!$A$4:$A$203,IFERROR(MATCH(7,'كشف الحساب'!$N$4:$N$203,0),0))),"")</f>
        <v/>
      </c>
      <c r="B11" s="84">
        <f>IFERROR(IF(IFERROR(MATCH(7,'كشف الحساب'!$N$4:$N$203,0),0)=0,"",INDEX('كشف الحساب'!$B$4:$B$203,IFERROR(MATCH(7,'كشف الحساب'!$N$4:$N$203,0),0))),"")</f>
        <v/>
      </c>
      <c r="C11" s="58">
        <f>IFERROR(IF(IFERROR(MATCH(7,'كشف الحساب'!$N$4:$N$203,0),0)=0,"",INDEX('كشف الحساب'!$C$4:$C$203,IFERROR(MATCH(7,'كشف الحساب'!$N$4:$N$203,0),0))),"")</f>
        <v/>
      </c>
      <c r="D11" s="59">
        <f>IFERROR(IF(IFERROR(MATCH(7,'كشف الحساب'!$N$4:$N$203,0),0)=0,"",INDEX('كشف الحساب'!$D$4:$D$203,IFERROR(MATCH(7,'كشف الحساب'!$N$4:$N$203,0),0))),"")</f>
        <v/>
      </c>
      <c r="E11" s="85">
        <f>IFERROR(IF(IFERROR(MATCH(7,'كشف الحساب'!$N$4:$N$203,0),0)=0,"",INDEX('كشف الحساب'!$E$4:$E$203,IFERROR(MATCH(7,'كشف الحساب'!$N$4:$N$203,0),0))),"")</f>
        <v/>
      </c>
      <c r="F11" s="84">
        <f>IFERROR(IF(IFERROR(MATCH(7,'كشف الحساب'!$N$4:$N$203,0),0)=0,"",INDEX('كشف الحساب'!$F$4:$F$203,IFERROR(MATCH(7,'كشف الحساب'!$N$4:$N$203,0),0))),"")</f>
        <v/>
      </c>
      <c r="G11" s="84">
        <f>IFERROR(IF(IFERROR(MATCH(7,'كشف الحساب'!$N$4:$N$203,0),0)=0,"",INDEX('كشف الحساب'!$G$4:$G$203,IFERROR(MATCH(7,'كشف الحساب'!$N$4:$N$203,0),0))),"")</f>
        <v/>
      </c>
      <c r="H11" s="84">
        <f>IFERROR(IF(IFERROR(MATCH(7,'كشف الحساب'!$N$4:$N$203,0),0)=0,"",INDEX('كشف الحساب'!$H$4:$H$203,IFERROR(MATCH(7,'كشف الحساب'!$N$4:$N$203,0),0))),"")</f>
        <v/>
      </c>
      <c r="I11" s="84">
        <f>IFERROR(IF(IFERROR(MATCH(7,'كشف الحساب'!$N$4:$N$203,0),0)=0,"",INDEX('كشف الحساب'!$I$4:$I$203,IFERROR(MATCH(7,'كشف الحساب'!$N$4:$N$203,0),0))),"")</f>
        <v/>
      </c>
      <c r="J11" s="65">
        <f>IFERROR(IF(IFERROR(MATCH(7,'كشف الحساب'!$N$4:$N$203,0),0)=0,"",INDEX('كشف الحساب'!$J$4:$J$203,IFERROR(MATCH(7,'كشف الحساب'!$N$4:$N$203,0),0))),"")</f>
        <v/>
      </c>
      <c r="K11" s="84">
        <f>IFERROR(IF(IFERROR(MATCH(7,'كشف الحساب'!$N$4:$N$203,0),0)=0,"",INDEX('كشف الحساب'!$K$4:$K$203,IFERROR(MATCH(7,'كشف الحساب'!$N$4:$N$203,0),0))),"")</f>
        <v/>
      </c>
    </row>
    <row r="12" ht="16.5" customHeight="1" s="67">
      <c r="A12" s="45">
        <f>IFERROR(IF(IFERROR(MATCH(8,'كشف الحساب'!$N$4:$N$203,0),0)=0,"",INDEX('كشف الحساب'!$A$4:$A$203,IFERROR(MATCH(8,'كشف الحساب'!$N$4:$N$203,0),0))),"")</f>
        <v/>
      </c>
      <c r="B12" s="86">
        <f>IFERROR(IF(IFERROR(MATCH(8,'كشف الحساب'!$N$4:$N$203,0),0)=0,"",INDEX('كشف الحساب'!$B$4:$B$203,IFERROR(MATCH(8,'كشف الحساب'!$N$4:$N$203,0),0))),"")</f>
        <v/>
      </c>
      <c r="C12" s="47">
        <f>IFERROR(IF(IFERROR(MATCH(8,'كشف الحساب'!$N$4:$N$203,0),0)=0,"",INDEX('كشف الحساب'!$C$4:$C$203,IFERROR(MATCH(8,'كشف الحساب'!$N$4:$N$203,0),0))),"")</f>
        <v/>
      </c>
      <c r="D12" s="48">
        <f>IFERROR(IF(IFERROR(MATCH(8,'كشف الحساب'!$N$4:$N$203,0),0)=0,"",INDEX('كشف الحساب'!$D$4:$D$203,IFERROR(MATCH(8,'كشف الحساب'!$N$4:$N$203,0),0))),"")</f>
        <v/>
      </c>
      <c r="E12" s="87">
        <f>IFERROR(IF(IFERROR(MATCH(8,'كشف الحساب'!$N$4:$N$203,0),0)=0,"",INDEX('كشف الحساب'!$E$4:$E$203,IFERROR(MATCH(8,'كشف الحساب'!$N$4:$N$203,0),0))),"")</f>
        <v/>
      </c>
      <c r="F12" s="86">
        <f>IFERROR(IF(IFERROR(MATCH(8,'كشف الحساب'!$N$4:$N$203,0),0)=0,"",INDEX('كشف الحساب'!$F$4:$F$203,IFERROR(MATCH(8,'كشف الحساب'!$N$4:$N$203,0),0))),"")</f>
        <v/>
      </c>
      <c r="G12" s="86">
        <f>IFERROR(IF(IFERROR(MATCH(8,'كشف الحساب'!$N$4:$N$203,0),0)=0,"",INDEX('كشف الحساب'!$G$4:$G$203,IFERROR(MATCH(8,'كشف الحساب'!$N$4:$N$203,0),0))),"")</f>
        <v/>
      </c>
      <c r="H12" s="86">
        <f>IFERROR(IF(IFERROR(MATCH(8,'كشف الحساب'!$N$4:$N$203,0),0)=0,"",INDEX('كشف الحساب'!$H$4:$H$203,IFERROR(MATCH(8,'كشف الحساب'!$N$4:$N$203,0),0))),"")</f>
        <v/>
      </c>
      <c r="I12" s="86">
        <f>IFERROR(IF(IFERROR(MATCH(8,'كشف الحساب'!$N$4:$N$203,0),0)=0,"",INDEX('كشف الحساب'!$I$4:$I$203,IFERROR(MATCH(8,'كشف الحساب'!$N$4:$N$203,0),0))),"")</f>
        <v/>
      </c>
      <c r="J12" s="54">
        <f>IFERROR(IF(IFERROR(MATCH(8,'كشف الحساب'!$N$4:$N$203,0),0)=0,"",INDEX('كشف الحساب'!$J$4:$J$203,IFERROR(MATCH(8,'كشف الحساب'!$N$4:$N$203,0),0))),"")</f>
        <v/>
      </c>
      <c r="K12" s="86">
        <f>IFERROR(IF(IFERROR(MATCH(8,'كشف الحساب'!$N$4:$N$203,0),0)=0,"",INDEX('كشف الحساب'!$K$4:$K$203,IFERROR(MATCH(8,'كشف الحساب'!$N$4:$N$203,0),0))),"")</f>
        <v/>
      </c>
    </row>
    <row r="13" ht="16.5" customHeight="1" s="67">
      <c r="A13" s="150">
        <f>IFERROR(IF(IFERROR(MATCH(9,'كشف الحساب'!$N$4:$N$203,0),0)=0,"",INDEX('كشف الحساب'!$A$4:$A$203,IFERROR(MATCH(9,'كشف الحساب'!$N$4:$N$203,0),0))),"")</f>
        <v/>
      </c>
      <c r="B13" s="84">
        <f>IFERROR(IF(IFERROR(MATCH(9,'كشف الحساب'!$N$4:$N$203,0),0)=0,"",INDEX('كشف الحساب'!$B$4:$B$203,IFERROR(MATCH(9,'كشف الحساب'!$N$4:$N$203,0),0))),"")</f>
        <v/>
      </c>
      <c r="C13" s="58">
        <f>IFERROR(IF(IFERROR(MATCH(9,'كشف الحساب'!$N$4:$N$203,0),0)=0,"",INDEX('كشف الحساب'!$C$4:$C$203,IFERROR(MATCH(9,'كشف الحساب'!$N$4:$N$203,0),0))),"")</f>
        <v/>
      </c>
      <c r="D13" s="59">
        <f>IFERROR(IF(IFERROR(MATCH(9,'كشف الحساب'!$N$4:$N$203,0),0)=0,"",INDEX('كشف الحساب'!$D$4:$D$203,IFERROR(MATCH(9,'كشف الحساب'!$N$4:$N$203,0),0))),"")</f>
        <v/>
      </c>
      <c r="E13" s="85">
        <f>IFERROR(IF(IFERROR(MATCH(9,'كشف الحساب'!$N$4:$N$203,0),0)=0,"",INDEX('كشف الحساب'!$E$4:$E$203,IFERROR(MATCH(9,'كشف الحساب'!$N$4:$N$203,0),0))),"")</f>
        <v/>
      </c>
      <c r="F13" s="84">
        <f>IFERROR(IF(IFERROR(MATCH(9,'كشف الحساب'!$N$4:$N$203,0),0)=0,"",INDEX('كشف الحساب'!$F$4:$F$203,IFERROR(MATCH(9,'كشف الحساب'!$N$4:$N$203,0),0))),"")</f>
        <v/>
      </c>
      <c r="G13" s="84">
        <f>IFERROR(IF(IFERROR(MATCH(9,'كشف الحساب'!$N$4:$N$203,0),0)=0,"",INDEX('كشف الحساب'!$G$4:$G$203,IFERROR(MATCH(9,'كشف الحساب'!$N$4:$N$203,0),0))),"")</f>
        <v/>
      </c>
      <c r="H13" s="84">
        <f>IFERROR(IF(IFERROR(MATCH(9,'كشف الحساب'!$N$4:$N$203,0),0)=0,"",INDEX('كشف الحساب'!$H$4:$H$203,IFERROR(MATCH(9,'كشف الحساب'!$N$4:$N$203,0),0))),"")</f>
        <v/>
      </c>
      <c r="I13" s="84">
        <f>IFERROR(IF(IFERROR(MATCH(9,'كشف الحساب'!$N$4:$N$203,0),0)=0,"",INDEX('كشف الحساب'!$I$4:$I$203,IFERROR(MATCH(9,'كشف الحساب'!$N$4:$N$203,0),0))),"")</f>
        <v/>
      </c>
      <c r="J13" s="65">
        <f>IFERROR(IF(IFERROR(MATCH(9,'كشف الحساب'!$N$4:$N$203,0),0)=0,"",INDEX('كشف الحساب'!$J$4:$J$203,IFERROR(MATCH(9,'كشف الحساب'!$N$4:$N$203,0),0))),"")</f>
        <v/>
      </c>
      <c r="K13" s="84">
        <f>IFERROR(IF(IFERROR(MATCH(9,'كشف الحساب'!$N$4:$N$203,0),0)=0,"",INDEX('كشف الحساب'!$K$4:$K$203,IFERROR(MATCH(9,'كشف الحساب'!$N$4:$N$203,0),0))),"")</f>
        <v/>
      </c>
    </row>
    <row r="14" ht="16.5" customHeight="1" s="67">
      <c r="A14" s="45">
        <f>IFERROR(IF(IFERROR(MATCH(10,'كشف الحساب'!$N$4:$N$203,0),0)=0,"",INDEX('كشف الحساب'!$A$4:$A$203,IFERROR(MATCH(10,'كشف الحساب'!$N$4:$N$203,0),0))),"")</f>
        <v/>
      </c>
      <c r="B14" s="86">
        <f>IFERROR(IF(IFERROR(MATCH(10,'كشف الحساب'!$N$4:$N$203,0),0)=0,"",INDEX('كشف الحساب'!$B$4:$B$203,IFERROR(MATCH(10,'كشف الحساب'!$N$4:$N$203,0),0))),"")</f>
        <v/>
      </c>
      <c r="C14" s="47">
        <f>IFERROR(IF(IFERROR(MATCH(10,'كشف الحساب'!$N$4:$N$203,0),0)=0,"",INDEX('كشف الحساب'!$C$4:$C$203,IFERROR(MATCH(10,'كشف الحساب'!$N$4:$N$203,0),0))),"")</f>
        <v/>
      </c>
      <c r="D14" s="48">
        <f>IFERROR(IF(IFERROR(MATCH(10,'كشف الحساب'!$N$4:$N$203,0),0)=0,"",INDEX('كشف الحساب'!$D$4:$D$203,IFERROR(MATCH(10,'كشف الحساب'!$N$4:$N$203,0),0))),"")</f>
        <v/>
      </c>
      <c r="E14" s="87">
        <f>IFERROR(IF(IFERROR(MATCH(10,'كشف الحساب'!$N$4:$N$203,0),0)=0,"",INDEX('كشف الحساب'!$E$4:$E$203,IFERROR(MATCH(10,'كشف الحساب'!$N$4:$N$203,0),0))),"")</f>
        <v/>
      </c>
      <c r="F14" s="86">
        <f>IFERROR(IF(IFERROR(MATCH(10,'كشف الحساب'!$N$4:$N$203,0),0)=0,"",INDEX('كشف الحساب'!$F$4:$F$203,IFERROR(MATCH(10,'كشف الحساب'!$N$4:$N$203,0),0))),"")</f>
        <v/>
      </c>
      <c r="G14" s="86">
        <f>IFERROR(IF(IFERROR(MATCH(10,'كشف الحساب'!$N$4:$N$203,0),0)=0,"",INDEX('كشف الحساب'!$G$4:$G$203,IFERROR(MATCH(10,'كشف الحساب'!$N$4:$N$203,0),0))),"")</f>
        <v/>
      </c>
      <c r="H14" s="86">
        <f>IFERROR(IF(IFERROR(MATCH(10,'كشف الحساب'!$N$4:$N$203,0),0)=0,"",INDEX('كشف الحساب'!$H$4:$H$203,IFERROR(MATCH(10,'كشف الحساب'!$N$4:$N$203,0),0))),"")</f>
        <v/>
      </c>
      <c r="I14" s="86">
        <f>IFERROR(IF(IFERROR(MATCH(10,'كشف الحساب'!$N$4:$N$203,0),0)=0,"",INDEX('كشف الحساب'!$I$4:$I$203,IFERROR(MATCH(10,'كشف الحساب'!$N$4:$N$203,0),0))),"")</f>
        <v/>
      </c>
      <c r="J14" s="54">
        <f>IFERROR(IF(IFERROR(MATCH(10,'كشف الحساب'!$N$4:$N$203,0),0)=0,"",INDEX('كشف الحساب'!$J$4:$J$203,IFERROR(MATCH(10,'كشف الحساب'!$N$4:$N$203,0),0))),"")</f>
        <v/>
      </c>
      <c r="K14" s="86">
        <f>IFERROR(IF(IFERROR(MATCH(10,'كشف الحساب'!$N$4:$N$203,0),0)=0,"",INDEX('كشف الحساب'!$K$4:$K$203,IFERROR(MATCH(10,'كشف الحساب'!$N$4:$N$203,0),0))),"")</f>
        <v/>
      </c>
    </row>
    <row r="15" ht="16.5" customHeight="1" s="67">
      <c r="A15" s="150">
        <f>IFERROR(IF(IFERROR(MATCH(11,'كشف الحساب'!$N$4:$N$203,0),0)=0,"",INDEX('كشف الحساب'!$A$4:$A$203,IFERROR(MATCH(11,'كشف الحساب'!$N$4:$N$203,0),0))),"")</f>
        <v/>
      </c>
      <c r="B15" s="84">
        <f>IFERROR(IF(IFERROR(MATCH(11,'كشف الحساب'!$N$4:$N$203,0),0)=0,"",INDEX('كشف الحساب'!$B$4:$B$203,IFERROR(MATCH(11,'كشف الحساب'!$N$4:$N$203,0),0))),"")</f>
        <v/>
      </c>
      <c r="C15" s="58">
        <f>IFERROR(IF(IFERROR(MATCH(11,'كشف الحساب'!$N$4:$N$203,0),0)=0,"",INDEX('كشف الحساب'!$C$4:$C$203,IFERROR(MATCH(11,'كشف الحساب'!$N$4:$N$203,0),0))),"")</f>
        <v/>
      </c>
      <c r="D15" s="59">
        <f>IFERROR(IF(IFERROR(MATCH(11,'كشف الحساب'!$N$4:$N$203,0),0)=0,"",INDEX('كشف الحساب'!$D$4:$D$203,IFERROR(MATCH(11,'كشف الحساب'!$N$4:$N$203,0),0))),"")</f>
        <v/>
      </c>
      <c r="E15" s="85">
        <f>IFERROR(IF(IFERROR(MATCH(11,'كشف الحساب'!$N$4:$N$203,0),0)=0,"",INDEX('كشف الحساب'!$E$4:$E$203,IFERROR(MATCH(11,'كشف الحساب'!$N$4:$N$203,0),0))),"")</f>
        <v/>
      </c>
      <c r="F15" s="84">
        <f>IFERROR(IF(IFERROR(MATCH(11,'كشف الحساب'!$N$4:$N$203,0),0)=0,"",INDEX('كشف الحساب'!$F$4:$F$203,IFERROR(MATCH(11,'كشف الحساب'!$N$4:$N$203,0),0))),"")</f>
        <v/>
      </c>
      <c r="G15" s="84">
        <f>IFERROR(IF(IFERROR(MATCH(11,'كشف الحساب'!$N$4:$N$203,0),0)=0,"",INDEX('كشف الحساب'!$G$4:$G$203,IFERROR(MATCH(11,'كشف الحساب'!$N$4:$N$203,0),0))),"")</f>
        <v/>
      </c>
      <c r="H15" s="84">
        <f>IFERROR(IF(IFERROR(MATCH(11,'كشف الحساب'!$N$4:$N$203,0),0)=0,"",INDEX('كشف الحساب'!$H$4:$H$203,IFERROR(MATCH(11,'كشف الحساب'!$N$4:$N$203,0),0))),"")</f>
        <v/>
      </c>
      <c r="I15" s="84">
        <f>IFERROR(IF(IFERROR(MATCH(11,'كشف الحساب'!$N$4:$N$203,0),0)=0,"",INDEX('كشف الحساب'!$I$4:$I$203,IFERROR(MATCH(11,'كشف الحساب'!$N$4:$N$203,0),0))),"")</f>
        <v/>
      </c>
      <c r="J15" s="65">
        <f>IFERROR(IF(IFERROR(MATCH(11,'كشف الحساب'!$N$4:$N$203,0),0)=0,"",INDEX('كشف الحساب'!$J$4:$J$203,IFERROR(MATCH(11,'كشف الحساب'!$N$4:$N$203,0),0))),"")</f>
        <v/>
      </c>
      <c r="K15" s="84">
        <f>IFERROR(IF(IFERROR(MATCH(11,'كشف الحساب'!$N$4:$N$203,0),0)=0,"",INDEX('كشف الحساب'!$K$4:$K$203,IFERROR(MATCH(11,'كشف الحساب'!$N$4:$N$203,0),0))),"")</f>
        <v/>
      </c>
    </row>
    <row r="16" ht="16.5" customHeight="1" s="67">
      <c r="A16" s="45">
        <f>IFERROR(IF(IFERROR(MATCH(12,'كشف الحساب'!$N$4:$N$203,0),0)=0,"",INDEX('كشف الحساب'!$A$4:$A$203,IFERROR(MATCH(12,'كشف الحساب'!$N$4:$N$203,0),0))),"")</f>
        <v/>
      </c>
      <c r="B16" s="86">
        <f>IFERROR(IF(IFERROR(MATCH(12,'كشف الحساب'!$N$4:$N$203,0),0)=0,"",INDEX('كشف الحساب'!$B$4:$B$203,IFERROR(MATCH(12,'كشف الحساب'!$N$4:$N$203,0),0))),"")</f>
        <v/>
      </c>
      <c r="C16" s="47">
        <f>IFERROR(IF(IFERROR(MATCH(12,'كشف الحساب'!$N$4:$N$203,0),0)=0,"",INDEX('كشف الحساب'!$C$4:$C$203,IFERROR(MATCH(12,'كشف الحساب'!$N$4:$N$203,0),0))),"")</f>
        <v/>
      </c>
      <c r="D16" s="48">
        <f>IFERROR(IF(IFERROR(MATCH(12,'كشف الحساب'!$N$4:$N$203,0),0)=0,"",INDEX('كشف الحساب'!$D$4:$D$203,IFERROR(MATCH(12,'كشف الحساب'!$N$4:$N$203,0),0))),"")</f>
        <v/>
      </c>
      <c r="E16" s="87">
        <f>IFERROR(IF(IFERROR(MATCH(12,'كشف الحساب'!$N$4:$N$203,0),0)=0,"",INDEX('كشف الحساب'!$E$4:$E$203,IFERROR(MATCH(12,'كشف الحساب'!$N$4:$N$203,0),0))),"")</f>
        <v/>
      </c>
      <c r="F16" s="86">
        <f>IFERROR(IF(IFERROR(MATCH(12,'كشف الحساب'!$N$4:$N$203,0),0)=0,"",INDEX('كشف الحساب'!$F$4:$F$203,IFERROR(MATCH(12,'كشف الحساب'!$N$4:$N$203,0),0))),"")</f>
        <v/>
      </c>
      <c r="G16" s="86">
        <f>IFERROR(IF(IFERROR(MATCH(12,'كشف الحساب'!$N$4:$N$203,0),0)=0,"",INDEX('كشف الحساب'!$G$4:$G$203,IFERROR(MATCH(12,'كشف الحساب'!$N$4:$N$203,0),0))),"")</f>
        <v/>
      </c>
      <c r="H16" s="86">
        <f>IFERROR(IF(IFERROR(MATCH(12,'كشف الحساب'!$N$4:$N$203,0),0)=0,"",INDEX('كشف الحساب'!$H$4:$H$203,IFERROR(MATCH(12,'كشف الحساب'!$N$4:$N$203,0),0))),"")</f>
        <v/>
      </c>
      <c r="I16" s="86">
        <f>IFERROR(IF(IFERROR(MATCH(12,'كشف الحساب'!$N$4:$N$203,0),0)=0,"",INDEX('كشف الحساب'!$I$4:$I$203,IFERROR(MATCH(12,'كشف الحساب'!$N$4:$N$203,0),0))),"")</f>
        <v/>
      </c>
      <c r="J16" s="54">
        <f>IFERROR(IF(IFERROR(MATCH(12,'كشف الحساب'!$N$4:$N$203,0),0)=0,"",INDEX('كشف الحساب'!$J$4:$J$203,IFERROR(MATCH(12,'كشف الحساب'!$N$4:$N$203,0),0))),"")</f>
        <v/>
      </c>
      <c r="K16" s="86">
        <f>IFERROR(IF(IFERROR(MATCH(12,'كشف الحساب'!$N$4:$N$203,0),0)=0,"",INDEX('كشف الحساب'!$K$4:$K$203,IFERROR(MATCH(12,'كشف الحساب'!$N$4:$N$203,0),0))),"")</f>
        <v/>
      </c>
    </row>
    <row r="17" ht="16.5" customHeight="1" s="67">
      <c r="A17" s="150">
        <f>IFERROR(IF(IFERROR(MATCH(13,'كشف الحساب'!$N$4:$N$203,0),0)=0,"",INDEX('كشف الحساب'!$A$4:$A$203,IFERROR(MATCH(13,'كشف الحساب'!$N$4:$N$203,0),0))),"")</f>
        <v/>
      </c>
      <c r="B17" s="84">
        <f>IFERROR(IF(IFERROR(MATCH(13,'كشف الحساب'!$N$4:$N$203,0),0)=0,"",INDEX('كشف الحساب'!$B$4:$B$203,IFERROR(MATCH(13,'كشف الحساب'!$N$4:$N$203,0),0))),"")</f>
        <v/>
      </c>
      <c r="C17" s="58">
        <f>IFERROR(IF(IFERROR(MATCH(13,'كشف الحساب'!$N$4:$N$203,0),0)=0,"",INDEX('كشف الحساب'!$C$4:$C$203,IFERROR(MATCH(13,'كشف الحساب'!$N$4:$N$203,0),0))),"")</f>
        <v/>
      </c>
      <c r="D17" s="59">
        <f>IFERROR(IF(IFERROR(MATCH(13,'كشف الحساب'!$N$4:$N$203,0),0)=0,"",INDEX('كشف الحساب'!$D$4:$D$203,IFERROR(MATCH(13,'كشف الحساب'!$N$4:$N$203,0),0))),"")</f>
        <v/>
      </c>
      <c r="E17" s="85">
        <f>IFERROR(IF(IFERROR(MATCH(13,'كشف الحساب'!$N$4:$N$203,0),0)=0,"",INDEX('كشف الحساب'!$E$4:$E$203,IFERROR(MATCH(13,'كشف الحساب'!$N$4:$N$203,0),0))),"")</f>
        <v/>
      </c>
      <c r="F17" s="84">
        <f>IFERROR(IF(IFERROR(MATCH(13,'كشف الحساب'!$N$4:$N$203,0),0)=0,"",INDEX('كشف الحساب'!$F$4:$F$203,IFERROR(MATCH(13,'كشف الحساب'!$N$4:$N$203,0),0))),"")</f>
        <v/>
      </c>
      <c r="G17" s="84">
        <f>IFERROR(IF(IFERROR(MATCH(13,'كشف الحساب'!$N$4:$N$203,0),0)=0,"",INDEX('كشف الحساب'!$G$4:$G$203,IFERROR(MATCH(13,'كشف الحساب'!$N$4:$N$203,0),0))),"")</f>
        <v/>
      </c>
      <c r="H17" s="84">
        <f>IFERROR(IF(IFERROR(MATCH(13,'كشف الحساب'!$N$4:$N$203,0),0)=0,"",INDEX('كشف الحساب'!$H$4:$H$203,IFERROR(MATCH(13,'كشف الحساب'!$N$4:$N$203,0),0))),"")</f>
        <v/>
      </c>
      <c r="I17" s="84">
        <f>IFERROR(IF(IFERROR(MATCH(13,'كشف الحساب'!$N$4:$N$203,0),0)=0,"",INDEX('كشف الحساب'!$I$4:$I$203,IFERROR(MATCH(13,'كشف الحساب'!$N$4:$N$203,0),0))),"")</f>
        <v/>
      </c>
      <c r="J17" s="65">
        <f>IFERROR(IF(IFERROR(MATCH(13,'كشف الحساب'!$N$4:$N$203,0),0)=0,"",INDEX('كشف الحساب'!$J$4:$J$203,IFERROR(MATCH(13,'كشف الحساب'!$N$4:$N$203,0),0))),"")</f>
        <v/>
      </c>
      <c r="K17" s="84">
        <f>IFERROR(IF(IFERROR(MATCH(13,'كشف الحساب'!$N$4:$N$203,0),0)=0,"",INDEX('كشف الحساب'!$K$4:$K$203,IFERROR(MATCH(13,'كشف الحساب'!$N$4:$N$203,0),0))),"")</f>
        <v/>
      </c>
    </row>
    <row r="18" ht="16.5" customHeight="1" s="67">
      <c r="A18" s="45">
        <f>IFERROR(IF(IFERROR(MATCH(14,'كشف الحساب'!$N$4:$N$203,0),0)=0,"",INDEX('كشف الحساب'!$A$4:$A$203,IFERROR(MATCH(14,'كشف الحساب'!$N$4:$N$203,0),0))),"")</f>
        <v/>
      </c>
      <c r="B18" s="86">
        <f>IFERROR(IF(IFERROR(MATCH(14,'كشف الحساب'!$N$4:$N$203,0),0)=0,"",INDEX('كشف الحساب'!$B$4:$B$203,IFERROR(MATCH(14,'كشف الحساب'!$N$4:$N$203,0),0))),"")</f>
        <v/>
      </c>
      <c r="C18" s="47">
        <f>IFERROR(IF(IFERROR(MATCH(14,'كشف الحساب'!$N$4:$N$203,0),0)=0,"",INDEX('كشف الحساب'!$C$4:$C$203,IFERROR(MATCH(14,'كشف الحساب'!$N$4:$N$203,0),0))),"")</f>
        <v/>
      </c>
      <c r="D18" s="48">
        <f>IFERROR(IF(IFERROR(MATCH(14,'كشف الحساب'!$N$4:$N$203,0),0)=0,"",INDEX('كشف الحساب'!$D$4:$D$203,IFERROR(MATCH(14,'كشف الحساب'!$N$4:$N$203,0),0))),"")</f>
        <v/>
      </c>
      <c r="E18" s="87">
        <f>IFERROR(IF(IFERROR(MATCH(14,'كشف الحساب'!$N$4:$N$203,0),0)=0,"",INDEX('كشف الحساب'!$E$4:$E$203,IFERROR(MATCH(14,'كشف الحساب'!$N$4:$N$203,0),0))),"")</f>
        <v/>
      </c>
      <c r="F18" s="86">
        <f>IFERROR(IF(IFERROR(MATCH(14,'كشف الحساب'!$N$4:$N$203,0),0)=0,"",INDEX('كشف الحساب'!$F$4:$F$203,IFERROR(MATCH(14,'كشف الحساب'!$N$4:$N$203,0),0))),"")</f>
        <v/>
      </c>
      <c r="G18" s="86">
        <f>IFERROR(IF(IFERROR(MATCH(14,'كشف الحساب'!$N$4:$N$203,0),0)=0,"",INDEX('كشف الحساب'!$G$4:$G$203,IFERROR(MATCH(14,'كشف الحساب'!$N$4:$N$203,0),0))),"")</f>
        <v/>
      </c>
      <c r="H18" s="86">
        <f>IFERROR(IF(IFERROR(MATCH(14,'كشف الحساب'!$N$4:$N$203,0),0)=0,"",INDEX('كشف الحساب'!$H$4:$H$203,IFERROR(MATCH(14,'كشف الحساب'!$N$4:$N$203,0),0))),"")</f>
        <v/>
      </c>
      <c r="I18" s="86">
        <f>IFERROR(IF(IFERROR(MATCH(14,'كشف الحساب'!$N$4:$N$203,0),0)=0,"",INDEX('كشف الحساب'!$I$4:$I$203,IFERROR(MATCH(14,'كشف الحساب'!$N$4:$N$203,0),0))),"")</f>
        <v/>
      </c>
      <c r="J18" s="54">
        <f>IFERROR(IF(IFERROR(MATCH(14,'كشف الحساب'!$N$4:$N$203,0),0)=0,"",INDEX('كشف الحساب'!$J$4:$J$203,IFERROR(MATCH(14,'كشف الحساب'!$N$4:$N$203,0),0))),"")</f>
        <v/>
      </c>
      <c r="K18" s="86">
        <f>IFERROR(IF(IFERROR(MATCH(14,'كشف الحساب'!$N$4:$N$203,0),0)=0,"",INDEX('كشف الحساب'!$K$4:$K$203,IFERROR(MATCH(14,'كشف الحساب'!$N$4:$N$203,0),0))),"")</f>
        <v/>
      </c>
    </row>
    <row r="19" ht="16.5" customHeight="1" s="67">
      <c r="A19" s="150">
        <f>IFERROR(IF(IFERROR(MATCH(15,'كشف الحساب'!$N$4:$N$203,0),0)=0,"",INDEX('كشف الحساب'!$A$4:$A$203,IFERROR(MATCH(15,'كشف الحساب'!$N$4:$N$203,0),0))),"")</f>
        <v/>
      </c>
      <c r="B19" s="84">
        <f>IFERROR(IF(IFERROR(MATCH(15,'كشف الحساب'!$N$4:$N$203,0),0)=0,"",INDEX('كشف الحساب'!$B$4:$B$203,IFERROR(MATCH(15,'كشف الحساب'!$N$4:$N$203,0),0))),"")</f>
        <v/>
      </c>
      <c r="C19" s="58">
        <f>IFERROR(IF(IFERROR(MATCH(15,'كشف الحساب'!$N$4:$N$203,0),0)=0,"",INDEX('كشف الحساب'!$C$4:$C$203,IFERROR(MATCH(15,'كشف الحساب'!$N$4:$N$203,0),0))),"")</f>
        <v/>
      </c>
      <c r="D19" s="59">
        <f>IFERROR(IF(IFERROR(MATCH(15,'كشف الحساب'!$N$4:$N$203,0),0)=0,"",INDEX('كشف الحساب'!$D$4:$D$203,IFERROR(MATCH(15,'كشف الحساب'!$N$4:$N$203,0),0))),"")</f>
        <v/>
      </c>
      <c r="E19" s="85">
        <f>IFERROR(IF(IFERROR(MATCH(15,'كشف الحساب'!$N$4:$N$203,0),0)=0,"",INDEX('كشف الحساب'!$E$4:$E$203,IFERROR(MATCH(15,'كشف الحساب'!$N$4:$N$203,0),0))),"")</f>
        <v/>
      </c>
      <c r="F19" s="84">
        <f>IFERROR(IF(IFERROR(MATCH(15,'كشف الحساب'!$N$4:$N$203,0),0)=0,"",INDEX('كشف الحساب'!$F$4:$F$203,IFERROR(MATCH(15,'كشف الحساب'!$N$4:$N$203,0),0))),"")</f>
        <v/>
      </c>
      <c r="G19" s="84">
        <f>IFERROR(IF(IFERROR(MATCH(15,'كشف الحساب'!$N$4:$N$203,0),0)=0,"",INDEX('كشف الحساب'!$G$4:$G$203,IFERROR(MATCH(15,'كشف الحساب'!$N$4:$N$203,0),0))),"")</f>
        <v/>
      </c>
      <c r="H19" s="84">
        <f>IFERROR(IF(IFERROR(MATCH(15,'كشف الحساب'!$N$4:$N$203,0),0)=0,"",INDEX('كشف الحساب'!$H$4:$H$203,IFERROR(MATCH(15,'كشف الحساب'!$N$4:$N$203,0),0))),"")</f>
        <v/>
      </c>
      <c r="I19" s="84">
        <f>IFERROR(IF(IFERROR(MATCH(15,'كشف الحساب'!$N$4:$N$203,0),0)=0,"",INDEX('كشف الحساب'!$I$4:$I$203,IFERROR(MATCH(15,'كشف الحساب'!$N$4:$N$203,0),0))),"")</f>
        <v/>
      </c>
      <c r="J19" s="65">
        <f>IFERROR(IF(IFERROR(MATCH(15,'كشف الحساب'!$N$4:$N$203,0),0)=0,"",INDEX('كشف الحساب'!$J$4:$J$203,IFERROR(MATCH(15,'كشف الحساب'!$N$4:$N$203,0),0))),"")</f>
        <v/>
      </c>
      <c r="K19" s="84">
        <f>IFERROR(IF(IFERROR(MATCH(15,'كشف الحساب'!$N$4:$N$203,0),0)=0,"",INDEX('كشف الحساب'!$K$4:$K$203,IFERROR(MATCH(15,'كشف الحساب'!$N$4:$N$203,0),0))),"")</f>
        <v/>
      </c>
    </row>
    <row r="20" ht="16.5" customHeight="1" s="67">
      <c r="A20" s="45">
        <f>IFERROR(IF(IFERROR(MATCH(16,'كشف الحساب'!$N$4:$N$203,0),0)=0,"",INDEX('كشف الحساب'!$A$4:$A$203,IFERROR(MATCH(16,'كشف الحساب'!$N$4:$N$203,0),0))),"")</f>
        <v/>
      </c>
      <c r="B20" s="86">
        <f>IFERROR(IF(IFERROR(MATCH(16,'كشف الحساب'!$N$4:$N$203,0),0)=0,"",INDEX('كشف الحساب'!$B$4:$B$203,IFERROR(MATCH(16,'كشف الحساب'!$N$4:$N$203,0),0))),"")</f>
        <v/>
      </c>
      <c r="C20" s="47">
        <f>IFERROR(IF(IFERROR(MATCH(16,'كشف الحساب'!$N$4:$N$203,0),0)=0,"",INDEX('كشف الحساب'!$C$4:$C$203,IFERROR(MATCH(16,'كشف الحساب'!$N$4:$N$203,0),0))),"")</f>
        <v/>
      </c>
      <c r="D20" s="48">
        <f>IFERROR(IF(IFERROR(MATCH(16,'كشف الحساب'!$N$4:$N$203,0),0)=0,"",INDEX('كشف الحساب'!$D$4:$D$203,IFERROR(MATCH(16,'كشف الحساب'!$N$4:$N$203,0),0))),"")</f>
        <v/>
      </c>
      <c r="E20" s="87">
        <f>IFERROR(IF(IFERROR(MATCH(16,'كشف الحساب'!$N$4:$N$203,0),0)=0,"",INDEX('كشف الحساب'!$E$4:$E$203,IFERROR(MATCH(16,'كشف الحساب'!$N$4:$N$203,0),0))),"")</f>
        <v/>
      </c>
      <c r="F20" s="86">
        <f>IFERROR(IF(IFERROR(MATCH(16,'كشف الحساب'!$N$4:$N$203,0),0)=0,"",INDEX('كشف الحساب'!$F$4:$F$203,IFERROR(MATCH(16,'كشف الحساب'!$N$4:$N$203,0),0))),"")</f>
        <v/>
      </c>
      <c r="G20" s="86">
        <f>IFERROR(IF(IFERROR(MATCH(16,'كشف الحساب'!$N$4:$N$203,0),0)=0,"",INDEX('كشف الحساب'!$G$4:$G$203,IFERROR(MATCH(16,'كشف الحساب'!$N$4:$N$203,0),0))),"")</f>
        <v/>
      </c>
      <c r="H20" s="86">
        <f>IFERROR(IF(IFERROR(MATCH(16,'كشف الحساب'!$N$4:$N$203,0),0)=0,"",INDEX('كشف الحساب'!$H$4:$H$203,IFERROR(MATCH(16,'كشف الحساب'!$N$4:$N$203,0),0))),"")</f>
        <v/>
      </c>
      <c r="I20" s="86">
        <f>IFERROR(IF(IFERROR(MATCH(16,'كشف الحساب'!$N$4:$N$203,0),0)=0,"",INDEX('كشف الحساب'!$I$4:$I$203,IFERROR(MATCH(16,'كشف الحساب'!$N$4:$N$203,0),0))),"")</f>
        <v/>
      </c>
      <c r="J20" s="54">
        <f>IFERROR(IF(IFERROR(MATCH(16,'كشف الحساب'!$N$4:$N$203,0),0)=0,"",INDEX('كشف الحساب'!$J$4:$J$203,IFERROR(MATCH(16,'كشف الحساب'!$N$4:$N$203,0),0))),"")</f>
        <v/>
      </c>
      <c r="K20" s="86">
        <f>IFERROR(IF(IFERROR(MATCH(16,'كشف الحساب'!$N$4:$N$203,0),0)=0,"",INDEX('كشف الحساب'!$K$4:$K$203,IFERROR(MATCH(16,'كشف الحساب'!$N$4:$N$203,0),0))),"")</f>
        <v/>
      </c>
    </row>
    <row r="21" ht="16.5" customHeight="1" s="67">
      <c r="A21" s="150">
        <f>IFERROR(IF(IFERROR(MATCH(17,'كشف الحساب'!$N$4:$N$203,0),0)=0,"",INDEX('كشف الحساب'!$A$4:$A$203,IFERROR(MATCH(17,'كشف الحساب'!$N$4:$N$203,0),0))),"")</f>
        <v/>
      </c>
      <c r="B21" s="84">
        <f>IFERROR(IF(IFERROR(MATCH(17,'كشف الحساب'!$N$4:$N$203,0),0)=0,"",INDEX('كشف الحساب'!$B$4:$B$203,IFERROR(MATCH(17,'كشف الحساب'!$N$4:$N$203,0),0))),"")</f>
        <v/>
      </c>
      <c r="C21" s="58">
        <f>IFERROR(IF(IFERROR(MATCH(17,'كشف الحساب'!$N$4:$N$203,0),0)=0,"",INDEX('كشف الحساب'!$C$4:$C$203,IFERROR(MATCH(17,'كشف الحساب'!$N$4:$N$203,0),0))),"")</f>
        <v/>
      </c>
      <c r="D21" s="59">
        <f>IFERROR(IF(IFERROR(MATCH(17,'كشف الحساب'!$N$4:$N$203,0),0)=0,"",INDEX('كشف الحساب'!$D$4:$D$203,IFERROR(MATCH(17,'كشف الحساب'!$N$4:$N$203,0),0))),"")</f>
        <v/>
      </c>
      <c r="E21" s="85">
        <f>IFERROR(IF(IFERROR(MATCH(17,'كشف الحساب'!$N$4:$N$203,0),0)=0,"",INDEX('كشف الحساب'!$E$4:$E$203,IFERROR(MATCH(17,'كشف الحساب'!$N$4:$N$203,0),0))),"")</f>
        <v/>
      </c>
      <c r="F21" s="84">
        <f>IFERROR(IF(IFERROR(MATCH(17,'كشف الحساب'!$N$4:$N$203,0),0)=0,"",INDEX('كشف الحساب'!$F$4:$F$203,IFERROR(MATCH(17,'كشف الحساب'!$N$4:$N$203,0),0))),"")</f>
        <v/>
      </c>
      <c r="G21" s="84">
        <f>IFERROR(IF(IFERROR(MATCH(17,'كشف الحساب'!$N$4:$N$203,0),0)=0,"",INDEX('كشف الحساب'!$G$4:$G$203,IFERROR(MATCH(17,'كشف الحساب'!$N$4:$N$203,0),0))),"")</f>
        <v/>
      </c>
      <c r="H21" s="84">
        <f>IFERROR(IF(IFERROR(MATCH(17,'كشف الحساب'!$N$4:$N$203,0),0)=0,"",INDEX('كشف الحساب'!$H$4:$H$203,IFERROR(MATCH(17,'كشف الحساب'!$N$4:$N$203,0),0))),"")</f>
        <v/>
      </c>
      <c r="I21" s="84">
        <f>IFERROR(IF(IFERROR(MATCH(17,'كشف الحساب'!$N$4:$N$203,0),0)=0,"",INDEX('كشف الحساب'!$I$4:$I$203,IFERROR(MATCH(17,'كشف الحساب'!$N$4:$N$203,0),0))),"")</f>
        <v/>
      </c>
      <c r="J21" s="65">
        <f>IFERROR(IF(IFERROR(MATCH(17,'كشف الحساب'!$N$4:$N$203,0),0)=0,"",INDEX('كشف الحساب'!$J$4:$J$203,IFERROR(MATCH(17,'كشف الحساب'!$N$4:$N$203,0),0))),"")</f>
        <v/>
      </c>
      <c r="K21" s="84">
        <f>IFERROR(IF(IFERROR(MATCH(17,'كشف الحساب'!$N$4:$N$203,0),0)=0,"",INDEX('كشف الحساب'!$K$4:$K$203,IFERROR(MATCH(17,'كشف الحساب'!$N$4:$N$203,0),0))),"")</f>
        <v/>
      </c>
    </row>
    <row r="22" ht="16.5" customHeight="1" s="67">
      <c r="A22" s="45">
        <f>IFERROR(IF(IFERROR(MATCH(18,'كشف الحساب'!$N$4:$N$203,0),0)=0,"",INDEX('كشف الحساب'!$A$4:$A$203,IFERROR(MATCH(18,'كشف الحساب'!$N$4:$N$203,0),0))),"")</f>
        <v/>
      </c>
      <c r="B22" s="86">
        <f>IFERROR(IF(IFERROR(MATCH(18,'كشف الحساب'!$N$4:$N$203,0),0)=0,"",INDEX('كشف الحساب'!$B$4:$B$203,IFERROR(MATCH(18,'كشف الحساب'!$N$4:$N$203,0),0))),"")</f>
        <v/>
      </c>
      <c r="C22" s="47">
        <f>IFERROR(IF(IFERROR(MATCH(18,'كشف الحساب'!$N$4:$N$203,0),0)=0,"",INDEX('كشف الحساب'!$C$4:$C$203,IFERROR(MATCH(18,'كشف الحساب'!$N$4:$N$203,0),0))),"")</f>
        <v/>
      </c>
      <c r="D22" s="48">
        <f>IFERROR(IF(IFERROR(MATCH(18,'كشف الحساب'!$N$4:$N$203,0),0)=0,"",INDEX('كشف الحساب'!$D$4:$D$203,IFERROR(MATCH(18,'كشف الحساب'!$N$4:$N$203,0),0))),"")</f>
        <v/>
      </c>
      <c r="E22" s="87">
        <f>IFERROR(IF(IFERROR(MATCH(18,'كشف الحساب'!$N$4:$N$203,0),0)=0,"",INDEX('كشف الحساب'!$E$4:$E$203,IFERROR(MATCH(18,'كشف الحساب'!$N$4:$N$203,0),0))),"")</f>
        <v/>
      </c>
      <c r="F22" s="86">
        <f>IFERROR(IF(IFERROR(MATCH(18,'كشف الحساب'!$N$4:$N$203,0),0)=0,"",INDEX('كشف الحساب'!$F$4:$F$203,IFERROR(MATCH(18,'كشف الحساب'!$N$4:$N$203,0),0))),"")</f>
        <v/>
      </c>
      <c r="G22" s="86">
        <f>IFERROR(IF(IFERROR(MATCH(18,'كشف الحساب'!$N$4:$N$203,0),0)=0,"",INDEX('كشف الحساب'!$G$4:$G$203,IFERROR(MATCH(18,'كشف الحساب'!$N$4:$N$203,0),0))),"")</f>
        <v/>
      </c>
      <c r="H22" s="86">
        <f>IFERROR(IF(IFERROR(MATCH(18,'كشف الحساب'!$N$4:$N$203,0),0)=0,"",INDEX('كشف الحساب'!$H$4:$H$203,IFERROR(MATCH(18,'كشف الحساب'!$N$4:$N$203,0),0))),"")</f>
        <v/>
      </c>
      <c r="I22" s="86">
        <f>IFERROR(IF(IFERROR(MATCH(18,'كشف الحساب'!$N$4:$N$203,0),0)=0,"",INDEX('كشف الحساب'!$I$4:$I$203,IFERROR(MATCH(18,'كشف الحساب'!$N$4:$N$203,0),0))),"")</f>
        <v/>
      </c>
      <c r="J22" s="54">
        <f>IFERROR(IF(IFERROR(MATCH(18,'كشف الحساب'!$N$4:$N$203,0),0)=0,"",INDEX('كشف الحساب'!$J$4:$J$203,IFERROR(MATCH(18,'كشف الحساب'!$N$4:$N$203,0),0))),"")</f>
        <v/>
      </c>
      <c r="K22" s="86">
        <f>IFERROR(IF(IFERROR(MATCH(18,'كشف الحساب'!$N$4:$N$203,0),0)=0,"",INDEX('كشف الحساب'!$K$4:$K$203,IFERROR(MATCH(18,'كشف الحساب'!$N$4:$N$203,0),0))),"")</f>
        <v/>
      </c>
    </row>
    <row r="23" ht="16.5" customHeight="1" s="67">
      <c r="A23" s="150">
        <f>IFERROR(IF(IFERROR(MATCH(19,'كشف الحساب'!$N$4:$N$203,0),0)=0,"",INDEX('كشف الحساب'!$A$4:$A$203,IFERROR(MATCH(19,'كشف الحساب'!$N$4:$N$203,0),0))),"")</f>
        <v/>
      </c>
      <c r="B23" s="84">
        <f>IFERROR(IF(IFERROR(MATCH(19,'كشف الحساب'!$N$4:$N$203,0),0)=0,"",INDEX('كشف الحساب'!$B$4:$B$203,IFERROR(MATCH(19,'كشف الحساب'!$N$4:$N$203,0),0))),"")</f>
        <v/>
      </c>
      <c r="C23" s="58">
        <f>IFERROR(IF(IFERROR(MATCH(19,'كشف الحساب'!$N$4:$N$203,0),0)=0,"",INDEX('كشف الحساب'!$C$4:$C$203,IFERROR(MATCH(19,'كشف الحساب'!$N$4:$N$203,0),0))),"")</f>
        <v/>
      </c>
      <c r="D23" s="59">
        <f>IFERROR(IF(IFERROR(MATCH(19,'كشف الحساب'!$N$4:$N$203,0),0)=0,"",INDEX('كشف الحساب'!$D$4:$D$203,IFERROR(MATCH(19,'كشف الحساب'!$N$4:$N$203,0),0))),"")</f>
        <v/>
      </c>
      <c r="E23" s="85">
        <f>IFERROR(IF(IFERROR(MATCH(19,'كشف الحساب'!$N$4:$N$203,0),0)=0,"",INDEX('كشف الحساب'!$E$4:$E$203,IFERROR(MATCH(19,'كشف الحساب'!$N$4:$N$203,0),0))),"")</f>
        <v/>
      </c>
      <c r="F23" s="84">
        <f>IFERROR(IF(IFERROR(MATCH(19,'كشف الحساب'!$N$4:$N$203,0),0)=0,"",INDEX('كشف الحساب'!$F$4:$F$203,IFERROR(MATCH(19,'كشف الحساب'!$N$4:$N$203,0),0))),"")</f>
        <v/>
      </c>
      <c r="G23" s="84">
        <f>IFERROR(IF(IFERROR(MATCH(19,'كشف الحساب'!$N$4:$N$203,0),0)=0,"",INDEX('كشف الحساب'!$G$4:$G$203,IFERROR(MATCH(19,'كشف الحساب'!$N$4:$N$203,0),0))),"")</f>
        <v/>
      </c>
      <c r="H23" s="84">
        <f>IFERROR(IF(IFERROR(MATCH(19,'كشف الحساب'!$N$4:$N$203,0),0)=0,"",INDEX('كشف الحساب'!$H$4:$H$203,IFERROR(MATCH(19,'كشف الحساب'!$N$4:$N$203,0),0))),"")</f>
        <v/>
      </c>
      <c r="I23" s="84">
        <f>IFERROR(IF(IFERROR(MATCH(19,'كشف الحساب'!$N$4:$N$203,0),0)=0,"",INDEX('كشف الحساب'!$I$4:$I$203,IFERROR(MATCH(19,'كشف الحساب'!$N$4:$N$203,0),0))),"")</f>
        <v/>
      </c>
      <c r="J23" s="65">
        <f>IFERROR(IF(IFERROR(MATCH(19,'كشف الحساب'!$N$4:$N$203,0),0)=0,"",INDEX('كشف الحساب'!$J$4:$J$203,IFERROR(MATCH(19,'كشف الحساب'!$N$4:$N$203,0),0))),"")</f>
        <v/>
      </c>
      <c r="K23" s="84">
        <f>IFERROR(IF(IFERROR(MATCH(19,'كشف الحساب'!$N$4:$N$203,0),0)=0,"",INDEX('كشف الحساب'!$K$4:$K$203,IFERROR(MATCH(19,'كشف الحساب'!$N$4:$N$203,0),0))),"")</f>
        <v/>
      </c>
    </row>
    <row r="24" ht="16.5" customHeight="1" s="67">
      <c r="A24" s="45">
        <f>IFERROR(IF(IFERROR(MATCH(20,'كشف الحساب'!$N$4:$N$203,0),0)=0,"",INDEX('كشف الحساب'!$A$4:$A$203,IFERROR(MATCH(20,'كشف الحساب'!$N$4:$N$203,0),0))),"")</f>
        <v/>
      </c>
      <c r="B24" s="86">
        <f>IFERROR(IF(IFERROR(MATCH(20,'كشف الحساب'!$N$4:$N$203,0),0)=0,"",INDEX('كشف الحساب'!$B$4:$B$203,IFERROR(MATCH(20,'كشف الحساب'!$N$4:$N$203,0),0))),"")</f>
        <v/>
      </c>
      <c r="C24" s="47">
        <f>IFERROR(IF(IFERROR(MATCH(20,'كشف الحساب'!$N$4:$N$203,0),0)=0,"",INDEX('كشف الحساب'!$C$4:$C$203,IFERROR(MATCH(20,'كشف الحساب'!$N$4:$N$203,0),0))),"")</f>
        <v/>
      </c>
      <c r="D24" s="48">
        <f>IFERROR(IF(IFERROR(MATCH(20,'كشف الحساب'!$N$4:$N$203,0),0)=0,"",INDEX('كشف الحساب'!$D$4:$D$203,IFERROR(MATCH(20,'كشف الحساب'!$N$4:$N$203,0),0))),"")</f>
        <v/>
      </c>
      <c r="E24" s="87">
        <f>IFERROR(IF(IFERROR(MATCH(20,'كشف الحساب'!$N$4:$N$203,0),0)=0,"",INDEX('كشف الحساب'!$E$4:$E$203,IFERROR(MATCH(20,'كشف الحساب'!$N$4:$N$203,0),0))),"")</f>
        <v/>
      </c>
      <c r="F24" s="86">
        <f>IFERROR(IF(IFERROR(MATCH(20,'كشف الحساب'!$N$4:$N$203,0),0)=0,"",INDEX('كشف الحساب'!$F$4:$F$203,IFERROR(MATCH(20,'كشف الحساب'!$N$4:$N$203,0),0))),"")</f>
        <v/>
      </c>
      <c r="G24" s="86">
        <f>IFERROR(IF(IFERROR(MATCH(20,'كشف الحساب'!$N$4:$N$203,0),0)=0,"",INDEX('كشف الحساب'!$G$4:$G$203,IFERROR(MATCH(20,'كشف الحساب'!$N$4:$N$203,0),0))),"")</f>
        <v/>
      </c>
      <c r="H24" s="86">
        <f>IFERROR(IF(IFERROR(MATCH(20,'كشف الحساب'!$N$4:$N$203,0),0)=0,"",INDEX('كشف الحساب'!$H$4:$H$203,IFERROR(MATCH(20,'كشف الحساب'!$N$4:$N$203,0),0))),"")</f>
        <v/>
      </c>
      <c r="I24" s="86">
        <f>IFERROR(IF(IFERROR(MATCH(20,'كشف الحساب'!$N$4:$N$203,0),0)=0,"",INDEX('كشف الحساب'!$I$4:$I$203,IFERROR(MATCH(20,'كشف الحساب'!$N$4:$N$203,0),0))),"")</f>
        <v/>
      </c>
      <c r="J24" s="54">
        <f>IFERROR(IF(IFERROR(MATCH(20,'كشف الحساب'!$N$4:$N$203,0),0)=0,"",INDEX('كشف الحساب'!$J$4:$J$203,IFERROR(MATCH(20,'كشف الحساب'!$N$4:$N$203,0),0))),"")</f>
        <v/>
      </c>
      <c r="K24" s="86">
        <f>IFERROR(IF(IFERROR(MATCH(20,'كشف الحساب'!$N$4:$N$203,0),0)=0,"",INDEX('كشف الحساب'!$K$4:$K$203,IFERROR(MATCH(20,'كشف الحساب'!$N$4:$N$203,0),0))),"")</f>
        <v/>
      </c>
    </row>
    <row r="25" ht="16.5" customHeight="1" s="67">
      <c r="A25" s="150">
        <f>IFERROR(IF(IFERROR(MATCH(21,'كشف الحساب'!$N$4:$N$203,0),0)=0,"",INDEX('كشف الحساب'!$A$4:$A$203,IFERROR(MATCH(21,'كشف الحساب'!$N$4:$N$203,0),0))),"")</f>
        <v/>
      </c>
      <c r="B25" s="84">
        <f>IFERROR(IF(IFERROR(MATCH(21,'كشف الحساب'!$N$4:$N$203,0),0)=0,"",INDEX('كشف الحساب'!$B$4:$B$203,IFERROR(MATCH(21,'كشف الحساب'!$N$4:$N$203,0),0))),"")</f>
        <v/>
      </c>
      <c r="C25" s="58">
        <f>IFERROR(IF(IFERROR(MATCH(21,'كشف الحساب'!$N$4:$N$203,0),0)=0,"",INDEX('كشف الحساب'!$C$4:$C$203,IFERROR(MATCH(21,'كشف الحساب'!$N$4:$N$203,0),0))),"")</f>
        <v/>
      </c>
      <c r="D25" s="59">
        <f>IFERROR(IF(IFERROR(MATCH(21,'كشف الحساب'!$N$4:$N$203,0),0)=0,"",INDEX('كشف الحساب'!$D$4:$D$203,IFERROR(MATCH(21,'كشف الحساب'!$N$4:$N$203,0),0))),"")</f>
        <v/>
      </c>
      <c r="E25" s="85">
        <f>IFERROR(IF(IFERROR(MATCH(21,'كشف الحساب'!$N$4:$N$203,0),0)=0,"",INDEX('كشف الحساب'!$E$4:$E$203,IFERROR(MATCH(21,'كشف الحساب'!$N$4:$N$203,0),0))),"")</f>
        <v/>
      </c>
      <c r="F25" s="84">
        <f>IFERROR(IF(IFERROR(MATCH(21,'كشف الحساب'!$N$4:$N$203,0),0)=0,"",INDEX('كشف الحساب'!$F$4:$F$203,IFERROR(MATCH(21,'كشف الحساب'!$N$4:$N$203,0),0))),"")</f>
        <v/>
      </c>
      <c r="G25" s="84">
        <f>IFERROR(IF(IFERROR(MATCH(21,'كشف الحساب'!$N$4:$N$203,0),0)=0,"",INDEX('كشف الحساب'!$G$4:$G$203,IFERROR(MATCH(21,'كشف الحساب'!$N$4:$N$203,0),0))),"")</f>
        <v/>
      </c>
      <c r="H25" s="84">
        <f>IFERROR(IF(IFERROR(MATCH(21,'كشف الحساب'!$N$4:$N$203,0),0)=0,"",INDEX('كشف الحساب'!$H$4:$H$203,IFERROR(MATCH(21,'كشف الحساب'!$N$4:$N$203,0),0))),"")</f>
        <v/>
      </c>
      <c r="I25" s="84">
        <f>IFERROR(IF(IFERROR(MATCH(21,'كشف الحساب'!$N$4:$N$203,0),0)=0,"",INDEX('كشف الحساب'!$I$4:$I$203,IFERROR(MATCH(21,'كشف الحساب'!$N$4:$N$203,0),0))),"")</f>
        <v/>
      </c>
      <c r="J25" s="65">
        <f>IFERROR(IF(IFERROR(MATCH(21,'كشف الحساب'!$N$4:$N$203,0),0)=0,"",INDEX('كشف الحساب'!$J$4:$J$203,IFERROR(MATCH(21,'كشف الحساب'!$N$4:$N$203,0),0))),"")</f>
        <v/>
      </c>
      <c r="K25" s="84">
        <f>IFERROR(IF(IFERROR(MATCH(21,'كشف الحساب'!$N$4:$N$203,0),0)=0,"",INDEX('كشف الحساب'!$K$4:$K$203,IFERROR(MATCH(21,'كشف الحساب'!$N$4:$N$203,0),0))),"")</f>
        <v/>
      </c>
    </row>
    <row r="26" ht="16.5" customHeight="1" s="67">
      <c r="A26" s="45">
        <f>IFERROR(IF(IFERROR(MATCH(22,'كشف الحساب'!$N$4:$N$203,0),0)=0,"",INDEX('كشف الحساب'!$A$4:$A$203,IFERROR(MATCH(22,'كشف الحساب'!$N$4:$N$203,0),0))),"")</f>
        <v/>
      </c>
      <c r="B26" s="86">
        <f>IFERROR(IF(IFERROR(MATCH(22,'كشف الحساب'!$N$4:$N$203,0),0)=0,"",INDEX('كشف الحساب'!$B$4:$B$203,IFERROR(MATCH(22,'كشف الحساب'!$N$4:$N$203,0),0))),"")</f>
        <v/>
      </c>
      <c r="C26" s="47">
        <f>IFERROR(IF(IFERROR(MATCH(22,'كشف الحساب'!$N$4:$N$203,0),0)=0,"",INDEX('كشف الحساب'!$C$4:$C$203,IFERROR(MATCH(22,'كشف الحساب'!$N$4:$N$203,0),0))),"")</f>
        <v/>
      </c>
      <c r="D26" s="48">
        <f>IFERROR(IF(IFERROR(MATCH(22,'كشف الحساب'!$N$4:$N$203,0),0)=0,"",INDEX('كشف الحساب'!$D$4:$D$203,IFERROR(MATCH(22,'كشف الحساب'!$N$4:$N$203,0),0))),"")</f>
        <v/>
      </c>
      <c r="E26" s="87">
        <f>IFERROR(IF(IFERROR(MATCH(22,'كشف الحساب'!$N$4:$N$203,0),0)=0,"",INDEX('كشف الحساب'!$E$4:$E$203,IFERROR(MATCH(22,'كشف الحساب'!$N$4:$N$203,0),0))),"")</f>
        <v/>
      </c>
      <c r="F26" s="86">
        <f>IFERROR(IF(IFERROR(MATCH(22,'كشف الحساب'!$N$4:$N$203,0),0)=0,"",INDEX('كشف الحساب'!$F$4:$F$203,IFERROR(MATCH(22,'كشف الحساب'!$N$4:$N$203,0),0))),"")</f>
        <v/>
      </c>
      <c r="G26" s="86">
        <f>IFERROR(IF(IFERROR(MATCH(22,'كشف الحساب'!$N$4:$N$203,0),0)=0,"",INDEX('كشف الحساب'!$G$4:$G$203,IFERROR(MATCH(22,'كشف الحساب'!$N$4:$N$203,0),0))),"")</f>
        <v/>
      </c>
      <c r="H26" s="86">
        <f>IFERROR(IF(IFERROR(MATCH(22,'كشف الحساب'!$N$4:$N$203,0),0)=0,"",INDEX('كشف الحساب'!$H$4:$H$203,IFERROR(MATCH(22,'كشف الحساب'!$N$4:$N$203,0),0))),"")</f>
        <v/>
      </c>
      <c r="I26" s="86">
        <f>IFERROR(IF(IFERROR(MATCH(22,'كشف الحساب'!$N$4:$N$203,0),0)=0,"",INDEX('كشف الحساب'!$I$4:$I$203,IFERROR(MATCH(22,'كشف الحساب'!$N$4:$N$203,0),0))),"")</f>
        <v/>
      </c>
      <c r="J26" s="54">
        <f>IFERROR(IF(IFERROR(MATCH(22,'كشف الحساب'!$N$4:$N$203,0),0)=0,"",INDEX('كشف الحساب'!$J$4:$J$203,IFERROR(MATCH(22,'كشف الحساب'!$N$4:$N$203,0),0))),"")</f>
        <v/>
      </c>
      <c r="K26" s="86">
        <f>IFERROR(IF(IFERROR(MATCH(22,'كشف الحساب'!$N$4:$N$203,0),0)=0,"",INDEX('كشف الحساب'!$K$4:$K$203,IFERROR(MATCH(22,'كشف الحساب'!$N$4:$N$203,0),0))),"")</f>
        <v/>
      </c>
    </row>
    <row r="27" ht="16.5" customHeight="1" s="67">
      <c r="A27" s="150">
        <f>IFERROR(IF(IFERROR(MATCH(23,'كشف الحساب'!$N$4:$N$203,0),0)=0,"",INDEX('كشف الحساب'!$A$4:$A$203,IFERROR(MATCH(23,'كشف الحساب'!$N$4:$N$203,0),0))),"")</f>
        <v/>
      </c>
      <c r="B27" s="84">
        <f>IFERROR(IF(IFERROR(MATCH(23,'كشف الحساب'!$N$4:$N$203,0),0)=0,"",INDEX('كشف الحساب'!$B$4:$B$203,IFERROR(MATCH(23,'كشف الحساب'!$N$4:$N$203,0),0))),"")</f>
        <v/>
      </c>
      <c r="C27" s="58">
        <f>IFERROR(IF(IFERROR(MATCH(23,'كشف الحساب'!$N$4:$N$203,0),0)=0,"",INDEX('كشف الحساب'!$C$4:$C$203,IFERROR(MATCH(23,'كشف الحساب'!$N$4:$N$203,0),0))),"")</f>
        <v/>
      </c>
      <c r="D27" s="59">
        <f>IFERROR(IF(IFERROR(MATCH(23,'كشف الحساب'!$N$4:$N$203,0),0)=0,"",INDEX('كشف الحساب'!$D$4:$D$203,IFERROR(MATCH(23,'كشف الحساب'!$N$4:$N$203,0),0))),"")</f>
        <v/>
      </c>
      <c r="E27" s="85">
        <f>IFERROR(IF(IFERROR(MATCH(23,'كشف الحساب'!$N$4:$N$203,0),0)=0,"",INDEX('كشف الحساب'!$E$4:$E$203,IFERROR(MATCH(23,'كشف الحساب'!$N$4:$N$203,0),0))),"")</f>
        <v/>
      </c>
      <c r="F27" s="84">
        <f>IFERROR(IF(IFERROR(MATCH(23,'كشف الحساب'!$N$4:$N$203,0),0)=0,"",INDEX('كشف الحساب'!$F$4:$F$203,IFERROR(MATCH(23,'كشف الحساب'!$N$4:$N$203,0),0))),"")</f>
        <v/>
      </c>
      <c r="G27" s="84">
        <f>IFERROR(IF(IFERROR(MATCH(23,'كشف الحساب'!$N$4:$N$203,0),0)=0,"",INDEX('كشف الحساب'!$G$4:$G$203,IFERROR(MATCH(23,'كشف الحساب'!$N$4:$N$203,0),0))),"")</f>
        <v/>
      </c>
      <c r="H27" s="84">
        <f>IFERROR(IF(IFERROR(MATCH(23,'كشف الحساب'!$N$4:$N$203,0),0)=0,"",INDEX('كشف الحساب'!$H$4:$H$203,IFERROR(MATCH(23,'كشف الحساب'!$N$4:$N$203,0),0))),"")</f>
        <v/>
      </c>
      <c r="I27" s="84">
        <f>IFERROR(IF(IFERROR(MATCH(23,'كشف الحساب'!$N$4:$N$203,0),0)=0,"",INDEX('كشف الحساب'!$I$4:$I$203,IFERROR(MATCH(23,'كشف الحساب'!$N$4:$N$203,0),0))),"")</f>
        <v/>
      </c>
      <c r="J27" s="65">
        <f>IFERROR(IF(IFERROR(MATCH(23,'كشف الحساب'!$N$4:$N$203,0),0)=0,"",INDEX('كشف الحساب'!$J$4:$J$203,IFERROR(MATCH(23,'كشف الحساب'!$N$4:$N$203,0),0))),"")</f>
        <v/>
      </c>
      <c r="K27" s="84">
        <f>IFERROR(IF(IFERROR(MATCH(23,'كشف الحساب'!$N$4:$N$203,0),0)=0,"",INDEX('كشف الحساب'!$K$4:$K$203,IFERROR(MATCH(23,'كشف الحساب'!$N$4:$N$203,0),0))),"")</f>
        <v/>
      </c>
    </row>
    <row r="28" ht="16.5" customHeight="1" s="67">
      <c r="A28" s="45">
        <f>IFERROR(IF(IFERROR(MATCH(24,'كشف الحساب'!$N$4:$N$203,0),0)=0,"",INDEX('كشف الحساب'!$A$4:$A$203,IFERROR(MATCH(24,'كشف الحساب'!$N$4:$N$203,0),0))),"")</f>
        <v/>
      </c>
      <c r="B28" s="86">
        <f>IFERROR(IF(IFERROR(MATCH(24,'كشف الحساب'!$N$4:$N$203,0),0)=0,"",INDEX('كشف الحساب'!$B$4:$B$203,IFERROR(MATCH(24,'كشف الحساب'!$N$4:$N$203,0),0))),"")</f>
        <v/>
      </c>
      <c r="C28" s="47">
        <f>IFERROR(IF(IFERROR(MATCH(24,'كشف الحساب'!$N$4:$N$203,0),0)=0,"",INDEX('كشف الحساب'!$C$4:$C$203,IFERROR(MATCH(24,'كشف الحساب'!$N$4:$N$203,0),0))),"")</f>
        <v/>
      </c>
      <c r="D28" s="48">
        <f>IFERROR(IF(IFERROR(MATCH(24,'كشف الحساب'!$N$4:$N$203,0),0)=0,"",INDEX('كشف الحساب'!$D$4:$D$203,IFERROR(MATCH(24,'كشف الحساب'!$N$4:$N$203,0),0))),"")</f>
        <v/>
      </c>
      <c r="E28" s="87">
        <f>IFERROR(IF(IFERROR(MATCH(24,'كشف الحساب'!$N$4:$N$203,0),0)=0,"",INDEX('كشف الحساب'!$E$4:$E$203,IFERROR(MATCH(24,'كشف الحساب'!$N$4:$N$203,0),0))),"")</f>
        <v/>
      </c>
      <c r="F28" s="86">
        <f>IFERROR(IF(IFERROR(MATCH(24,'كشف الحساب'!$N$4:$N$203,0),0)=0,"",INDEX('كشف الحساب'!$F$4:$F$203,IFERROR(MATCH(24,'كشف الحساب'!$N$4:$N$203,0),0))),"")</f>
        <v/>
      </c>
      <c r="G28" s="86">
        <f>IFERROR(IF(IFERROR(MATCH(24,'كشف الحساب'!$N$4:$N$203,0),0)=0,"",INDEX('كشف الحساب'!$G$4:$G$203,IFERROR(MATCH(24,'كشف الحساب'!$N$4:$N$203,0),0))),"")</f>
        <v/>
      </c>
      <c r="H28" s="86">
        <f>IFERROR(IF(IFERROR(MATCH(24,'كشف الحساب'!$N$4:$N$203,0),0)=0,"",INDEX('كشف الحساب'!$H$4:$H$203,IFERROR(MATCH(24,'كشف الحساب'!$N$4:$N$203,0),0))),"")</f>
        <v/>
      </c>
      <c r="I28" s="86">
        <f>IFERROR(IF(IFERROR(MATCH(24,'كشف الحساب'!$N$4:$N$203,0),0)=0,"",INDEX('كشف الحساب'!$I$4:$I$203,IFERROR(MATCH(24,'كشف الحساب'!$N$4:$N$203,0),0))),"")</f>
        <v/>
      </c>
      <c r="J28" s="54">
        <f>IFERROR(IF(IFERROR(MATCH(24,'كشف الحساب'!$N$4:$N$203,0),0)=0,"",INDEX('كشف الحساب'!$J$4:$J$203,IFERROR(MATCH(24,'كشف الحساب'!$N$4:$N$203,0),0))),"")</f>
        <v/>
      </c>
      <c r="K28" s="86">
        <f>IFERROR(IF(IFERROR(MATCH(24,'كشف الحساب'!$N$4:$N$203,0),0)=0,"",INDEX('كشف الحساب'!$K$4:$K$203,IFERROR(MATCH(24,'كشف الحساب'!$N$4:$N$203,0),0))),"")</f>
        <v/>
      </c>
    </row>
    <row r="29" ht="16.5" customHeight="1" s="67">
      <c r="A29" s="150">
        <f>IFERROR(IF(IFERROR(MATCH(25,'كشف الحساب'!$N$4:$N$203,0),0)=0,"",INDEX('كشف الحساب'!$A$4:$A$203,IFERROR(MATCH(25,'كشف الحساب'!$N$4:$N$203,0),0))),"")</f>
        <v/>
      </c>
      <c r="B29" s="84">
        <f>IFERROR(IF(IFERROR(MATCH(25,'كشف الحساب'!$N$4:$N$203,0),0)=0,"",INDEX('كشف الحساب'!$B$4:$B$203,IFERROR(MATCH(25,'كشف الحساب'!$N$4:$N$203,0),0))),"")</f>
        <v/>
      </c>
      <c r="C29" s="58">
        <f>IFERROR(IF(IFERROR(MATCH(25,'كشف الحساب'!$N$4:$N$203,0),0)=0,"",INDEX('كشف الحساب'!$C$4:$C$203,IFERROR(MATCH(25,'كشف الحساب'!$N$4:$N$203,0),0))),"")</f>
        <v/>
      </c>
      <c r="D29" s="59">
        <f>IFERROR(IF(IFERROR(MATCH(25,'كشف الحساب'!$N$4:$N$203,0),0)=0,"",INDEX('كشف الحساب'!$D$4:$D$203,IFERROR(MATCH(25,'كشف الحساب'!$N$4:$N$203,0),0))),"")</f>
        <v/>
      </c>
      <c r="E29" s="85">
        <f>IFERROR(IF(IFERROR(MATCH(25,'كشف الحساب'!$N$4:$N$203,0),0)=0,"",INDEX('كشف الحساب'!$E$4:$E$203,IFERROR(MATCH(25,'كشف الحساب'!$N$4:$N$203,0),0))),"")</f>
        <v/>
      </c>
      <c r="F29" s="84">
        <f>IFERROR(IF(IFERROR(MATCH(25,'كشف الحساب'!$N$4:$N$203,0),0)=0,"",INDEX('كشف الحساب'!$F$4:$F$203,IFERROR(MATCH(25,'كشف الحساب'!$N$4:$N$203,0),0))),"")</f>
        <v/>
      </c>
      <c r="G29" s="84">
        <f>IFERROR(IF(IFERROR(MATCH(25,'كشف الحساب'!$N$4:$N$203,0),0)=0,"",INDEX('كشف الحساب'!$G$4:$G$203,IFERROR(MATCH(25,'كشف الحساب'!$N$4:$N$203,0),0))),"")</f>
        <v/>
      </c>
      <c r="H29" s="84">
        <f>IFERROR(IF(IFERROR(MATCH(25,'كشف الحساب'!$N$4:$N$203,0),0)=0,"",INDEX('كشف الحساب'!$H$4:$H$203,IFERROR(MATCH(25,'كشف الحساب'!$N$4:$N$203,0),0))),"")</f>
        <v/>
      </c>
      <c r="I29" s="84">
        <f>IFERROR(IF(IFERROR(MATCH(25,'كشف الحساب'!$N$4:$N$203,0),0)=0,"",INDEX('كشف الحساب'!$I$4:$I$203,IFERROR(MATCH(25,'كشف الحساب'!$N$4:$N$203,0),0))),"")</f>
        <v/>
      </c>
      <c r="J29" s="65">
        <f>IFERROR(IF(IFERROR(MATCH(25,'كشف الحساب'!$N$4:$N$203,0),0)=0,"",INDEX('كشف الحساب'!$J$4:$J$203,IFERROR(MATCH(25,'كشف الحساب'!$N$4:$N$203,0),0))),"")</f>
        <v/>
      </c>
      <c r="K29" s="84">
        <f>IFERROR(IF(IFERROR(MATCH(25,'كشف الحساب'!$N$4:$N$203,0),0)=0,"",INDEX('كشف الحساب'!$K$4:$K$203,IFERROR(MATCH(25,'كشف الحساب'!$N$4:$N$203,0),0))),"")</f>
        <v/>
      </c>
    </row>
    <row r="30" ht="16.5" customHeight="1" s="67">
      <c r="A30" s="45">
        <f>IFERROR(IF(IFERROR(MATCH(26,'كشف الحساب'!$N$4:$N$203,0),0)=0,"",INDEX('كشف الحساب'!$A$4:$A$203,IFERROR(MATCH(26,'كشف الحساب'!$N$4:$N$203,0),0))),"")</f>
        <v/>
      </c>
      <c r="B30" s="86">
        <f>IFERROR(IF(IFERROR(MATCH(26,'كشف الحساب'!$N$4:$N$203,0),0)=0,"",INDEX('كشف الحساب'!$B$4:$B$203,IFERROR(MATCH(26,'كشف الحساب'!$N$4:$N$203,0),0))),"")</f>
        <v/>
      </c>
      <c r="C30" s="47">
        <f>IFERROR(IF(IFERROR(MATCH(26,'كشف الحساب'!$N$4:$N$203,0),0)=0,"",INDEX('كشف الحساب'!$C$4:$C$203,IFERROR(MATCH(26,'كشف الحساب'!$N$4:$N$203,0),0))),"")</f>
        <v/>
      </c>
      <c r="D30" s="48">
        <f>IFERROR(IF(IFERROR(MATCH(26,'كشف الحساب'!$N$4:$N$203,0),0)=0,"",INDEX('كشف الحساب'!$D$4:$D$203,IFERROR(MATCH(26,'كشف الحساب'!$N$4:$N$203,0),0))),"")</f>
        <v/>
      </c>
      <c r="E30" s="87">
        <f>IFERROR(IF(IFERROR(MATCH(26,'كشف الحساب'!$N$4:$N$203,0),0)=0,"",INDEX('كشف الحساب'!$E$4:$E$203,IFERROR(MATCH(26,'كشف الحساب'!$N$4:$N$203,0),0))),"")</f>
        <v/>
      </c>
      <c r="F30" s="86">
        <f>IFERROR(IF(IFERROR(MATCH(26,'كشف الحساب'!$N$4:$N$203,0),0)=0,"",INDEX('كشف الحساب'!$F$4:$F$203,IFERROR(MATCH(26,'كشف الحساب'!$N$4:$N$203,0),0))),"")</f>
        <v/>
      </c>
      <c r="G30" s="86">
        <f>IFERROR(IF(IFERROR(MATCH(26,'كشف الحساب'!$N$4:$N$203,0),0)=0,"",INDEX('كشف الحساب'!$G$4:$G$203,IFERROR(MATCH(26,'كشف الحساب'!$N$4:$N$203,0),0))),"")</f>
        <v/>
      </c>
      <c r="H30" s="86">
        <f>IFERROR(IF(IFERROR(MATCH(26,'كشف الحساب'!$N$4:$N$203,0),0)=0,"",INDEX('كشف الحساب'!$H$4:$H$203,IFERROR(MATCH(26,'كشف الحساب'!$N$4:$N$203,0),0))),"")</f>
        <v/>
      </c>
      <c r="I30" s="86">
        <f>IFERROR(IF(IFERROR(MATCH(26,'كشف الحساب'!$N$4:$N$203,0),0)=0,"",INDEX('كشف الحساب'!$I$4:$I$203,IFERROR(MATCH(26,'كشف الحساب'!$N$4:$N$203,0),0))),"")</f>
        <v/>
      </c>
      <c r="J30" s="54">
        <f>IFERROR(IF(IFERROR(MATCH(26,'كشف الحساب'!$N$4:$N$203,0),0)=0,"",INDEX('كشف الحساب'!$J$4:$J$203,IFERROR(MATCH(26,'كشف الحساب'!$N$4:$N$203,0),0))),"")</f>
        <v/>
      </c>
      <c r="K30" s="86">
        <f>IFERROR(IF(IFERROR(MATCH(26,'كشف الحساب'!$N$4:$N$203,0),0)=0,"",INDEX('كشف الحساب'!$K$4:$K$203,IFERROR(MATCH(26,'كشف الحساب'!$N$4:$N$203,0),0))),"")</f>
        <v/>
      </c>
    </row>
    <row r="31" ht="16.5" customHeight="1" s="67">
      <c r="A31" s="150">
        <f>IFERROR(IF(IFERROR(MATCH(27,'كشف الحساب'!$N$4:$N$203,0),0)=0,"",INDEX('كشف الحساب'!$A$4:$A$203,IFERROR(MATCH(27,'كشف الحساب'!$N$4:$N$203,0),0))),"")</f>
        <v/>
      </c>
      <c r="B31" s="84">
        <f>IFERROR(IF(IFERROR(MATCH(27,'كشف الحساب'!$N$4:$N$203,0),0)=0,"",INDEX('كشف الحساب'!$B$4:$B$203,IFERROR(MATCH(27,'كشف الحساب'!$N$4:$N$203,0),0))),"")</f>
        <v/>
      </c>
      <c r="C31" s="58">
        <f>IFERROR(IF(IFERROR(MATCH(27,'كشف الحساب'!$N$4:$N$203,0),0)=0,"",INDEX('كشف الحساب'!$C$4:$C$203,IFERROR(MATCH(27,'كشف الحساب'!$N$4:$N$203,0),0))),"")</f>
        <v/>
      </c>
      <c r="D31" s="59">
        <f>IFERROR(IF(IFERROR(MATCH(27,'كشف الحساب'!$N$4:$N$203,0),0)=0,"",INDEX('كشف الحساب'!$D$4:$D$203,IFERROR(MATCH(27,'كشف الحساب'!$N$4:$N$203,0),0))),"")</f>
        <v/>
      </c>
      <c r="E31" s="85">
        <f>IFERROR(IF(IFERROR(MATCH(27,'كشف الحساب'!$N$4:$N$203,0),0)=0,"",INDEX('كشف الحساب'!$E$4:$E$203,IFERROR(MATCH(27,'كشف الحساب'!$N$4:$N$203,0),0))),"")</f>
        <v/>
      </c>
      <c r="F31" s="84">
        <f>IFERROR(IF(IFERROR(MATCH(27,'كشف الحساب'!$N$4:$N$203,0),0)=0,"",INDEX('كشف الحساب'!$F$4:$F$203,IFERROR(MATCH(27,'كشف الحساب'!$N$4:$N$203,0),0))),"")</f>
        <v/>
      </c>
      <c r="G31" s="84">
        <f>IFERROR(IF(IFERROR(MATCH(27,'كشف الحساب'!$N$4:$N$203,0),0)=0,"",INDEX('كشف الحساب'!$G$4:$G$203,IFERROR(MATCH(27,'كشف الحساب'!$N$4:$N$203,0),0))),"")</f>
        <v/>
      </c>
      <c r="H31" s="84">
        <f>IFERROR(IF(IFERROR(MATCH(27,'كشف الحساب'!$N$4:$N$203,0),0)=0,"",INDEX('كشف الحساب'!$H$4:$H$203,IFERROR(MATCH(27,'كشف الحساب'!$N$4:$N$203,0),0))),"")</f>
        <v/>
      </c>
      <c r="I31" s="84">
        <f>IFERROR(IF(IFERROR(MATCH(27,'كشف الحساب'!$N$4:$N$203,0),0)=0,"",INDEX('كشف الحساب'!$I$4:$I$203,IFERROR(MATCH(27,'كشف الحساب'!$N$4:$N$203,0),0))),"")</f>
        <v/>
      </c>
      <c r="J31" s="65">
        <f>IFERROR(IF(IFERROR(MATCH(27,'كشف الحساب'!$N$4:$N$203,0),0)=0,"",INDEX('كشف الحساب'!$J$4:$J$203,IFERROR(MATCH(27,'كشف الحساب'!$N$4:$N$203,0),0))),"")</f>
        <v/>
      </c>
      <c r="K31" s="84">
        <f>IFERROR(IF(IFERROR(MATCH(27,'كشف الحساب'!$N$4:$N$203,0),0)=0,"",INDEX('كشف الحساب'!$K$4:$K$203,IFERROR(MATCH(27,'كشف الحساب'!$N$4:$N$203,0),0))),"")</f>
        <v/>
      </c>
    </row>
    <row r="32" ht="16.5" customHeight="1" s="67">
      <c r="A32" s="45">
        <f>IFERROR(IF(IFERROR(MATCH(28,'كشف الحساب'!$N$4:$N$203,0),0)=0,"",INDEX('كشف الحساب'!$A$4:$A$203,IFERROR(MATCH(28,'كشف الحساب'!$N$4:$N$203,0),0))),"")</f>
        <v/>
      </c>
      <c r="B32" s="86">
        <f>IFERROR(IF(IFERROR(MATCH(28,'كشف الحساب'!$N$4:$N$203,0),0)=0,"",INDEX('كشف الحساب'!$B$4:$B$203,IFERROR(MATCH(28,'كشف الحساب'!$N$4:$N$203,0),0))),"")</f>
        <v/>
      </c>
      <c r="C32" s="47">
        <f>IFERROR(IF(IFERROR(MATCH(28,'كشف الحساب'!$N$4:$N$203,0),0)=0,"",INDEX('كشف الحساب'!$C$4:$C$203,IFERROR(MATCH(28,'كشف الحساب'!$N$4:$N$203,0),0))),"")</f>
        <v/>
      </c>
      <c r="D32" s="48">
        <f>IFERROR(IF(IFERROR(MATCH(28,'كشف الحساب'!$N$4:$N$203,0),0)=0,"",INDEX('كشف الحساب'!$D$4:$D$203,IFERROR(MATCH(28,'كشف الحساب'!$N$4:$N$203,0),0))),"")</f>
        <v/>
      </c>
      <c r="E32" s="87">
        <f>IFERROR(IF(IFERROR(MATCH(28,'كشف الحساب'!$N$4:$N$203,0),0)=0,"",INDEX('كشف الحساب'!$E$4:$E$203,IFERROR(MATCH(28,'كشف الحساب'!$N$4:$N$203,0),0))),"")</f>
        <v/>
      </c>
      <c r="F32" s="86">
        <f>IFERROR(IF(IFERROR(MATCH(28,'كشف الحساب'!$N$4:$N$203,0),0)=0,"",INDEX('كشف الحساب'!$F$4:$F$203,IFERROR(MATCH(28,'كشف الحساب'!$N$4:$N$203,0),0))),"")</f>
        <v/>
      </c>
      <c r="G32" s="86">
        <f>IFERROR(IF(IFERROR(MATCH(28,'كشف الحساب'!$N$4:$N$203,0),0)=0,"",INDEX('كشف الحساب'!$G$4:$G$203,IFERROR(MATCH(28,'كشف الحساب'!$N$4:$N$203,0),0))),"")</f>
        <v/>
      </c>
      <c r="H32" s="86">
        <f>IFERROR(IF(IFERROR(MATCH(28,'كشف الحساب'!$N$4:$N$203,0),0)=0,"",INDEX('كشف الحساب'!$H$4:$H$203,IFERROR(MATCH(28,'كشف الحساب'!$N$4:$N$203,0),0))),"")</f>
        <v/>
      </c>
      <c r="I32" s="86">
        <f>IFERROR(IF(IFERROR(MATCH(28,'كشف الحساب'!$N$4:$N$203,0),0)=0,"",INDEX('كشف الحساب'!$I$4:$I$203,IFERROR(MATCH(28,'كشف الحساب'!$N$4:$N$203,0),0))),"")</f>
        <v/>
      </c>
      <c r="J32" s="54">
        <f>IFERROR(IF(IFERROR(MATCH(28,'كشف الحساب'!$N$4:$N$203,0),0)=0,"",INDEX('كشف الحساب'!$J$4:$J$203,IFERROR(MATCH(28,'كشف الحساب'!$N$4:$N$203,0),0))),"")</f>
        <v/>
      </c>
      <c r="K32" s="86">
        <f>IFERROR(IF(IFERROR(MATCH(28,'كشف الحساب'!$N$4:$N$203,0),0)=0,"",INDEX('كشف الحساب'!$K$4:$K$203,IFERROR(MATCH(28,'كشف الحساب'!$N$4:$N$203,0),0))),"")</f>
        <v/>
      </c>
    </row>
    <row r="33" ht="16.5" customHeight="1" s="67">
      <c r="A33" s="150">
        <f>IFERROR(IF(IFERROR(MATCH(29,'كشف الحساب'!$N$4:$N$203,0),0)=0,"",INDEX('كشف الحساب'!$A$4:$A$203,IFERROR(MATCH(29,'كشف الحساب'!$N$4:$N$203,0),0))),"")</f>
        <v/>
      </c>
      <c r="B33" s="84">
        <f>IFERROR(IF(IFERROR(MATCH(29,'كشف الحساب'!$N$4:$N$203,0),0)=0,"",INDEX('كشف الحساب'!$B$4:$B$203,IFERROR(MATCH(29,'كشف الحساب'!$N$4:$N$203,0),0))),"")</f>
        <v/>
      </c>
      <c r="C33" s="58">
        <f>IFERROR(IF(IFERROR(MATCH(29,'كشف الحساب'!$N$4:$N$203,0),0)=0,"",INDEX('كشف الحساب'!$C$4:$C$203,IFERROR(MATCH(29,'كشف الحساب'!$N$4:$N$203,0),0))),"")</f>
        <v/>
      </c>
      <c r="D33" s="59">
        <f>IFERROR(IF(IFERROR(MATCH(29,'كشف الحساب'!$N$4:$N$203,0),0)=0,"",INDEX('كشف الحساب'!$D$4:$D$203,IFERROR(MATCH(29,'كشف الحساب'!$N$4:$N$203,0),0))),"")</f>
        <v/>
      </c>
      <c r="E33" s="85">
        <f>IFERROR(IF(IFERROR(MATCH(29,'كشف الحساب'!$N$4:$N$203,0),0)=0,"",INDEX('كشف الحساب'!$E$4:$E$203,IFERROR(MATCH(29,'كشف الحساب'!$N$4:$N$203,0),0))),"")</f>
        <v/>
      </c>
      <c r="F33" s="84">
        <f>IFERROR(IF(IFERROR(MATCH(29,'كشف الحساب'!$N$4:$N$203,0),0)=0,"",INDEX('كشف الحساب'!$F$4:$F$203,IFERROR(MATCH(29,'كشف الحساب'!$N$4:$N$203,0),0))),"")</f>
        <v/>
      </c>
      <c r="G33" s="84">
        <f>IFERROR(IF(IFERROR(MATCH(29,'كشف الحساب'!$N$4:$N$203,0),0)=0,"",INDEX('كشف الحساب'!$G$4:$G$203,IFERROR(MATCH(29,'كشف الحساب'!$N$4:$N$203,0),0))),"")</f>
        <v/>
      </c>
      <c r="H33" s="84">
        <f>IFERROR(IF(IFERROR(MATCH(29,'كشف الحساب'!$N$4:$N$203,0),0)=0,"",INDEX('كشف الحساب'!$H$4:$H$203,IFERROR(MATCH(29,'كشف الحساب'!$N$4:$N$203,0),0))),"")</f>
        <v/>
      </c>
      <c r="I33" s="84">
        <f>IFERROR(IF(IFERROR(MATCH(29,'كشف الحساب'!$N$4:$N$203,0),0)=0,"",INDEX('كشف الحساب'!$I$4:$I$203,IFERROR(MATCH(29,'كشف الحساب'!$N$4:$N$203,0),0))),"")</f>
        <v/>
      </c>
      <c r="J33" s="65">
        <f>IFERROR(IF(IFERROR(MATCH(29,'كشف الحساب'!$N$4:$N$203,0),0)=0,"",INDEX('كشف الحساب'!$J$4:$J$203,IFERROR(MATCH(29,'كشف الحساب'!$N$4:$N$203,0),0))),"")</f>
        <v/>
      </c>
      <c r="K33" s="84">
        <f>IFERROR(IF(IFERROR(MATCH(29,'كشف الحساب'!$N$4:$N$203,0),0)=0,"",INDEX('كشف الحساب'!$K$4:$K$203,IFERROR(MATCH(29,'كشف الحساب'!$N$4:$N$203,0),0))),"")</f>
        <v/>
      </c>
    </row>
    <row r="34" ht="16.5" customHeight="1" s="67">
      <c r="A34" s="45">
        <f>IFERROR(IF(IFERROR(MATCH(30,'كشف الحساب'!$N$4:$N$203,0),0)=0,"",INDEX('كشف الحساب'!$A$4:$A$203,IFERROR(MATCH(30,'كشف الحساب'!$N$4:$N$203,0),0))),"")</f>
        <v/>
      </c>
      <c r="B34" s="86">
        <f>IFERROR(IF(IFERROR(MATCH(30,'كشف الحساب'!$N$4:$N$203,0),0)=0,"",INDEX('كشف الحساب'!$B$4:$B$203,IFERROR(MATCH(30,'كشف الحساب'!$N$4:$N$203,0),0))),"")</f>
        <v/>
      </c>
      <c r="C34" s="47">
        <f>IFERROR(IF(IFERROR(MATCH(30,'كشف الحساب'!$N$4:$N$203,0),0)=0,"",INDEX('كشف الحساب'!$C$4:$C$203,IFERROR(MATCH(30,'كشف الحساب'!$N$4:$N$203,0),0))),"")</f>
        <v/>
      </c>
      <c r="D34" s="48">
        <f>IFERROR(IF(IFERROR(MATCH(30,'كشف الحساب'!$N$4:$N$203,0),0)=0,"",INDEX('كشف الحساب'!$D$4:$D$203,IFERROR(MATCH(30,'كشف الحساب'!$N$4:$N$203,0),0))),"")</f>
        <v/>
      </c>
      <c r="E34" s="87">
        <f>IFERROR(IF(IFERROR(MATCH(30,'كشف الحساب'!$N$4:$N$203,0),0)=0,"",INDEX('كشف الحساب'!$E$4:$E$203,IFERROR(MATCH(30,'كشف الحساب'!$N$4:$N$203,0),0))),"")</f>
        <v/>
      </c>
      <c r="F34" s="86">
        <f>IFERROR(IF(IFERROR(MATCH(30,'كشف الحساب'!$N$4:$N$203,0),0)=0,"",INDEX('كشف الحساب'!$F$4:$F$203,IFERROR(MATCH(30,'كشف الحساب'!$N$4:$N$203,0),0))),"")</f>
        <v/>
      </c>
      <c r="G34" s="86">
        <f>IFERROR(IF(IFERROR(MATCH(30,'كشف الحساب'!$N$4:$N$203,0),0)=0,"",INDEX('كشف الحساب'!$G$4:$G$203,IFERROR(MATCH(30,'كشف الحساب'!$N$4:$N$203,0),0))),"")</f>
        <v/>
      </c>
      <c r="H34" s="86">
        <f>IFERROR(IF(IFERROR(MATCH(30,'كشف الحساب'!$N$4:$N$203,0),0)=0,"",INDEX('كشف الحساب'!$H$4:$H$203,IFERROR(MATCH(30,'كشف الحساب'!$N$4:$N$203,0),0))),"")</f>
        <v/>
      </c>
      <c r="I34" s="86">
        <f>IFERROR(IF(IFERROR(MATCH(30,'كشف الحساب'!$N$4:$N$203,0),0)=0,"",INDEX('كشف الحساب'!$I$4:$I$203,IFERROR(MATCH(30,'كشف الحساب'!$N$4:$N$203,0),0))),"")</f>
        <v/>
      </c>
      <c r="J34" s="54">
        <f>IFERROR(IF(IFERROR(MATCH(30,'كشف الحساب'!$N$4:$N$203,0),0)=0,"",INDEX('كشف الحساب'!$J$4:$J$203,IFERROR(MATCH(30,'كشف الحساب'!$N$4:$N$203,0),0))),"")</f>
        <v/>
      </c>
      <c r="K34" s="86">
        <f>IFERROR(IF(IFERROR(MATCH(30,'كشف الحساب'!$N$4:$N$203,0),0)=0,"",INDEX('كشف الحساب'!$K$4:$K$203,IFERROR(MATCH(30,'كشف الحساب'!$N$4:$N$203,0),0))),"")</f>
        <v/>
      </c>
    </row>
    <row r="35" ht="15" customHeight="1" s="67">
      <c r="A35" s="88">
        <f>IFERROR(IF(IFERROR(MATCH(31,'كشف الحساب'!$N$4:$N$203,0),0)=0,"",INDEX('كشف الحساب'!$A$4:$A$203,IFERROR(MATCH(31,'كشف الحساب'!$N$4:$N$203,0),0))),"")</f>
        <v/>
      </c>
      <c r="B35" s="89">
        <f>IFERROR(IF(IFERROR(MATCH(31,'كشف الحساب'!$N$4:$N$203,0),0)=0,"",INDEX('كشف الحساب'!$B$4:$B$203,IFERROR(MATCH(31,'كشف الحساب'!$N$4:$N$203,0),0))),"")</f>
        <v/>
      </c>
      <c r="C35" s="90">
        <f>IFERROR(IF(IFERROR(MATCH(31,'كشف الحساب'!$N$4:$N$203,0),0)=0,"",INDEX('كشف الحساب'!$C$4:$C$203,IFERROR(MATCH(31,'كشف الحساب'!$N$4:$N$203,0),0))),"")</f>
        <v/>
      </c>
      <c r="D35" s="91">
        <f>IFERROR(IF(IFERROR(MATCH(31,'كشف الحساب'!$N$4:$N$203,0),0)=0,"",INDEX('كشف الحساب'!$D$4:$D$203,IFERROR(MATCH(31,'كشف الحساب'!$N$4:$N$203,0),0))),"")</f>
        <v/>
      </c>
      <c r="E35" s="92">
        <f>IFERROR(IF(IFERROR(MATCH(31,'كشف الحساب'!$N$4:$N$203,0),0)=0,"",INDEX('كشف الحساب'!$E$4:$E$203,IFERROR(MATCH(31,'كشف الحساب'!$N$4:$N$203,0),0))),"")</f>
        <v/>
      </c>
      <c r="F35" s="89">
        <f>IFERROR(IF(IFERROR(MATCH(31,'كشف الحساب'!$N$4:$N$203,0),0)=0,"",INDEX('كشف الحساب'!$F$4:$F$203,IFERROR(MATCH(31,'كشف الحساب'!$N$4:$N$203,0),0))),"")</f>
        <v/>
      </c>
      <c r="G35" s="89">
        <f>IFERROR(IF(IFERROR(MATCH(31,'كشف الحساب'!$N$4:$N$203,0),0)=0,"",INDEX('كشف الحساب'!$G$4:$G$203,IFERROR(MATCH(31,'كشف الحساب'!$N$4:$N$203,0),0))),"")</f>
        <v/>
      </c>
      <c r="H35" s="89">
        <f>IFERROR(IF(IFERROR(MATCH(31,'كشف الحساب'!$N$4:$N$203,0),0)=0,"",INDEX('كشف الحساب'!$H$4:$H$203,IFERROR(MATCH(31,'كشف الحساب'!$N$4:$N$203,0),0))),"")</f>
        <v/>
      </c>
      <c r="I35" s="89">
        <f>IFERROR(IF(IFERROR(MATCH(31,'كشف الحساب'!$N$4:$N$203,0),0)=0,"",INDEX('كشف الحساب'!$I$4:$I$203,IFERROR(MATCH(31,'كشف الحساب'!$N$4:$N$203,0),0))),"")</f>
        <v/>
      </c>
      <c r="J35" s="93">
        <f>IFERROR(IF(IFERROR(MATCH(31,'كشف الحساب'!$N$4:$N$203,0),0)=0,"",INDEX('كشف الحساب'!$J$4:$J$203,IFERROR(MATCH(31,'كشف الحساب'!$N$4:$N$203,0),0))),"")</f>
        <v/>
      </c>
      <c r="K35" s="89">
        <f>IFERROR(IF(IFERROR(MATCH(31,'كشف الحساب'!$N$4:$N$203,0),0)=0,"",INDEX('كشف الحساب'!$K$4:$K$203,IFERROR(MATCH(31,'كشف الحساب'!$N$4:$N$203,0),0))),"")</f>
        <v/>
      </c>
    </row>
    <row r="36" ht="15" customHeight="1" s="67">
      <c r="A36" s="94">
        <f>IFERROR(IF(IFERROR(MATCH(32,'كشف الحساب'!$N$4:$N$203,0),0)=0,"",INDEX('كشف الحساب'!$A$4:$A$203,IFERROR(MATCH(32,'كشف الحساب'!$N$4:$N$203,0),0))),"")</f>
        <v/>
      </c>
      <c r="B36" s="95">
        <f>IFERROR(IF(IFERROR(MATCH(32,'كشف الحساب'!$N$4:$N$203,0),0)=0,"",INDEX('كشف الحساب'!$B$4:$B$203,IFERROR(MATCH(32,'كشف الحساب'!$N$4:$N$203,0),0))),"")</f>
        <v/>
      </c>
      <c r="C36" s="96">
        <f>IFERROR(IF(IFERROR(MATCH(32,'كشف الحساب'!$N$4:$N$203,0),0)=0,"",INDEX('كشف الحساب'!$C$4:$C$203,IFERROR(MATCH(32,'كشف الحساب'!$N$4:$N$203,0),0))),"")</f>
        <v/>
      </c>
      <c r="D36" s="97">
        <f>IFERROR(IF(IFERROR(MATCH(32,'كشف الحساب'!$N$4:$N$203,0),0)=0,"",INDEX('كشف الحساب'!$D$4:$D$203,IFERROR(MATCH(32,'كشف الحساب'!$N$4:$N$203,0),0))),"")</f>
        <v/>
      </c>
      <c r="E36" s="98">
        <f>IFERROR(IF(IFERROR(MATCH(32,'كشف الحساب'!$N$4:$N$203,0),0)=0,"",INDEX('كشف الحساب'!$E$4:$E$203,IFERROR(MATCH(32,'كشف الحساب'!$N$4:$N$203,0),0))),"")</f>
        <v/>
      </c>
      <c r="F36" s="95">
        <f>IFERROR(IF(IFERROR(MATCH(32,'كشف الحساب'!$N$4:$N$203,0),0)=0,"",INDEX('كشف الحساب'!$F$4:$F$203,IFERROR(MATCH(32,'كشف الحساب'!$N$4:$N$203,0),0))),"")</f>
        <v/>
      </c>
      <c r="G36" s="95">
        <f>IFERROR(IF(IFERROR(MATCH(32,'كشف الحساب'!$N$4:$N$203,0),0)=0,"",INDEX('كشف الحساب'!$G$4:$G$203,IFERROR(MATCH(32,'كشف الحساب'!$N$4:$N$203,0),0))),"")</f>
        <v/>
      </c>
      <c r="H36" s="95">
        <f>IFERROR(IF(IFERROR(MATCH(32,'كشف الحساب'!$N$4:$N$203,0),0)=0,"",INDEX('كشف الحساب'!$H$4:$H$203,IFERROR(MATCH(32,'كشف الحساب'!$N$4:$N$203,0),0))),"")</f>
        <v/>
      </c>
      <c r="I36" s="95">
        <f>IFERROR(IF(IFERROR(MATCH(32,'كشف الحساب'!$N$4:$N$203,0),0)=0,"",INDEX('كشف الحساب'!$I$4:$I$203,IFERROR(MATCH(32,'كشف الحساب'!$N$4:$N$203,0),0))),"")</f>
        <v/>
      </c>
      <c r="J36" s="99">
        <f>IFERROR(IF(IFERROR(MATCH(32,'كشف الحساب'!$N$4:$N$203,0),0)=0,"",INDEX('كشف الحساب'!$J$4:$J$203,IFERROR(MATCH(32,'كشف الحساب'!$N$4:$N$203,0),0))),"")</f>
        <v/>
      </c>
      <c r="K36" s="95">
        <f>IFERROR(IF(IFERROR(MATCH(32,'كشف الحساب'!$N$4:$N$203,0),0)=0,"",INDEX('كشف الحساب'!$K$4:$K$203,IFERROR(MATCH(32,'كشف الحساب'!$N$4:$N$203,0),0))),"")</f>
        <v/>
      </c>
    </row>
    <row r="37" ht="15" customHeight="1" s="67">
      <c r="A37" s="88">
        <f>IFERROR(IF(IFERROR(MATCH(33,'كشف الحساب'!$N$4:$N$203,0),0)=0,"",INDEX('كشف الحساب'!$A$4:$A$203,IFERROR(MATCH(33,'كشف الحساب'!$N$4:$N$203,0),0))),"")</f>
        <v/>
      </c>
      <c r="B37" s="89">
        <f>IFERROR(IF(IFERROR(MATCH(33,'كشف الحساب'!$N$4:$N$203,0),0)=0,"",INDEX('كشف الحساب'!$B$4:$B$203,IFERROR(MATCH(33,'كشف الحساب'!$N$4:$N$203,0),0))),"")</f>
        <v/>
      </c>
      <c r="C37" s="90">
        <f>IFERROR(IF(IFERROR(MATCH(33,'كشف الحساب'!$N$4:$N$203,0),0)=0,"",INDEX('كشف الحساب'!$C$4:$C$203,IFERROR(MATCH(33,'كشف الحساب'!$N$4:$N$203,0),0))),"")</f>
        <v/>
      </c>
      <c r="D37" s="91">
        <f>IFERROR(IF(IFERROR(MATCH(33,'كشف الحساب'!$N$4:$N$203,0),0)=0,"",INDEX('كشف الحساب'!$D$4:$D$203,IFERROR(MATCH(33,'كشف الحساب'!$N$4:$N$203,0),0))),"")</f>
        <v/>
      </c>
      <c r="E37" s="92">
        <f>IFERROR(IF(IFERROR(MATCH(33,'كشف الحساب'!$N$4:$N$203,0),0)=0,"",INDEX('كشف الحساب'!$E$4:$E$203,IFERROR(MATCH(33,'كشف الحساب'!$N$4:$N$203,0),0))),"")</f>
        <v/>
      </c>
      <c r="F37" s="89">
        <f>IFERROR(IF(IFERROR(MATCH(33,'كشف الحساب'!$N$4:$N$203,0),0)=0,"",INDEX('كشف الحساب'!$F$4:$F$203,IFERROR(MATCH(33,'كشف الحساب'!$N$4:$N$203,0),0))),"")</f>
        <v/>
      </c>
      <c r="G37" s="89">
        <f>IFERROR(IF(IFERROR(MATCH(33,'كشف الحساب'!$N$4:$N$203,0),0)=0,"",INDEX('كشف الحساب'!$G$4:$G$203,IFERROR(MATCH(33,'كشف الحساب'!$N$4:$N$203,0),0))),"")</f>
        <v/>
      </c>
      <c r="H37" s="89">
        <f>IFERROR(IF(IFERROR(MATCH(33,'كشف الحساب'!$N$4:$N$203,0),0)=0,"",INDEX('كشف الحساب'!$H$4:$H$203,IFERROR(MATCH(33,'كشف الحساب'!$N$4:$N$203,0),0))),"")</f>
        <v/>
      </c>
      <c r="I37" s="89">
        <f>IFERROR(IF(IFERROR(MATCH(33,'كشف الحساب'!$N$4:$N$203,0),0)=0,"",INDEX('كشف الحساب'!$I$4:$I$203,IFERROR(MATCH(33,'كشف الحساب'!$N$4:$N$203,0),0))),"")</f>
        <v/>
      </c>
      <c r="J37" s="93">
        <f>IFERROR(IF(IFERROR(MATCH(33,'كشف الحساب'!$N$4:$N$203,0),0)=0,"",INDEX('كشف الحساب'!$J$4:$J$203,IFERROR(MATCH(33,'كشف الحساب'!$N$4:$N$203,0),0))),"")</f>
        <v/>
      </c>
      <c r="K37" s="89">
        <f>IFERROR(IF(IFERROR(MATCH(33,'كشف الحساب'!$N$4:$N$203,0),0)=0,"",INDEX('كشف الحساب'!$K$4:$K$203,IFERROR(MATCH(33,'كشف الحساب'!$N$4:$N$203,0),0))),"")</f>
        <v/>
      </c>
    </row>
    <row r="38" ht="15" customHeight="1" s="67">
      <c r="A38" s="94">
        <f>IFERROR(IF(IFERROR(MATCH(34,'كشف الحساب'!$N$4:$N$203,0),0)=0,"",INDEX('كشف الحساب'!$A$4:$A$203,IFERROR(MATCH(34,'كشف الحساب'!$N$4:$N$203,0),0))),"")</f>
        <v/>
      </c>
      <c r="B38" s="95">
        <f>IFERROR(IF(IFERROR(MATCH(34,'كشف الحساب'!$N$4:$N$203,0),0)=0,"",INDEX('كشف الحساب'!$B$4:$B$203,IFERROR(MATCH(34,'كشف الحساب'!$N$4:$N$203,0),0))),"")</f>
        <v/>
      </c>
      <c r="C38" s="96">
        <f>IFERROR(IF(IFERROR(MATCH(34,'كشف الحساب'!$N$4:$N$203,0),0)=0,"",INDEX('كشف الحساب'!$C$4:$C$203,IFERROR(MATCH(34,'كشف الحساب'!$N$4:$N$203,0),0))),"")</f>
        <v/>
      </c>
      <c r="D38" s="97">
        <f>IFERROR(IF(IFERROR(MATCH(34,'كشف الحساب'!$N$4:$N$203,0),0)=0,"",INDEX('كشف الحساب'!$D$4:$D$203,IFERROR(MATCH(34,'كشف الحساب'!$N$4:$N$203,0),0))),"")</f>
        <v/>
      </c>
      <c r="E38" s="98">
        <f>IFERROR(IF(IFERROR(MATCH(34,'كشف الحساب'!$N$4:$N$203,0),0)=0,"",INDEX('كشف الحساب'!$E$4:$E$203,IFERROR(MATCH(34,'كشف الحساب'!$N$4:$N$203,0),0))),"")</f>
        <v/>
      </c>
      <c r="F38" s="95">
        <f>IFERROR(IF(IFERROR(MATCH(34,'كشف الحساب'!$N$4:$N$203,0),0)=0,"",INDEX('كشف الحساب'!$F$4:$F$203,IFERROR(MATCH(34,'كشف الحساب'!$N$4:$N$203,0),0))),"")</f>
        <v/>
      </c>
      <c r="G38" s="95">
        <f>IFERROR(IF(IFERROR(MATCH(34,'كشف الحساب'!$N$4:$N$203,0),0)=0,"",INDEX('كشف الحساب'!$G$4:$G$203,IFERROR(MATCH(34,'كشف الحساب'!$N$4:$N$203,0),0))),"")</f>
        <v/>
      </c>
      <c r="H38" s="95">
        <f>IFERROR(IF(IFERROR(MATCH(34,'كشف الحساب'!$N$4:$N$203,0),0)=0,"",INDEX('كشف الحساب'!$H$4:$H$203,IFERROR(MATCH(34,'كشف الحساب'!$N$4:$N$203,0),0))),"")</f>
        <v/>
      </c>
      <c r="I38" s="95">
        <f>IFERROR(IF(IFERROR(MATCH(34,'كشف الحساب'!$N$4:$N$203,0),0)=0,"",INDEX('كشف الحساب'!$I$4:$I$203,IFERROR(MATCH(34,'كشف الحساب'!$N$4:$N$203,0),0))),"")</f>
        <v/>
      </c>
      <c r="J38" s="99">
        <f>IFERROR(IF(IFERROR(MATCH(34,'كشف الحساب'!$N$4:$N$203,0),0)=0,"",INDEX('كشف الحساب'!$J$4:$J$203,IFERROR(MATCH(34,'كشف الحساب'!$N$4:$N$203,0),0))),"")</f>
        <v/>
      </c>
      <c r="K38" s="95">
        <f>IFERROR(IF(IFERROR(MATCH(34,'كشف الحساب'!$N$4:$N$203,0),0)=0,"",INDEX('كشف الحساب'!$K$4:$K$203,IFERROR(MATCH(34,'كشف الحساب'!$N$4:$N$203,0),0))),"")</f>
        <v/>
      </c>
    </row>
    <row r="39" ht="15" customHeight="1" s="67">
      <c r="A39" s="88">
        <f>IFERROR(IF(IFERROR(MATCH(35,'كشف الحساب'!$N$4:$N$203,0),0)=0,"",INDEX('كشف الحساب'!$A$4:$A$203,IFERROR(MATCH(35,'كشف الحساب'!$N$4:$N$203,0),0))),"")</f>
        <v/>
      </c>
      <c r="B39" s="89">
        <f>IFERROR(IF(IFERROR(MATCH(35,'كشف الحساب'!$N$4:$N$203,0),0)=0,"",INDEX('كشف الحساب'!$B$4:$B$203,IFERROR(MATCH(35,'كشف الحساب'!$N$4:$N$203,0),0))),"")</f>
        <v/>
      </c>
      <c r="C39" s="90">
        <f>IFERROR(IF(IFERROR(MATCH(35,'كشف الحساب'!$N$4:$N$203,0),0)=0,"",INDEX('كشف الحساب'!$C$4:$C$203,IFERROR(MATCH(35,'كشف الحساب'!$N$4:$N$203,0),0))),"")</f>
        <v/>
      </c>
      <c r="D39" s="91">
        <f>IFERROR(IF(IFERROR(MATCH(35,'كشف الحساب'!$N$4:$N$203,0),0)=0,"",INDEX('كشف الحساب'!$D$4:$D$203,IFERROR(MATCH(35,'كشف الحساب'!$N$4:$N$203,0),0))),"")</f>
        <v/>
      </c>
      <c r="E39" s="92">
        <f>IFERROR(IF(IFERROR(MATCH(35,'كشف الحساب'!$N$4:$N$203,0),0)=0,"",INDEX('كشف الحساب'!$E$4:$E$203,IFERROR(MATCH(35,'كشف الحساب'!$N$4:$N$203,0),0))),"")</f>
        <v/>
      </c>
      <c r="F39" s="89">
        <f>IFERROR(IF(IFERROR(MATCH(35,'كشف الحساب'!$N$4:$N$203,0),0)=0,"",INDEX('كشف الحساب'!$F$4:$F$203,IFERROR(MATCH(35,'كشف الحساب'!$N$4:$N$203,0),0))),"")</f>
        <v/>
      </c>
      <c r="G39" s="89">
        <f>IFERROR(IF(IFERROR(MATCH(35,'كشف الحساب'!$N$4:$N$203,0),0)=0,"",INDEX('كشف الحساب'!$G$4:$G$203,IFERROR(MATCH(35,'كشف الحساب'!$N$4:$N$203,0),0))),"")</f>
        <v/>
      </c>
      <c r="H39" s="89">
        <f>IFERROR(IF(IFERROR(MATCH(35,'كشف الحساب'!$N$4:$N$203,0),0)=0,"",INDEX('كشف الحساب'!$H$4:$H$203,IFERROR(MATCH(35,'كشف الحساب'!$N$4:$N$203,0),0))),"")</f>
        <v/>
      </c>
      <c r="I39" s="89">
        <f>IFERROR(IF(IFERROR(MATCH(35,'كشف الحساب'!$N$4:$N$203,0),0)=0,"",INDEX('كشف الحساب'!$I$4:$I$203,IFERROR(MATCH(35,'كشف الحساب'!$N$4:$N$203,0),0))),"")</f>
        <v/>
      </c>
      <c r="J39" s="93">
        <f>IFERROR(IF(IFERROR(MATCH(35,'كشف الحساب'!$N$4:$N$203,0),0)=0,"",INDEX('كشف الحساب'!$J$4:$J$203,IFERROR(MATCH(35,'كشف الحساب'!$N$4:$N$203,0),0))),"")</f>
        <v/>
      </c>
      <c r="K39" s="89">
        <f>IFERROR(IF(IFERROR(MATCH(35,'كشف الحساب'!$N$4:$N$203,0),0)=0,"",INDEX('كشف الحساب'!$K$4:$K$203,IFERROR(MATCH(35,'كشف الحساب'!$N$4:$N$203,0),0))),"")</f>
        <v/>
      </c>
    </row>
    <row r="40" ht="15" customHeight="1" s="67">
      <c r="A40" s="94">
        <f>IFERROR(IF(IFERROR(MATCH(36,'كشف الحساب'!$N$4:$N$203,0),0)=0,"",INDEX('كشف الحساب'!$A$4:$A$203,IFERROR(MATCH(36,'كشف الحساب'!$N$4:$N$203,0),0))),"")</f>
        <v/>
      </c>
      <c r="B40" s="95">
        <f>IFERROR(IF(IFERROR(MATCH(36,'كشف الحساب'!$N$4:$N$203,0),0)=0,"",INDEX('كشف الحساب'!$B$4:$B$203,IFERROR(MATCH(36,'كشف الحساب'!$N$4:$N$203,0),0))),"")</f>
        <v/>
      </c>
      <c r="C40" s="96">
        <f>IFERROR(IF(IFERROR(MATCH(36,'كشف الحساب'!$N$4:$N$203,0),0)=0,"",INDEX('كشف الحساب'!$C$4:$C$203,IFERROR(MATCH(36,'كشف الحساب'!$N$4:$N$203,0),0))),"")</f>
        <v/>
      </c>
      <c r="D40" s="97">
        <f>IFERROR(IF(IFERROR(MATCH(36,'كشف الحساب'!$N$4:$N$203,0),0)=0,"",INDEX('كشف الحساب'!$D$4:$D$203,IFERROR(MATCH(36,'كشف الحساب'!$N$4:$N$203,0),0))),"")</f>
        <v/>
      </c>
      <c r="E40" s="98">
        <f>IFERROR(IF(IFERROR(MATCH(36,'كشف الحساب'!$N$4:$N$203,0),0)=0,"",INDEX('كشف الحساب'!$E$4:$E$203,IFERROR(MATCH(36,'كشف الحساب'!$N$4:$N$203,0),0))),"")</f>
        <v/>
      </c>
      <c r="F40" s="95">
        <f>IFERROR(IF(IFERROR(MATCH(36,'كشف الحساب'!$N$4:$N$203,0),0)=0,"",INDEX('كشف الحساب'!$F$4:$F$203,IFERROR(MATCH(36,'كشف الحساب'!$N$4:$N$203,0),0))),"")</f>
        <v/>
      </c>
      <c r="G40" s="95">
        <f>IFERROR(IF(IFERROR(MATCH(36,'كشف الحساب'!$N$4:$N$203,0),0)=0,"",INDEX('كشف الحساب'!$G$4:$G$203,IFERROR(MATCH(36,'كشف الحساب'!$N$4:$N$203,0),0))),"")</f>
        <v/>
      </c>
      <c r="H40" s="95">
        <f>IFERROR(IF(IFERROR(MATCH(36,'كشف الحساب'!$N$4:$N$203,0),0)=0,"",INDEX('كشف الحساب'!$H$4:$H$203,IFERROR(MATCH(36,'كشف الحساب'!$N$4:$N$203,0),0))),"")</f>
        <v/>
      </c>
      <c r="I40" s="95">
        <f>IFERROR(IF(IFERROR(MATCH(36,'كشف الحساب'!$N$4:$N$203,0),0)=0,"",INDEX('كشف الحساب'!$I$4:$I$203,IFERROR(MATCH(36,'كشف الحساب'!$N$4:$N$203,0),0))),"")</f>
        <v/>
      </c>
      <c r="J40" s="99">
        <f>IFERROR(IF(IFERROR(MATCH(36,'كشف الحساب'!$N$4:$N$203,0),0)=0,"",INDEX('كشف الحساب'!$J$4:$J$203,IFERROR(MATCH(36,'كشف الحساب'!$N$4:$N$203,0),0))),"")</f>
        <v/>
      </c>
      <c r="K40" s="95">
        <f>IFERROR(IF(IFERROR(MATCH(36,'كشف الحساب'!$N$4:$N$203,0),0)=0,"",INDEX('كشف الحساب'!$K$4:$K$203,IFERROR(MATCH(36,'كشف الحساب'!$N$4:$N$203,0),0))),"")</f>
        <v/>
      </c>
    </row>
    <row r="41" ht="15" customHeight="1" s="67">
      <c r="A41" s="88">
        <f>IFERROR(IF(IFERROR(MATCH(37,'كشف الحساب'!$N$4:$N$203,0),0)=0,"",INDEX('كشف الحساب'!$A$4:$A$203,IFERROR(MATCH(37,'كشف الحساب'!$N$4:$N$203,0),0))),"")</f>
        <v/>
      </c>
      <c r="B41" s="89">
        <f>IFERROR(IF(IFERROR(MATCH(37,'كشف الحساب'!$N$4:$N$203,0),0)=0,"",INDEX('كشف الحساب'!$B$4:$B$203,IFERROR(MATCH(37,'كشف الحساب'!$N$4:$N$203,0),0))),"")</f>
        <v/>
      </c>
      <c r="C41" s="90">
        <f>IFERROR(IF(IFERROR(MATCH(37,'كشف الحساب'!$N$4:$N$203,0),0)=0,"",INDEX('كشف الحساب'!$C$4:$C$203,IFERROR(MATCH(37,'كشف الحساب'!$N$4:$N$203,0),0))),"")</f>
        <v/>
      </c>
      <c r="D41" s="91">
        <f>IFERROR(IF(IFERROR(MATCH(37,'كشف الحساب'!$N$4:$N$203,0),0)=0,"",INDEX('كشف الحساب'!$D$4:$D$203,IFERROR(MATCH(37,'كشف الحساب'!$N$4:$N$203,0),0))),"")</f>
        <v/>
      </c>
      <c r="E41" s="92">
        <f>IFERROR(IF(IFERROR(MATCH(37,'كشف الحساب'!$N$4:$N$203,0),0)=0,"",INDEX('كشف الحساب'!$E$4:$E$203,IFERROR(MATCH(37,'كشف الحساب'!$N$4:$N$203,0),0))),"")</f>
        <v/>
      </c>
      <c r="F41" s="89">
        <f>IFERROR(IF(IFERROR(MATCH(37,'كشف الحساب'!$N$4:$N$203,0),0)=0,"",INDEX('كشف الحساب'!$F$4:$F$203,IFERROR(MATCH(37,'كشف الحساب'!$N$4:$N$203,0),0))),"")</f>
        <v/>
      </c>
      <c r="G41" s="89">
        <f>IFERROR(IF(IFERROR(MATCH(37,'كشف الحساب'!$N$4:$N$203,0),0)=0,"",INDEX('كشف الحساب'!$G$4:$G$203,IFERROR(MATCH(37,'كشف الحساب'!$N$4:$N$203,0),0))),"")</f>
        <v/>
      </c>
      <c r="H41" s="89">
        <f>IFERROR(IF(IFERROR(MATCH(37,'كشف الحساب'!$N$4:$N$203,0),0)=0,"",INDEX('كشف الحساب'!$H$4:$H$203,IFERROR(MATCH(37,'كشف الحساب'!$N$4:$N$203,0),0))),"")</f>
        <v/>
      </c>
      <c r="I41" s="89">
        <f>IFERROR(IF(IFERROR(MATCH(37,'كشف الحساب'!$N$4:$N$203,0),0)=0,"",INDEX('كشف الحساب'!$I$4:$I$203,IFERROR(MATCH(37,'كشف الحساب'!$N$4:$N$203,0),0))),"")</f>
        <v/>
      </c>
      <c r="J41" s="93">
        <f>IFERROR(IF(IFERROR(MATCH(37,'كشف الحساب'!$N$4:$N$203,0),0)=0,"",INDEX('كشف الحساب'!$J$4:$J$203,IFERROR(MATCH(37,'كشف الحساب'!$N$4:$N$203,0),0))),"")</f>
        <v/>
      </c>
      <c r="K41" s="89">
        <f>IFERROR(IF(IFERROR(MATCH(37,'كشف الحساب'!$N$4:$N$203,0),0)=0,"",INDEX('كشف الحساب'!$K$4:$K$203,IFERROR(MATCH(37,'كشف الحساب'!$N$4:$N$203,0),0))),"")</f>
        <v/>
      </c>
    </row>
    <row r="42" ht="15" customHeight="1" s="67">
      <c r="A42" s="94">
        <f>IFERROR(IF(IFERROR(MATCH(38,'كشف الحساب'!$N$4:$N$203,0),0)=0,"",INDEX('كشف الحساب'!$A$4:$A$203,IFERROR(MATCH(38,'كشف الحساب'!$N$4:$N$203,0),0))),"")</f>
        <v/>
      </c>
      <c r="B42" s="95">
        <f>IFERROR(IF(IFERROR(MATCH(38,'كشف الحساب'!$N$4:$N$203,0),0)=0,"",INDEX('كشف الحساب'!$B$4:$B$203,IFERROR(MATCH(38,'كشف الحساب'!$N$4:$N$203,0),0))),"")</f>
        <v/>
      </c>
      <c r="C42" s="96">
        <f>IFERROR(IF(IFERROR(MATCH(38,'كشف الحساب'!$N$4:$N$203,0),0)=0,"",INDEX('كشف الحساب'!$C$4:$C$203,IFERROR(MATCH(38,'كشف الحساب'!$N$4:$N$203,0),0))),"")</f>
        <v/>
      </c>
      <c r="D42" s="97">
        <f>IFERROR(IF(IFERROR(MATCH(38,'كشف الحساب'!$N$4:$N$203,0),0)=0,"",INDEX('كشف الحساب'!$D$4:$D$203,IFERROR(MATCH(38,'كشف الحساب'!$N$4:$N$203,0),0))),"")</f>
        <v/>
      </c>
      <c r="E42" s="98">
        <f>IFERROR(IF(IFERROR(MATCH(38,'كشف الحساب'!$N$4:$N$203,0),0)=0,"",INDEX('كشف الحساب'!$E$4:$E$203,IFERROR(MATCH(38,'كشف الحساب'!$N$4:$N$203,0),0))),"")</f>
        <v/>
      </c>
      <c r="F42" s="95">
        <f>IFERROR(IF(IFERROR(MATCH(38,'كشف الحساب'!$N$4:$N$203,0),0)=0,"",INDEX('كشف الحساب'!$F$4:$F$203,IFERROR(MATCH(38,'كشف الحساب'!$N$4:$N$203,0),0))),"")</f>
        <v/>
      </c>
      <c r="G42" s="95">
        <f>IFERROR(IF(IFERROR(MATCH(38,'كشف الحساب'!$N$4:$N$203,0),0)=0,"",INDEX('كشف الحساب'!$G$4:$G$203,IFERROR(MATCH(38,'كشف الحساب'!$N$4:$N$203,0),0))),"")</f>
        <v/>
      </c>
      <c r="H42" s="95">
        <f>IFERROR(IF(IFERROR(MATCH(38,'كشف الحساب'!$N$4:$N$203,0),0)=0,"",INDEX('كشف الحساب'!$H$4:$H$203,IFERROR(MATCH(38,'كشف الحساب'!$N$4:$N$203,0),0))),"")</f>
        <v/>
      </c>
      <c r="I42" s="95">
        <f>IFERROR(IF(IFERROR(MATCH(38,'كشف الحساب'!$N$4:$N$203,0),0)=0,"",INDEX('كشف الحساب'!$I$4:$I$203,IFERROR(MATCH(38,'كشف الحساب'!$N$4:$N$203,0),0))),"")</f>
        <v/>
      </c>
      <c r="J42" s="99">
        <f>IFERROR(IF(IFERROR(MATCH(38,'كشف الحساب'!$N$4:$N$203,0),0)=0,"",INDEX('كشف الحساب'!$J$4:$J$203,IFERROR(MATCH(38,'كشف الحساب'!$N$4:$N$203,0),0))),"")</f>
        <v/>
      </c>
      <c r="K42" s="95">
        <f>IFERROR(IF(IFERROR(MATCH(38,'كشف الحساب'!$N$4:$N$203,0),0)=0,"",INDEX('كشف الحساب'!$K$4:$K$203,IFERROR(MATCH(38,'كشف الحساب'!$N$4:$N$203,0),0))),"")</f>
        <v/>
      </c>
    </row>
    <row r="43" ht="15" customHeight="1" s="67">
      <c r="A43" s="88">
        <f>IFERROR(IF(IFERROR(MATCH(39,'كشف الحساب'!$N$4:$N$203,0),0)=0,"",INDEX('كشف الحساب'!$A$4:$A$203,IFERROR(MATCH(39,'كشف الحساب'!$N$4:$N$203,0),0))),"")</f>
        <v/>
      </c>
      <c r="B43" s="89">
        <f>IFERROR(IF(IFERROR(MATCH(39,'كشف الحساب'!$N$4:$N$203,0),0)=0,"",INDEX('كشف الحساب'!$B$4:$B$203,IFERROR(MATCH(39,'كشف الحساب'!$N$4:$N$203,0),0))),"")</f>
        <v/>
      </c>
      <c r="C43" s="90">
        <f>IFERROR(IF(IFERROR(MATCH(39,'كشف الحساب'!$N$4:$N$203,0),0)=0,"",INDEX('كشف الحساب'!$C$4:$C$203,IFERROR(MATCH(39,'كشف الحساب'!$N$4:$N$203,0),0))),"")</f>
        <v/>
      </c>
      <c r="D43" s="91">
        <f>IFERROR(IF(IFERROR(MATCH(39,'كشف الحساب'!$N$4:$N$203,0),0)=0,"",INDEX('كشف الحساب'!$D$4:$D$203,IFERROR(MATCH(39,'كشف الحساب'!$N$4:$N$203,0),0))),"")</f>
        <v/>
      </c>
      <c r="E43" s="92">
        <f>IFERROR(IF(IFERROR(MATCH(39,'كشف الحساب'!$N$4:$N$203,0),0)=0,"",INDEX('كشف الحساب'!$E$4:$E$203,IFERROR(MATCH(39,'كشف الحساب'!$N$4:$N$203,0),0))),"")</f>
        <v/>
      </c>
      <c r="F43" s="89">
        <f>IFERROR(IF(IFERROR(MATCH(39,'كشف الحساب'!$N$4:$N$203,0),0)=0,"",INDEX('كشف الحساب'!$F$4:$F$203,IFERROR(MATCH(39,'كشف الحساب'!$N$4:$N$203,0),0))),"")</f>
        <v/>
      </c>
      <c r="G43" s="89">
        <f>IFERROR(IF(IFERROR(MATCH(39,'كشف الحساب'!$N$4:$N$203,0),0)=0,"",INDEX('كشف الحساب'!$G$4:$G$203,IFERROR(MATCH(39,'كشف الحساب'!$N$4:$N$203,0),0))),"")</f>
        <v/>
      </c>
      <c r="H43" s="89">
        <f>IFERROR(IF(IFERROR(MATCH(39,'كشف الحساب'!$N$4:$N$203,0),0)=0,"",INDEX('كشف الحساب'!$H$4:$H$203,IFERROR(MATCH(39,'كشف الحساب'!$N$4:$N$203,0),0))),"")</f>
        <v/>
      </c>
      <c r="I43" s="89">
        <f>IFERROR(IF(IFERROR(MATCH(39,'كشف الحساب'!$N$4:$N$203,0),0)=0,"",INDEX('كشف الحساب'!$I$4:$I$203,IFERROR(MATCH(39,'كشف الحساب'!$N$4:$N$203,0),0))),"")</f>
        <v/>
      </c>
      <c r="J43" s="93">
        <f>IFERROR(IF(IFERROR(MATCH(39,'كشف الحساب'!$N$4:$N$203,0),0)=0,"",INDEX('كشف الحساب'!$J$4:$J$203,IFERROR(MATCH(39,'كشف الحساب'!$N$4:$N$203,0),0))),"")</f>
        <v/>
      </c>
      <c r="K43" s="89">
        <f>IFERROR(IF(IFERROR(MATCH(39,'كشف الحساب'!$N$4:$N$203,0),0)=0,"",INDEX('كشف الحساب'!$K$4:$K$203,IFERROR(MATCH(39,'كشف الحساب'!$N$4:$N$203,0),0))),"")</f>
        <v/>
      </c>
    </row>
    <row r="44" ht="15" customHeight="1" s="67">
      <c r="A44" s="94">
        <f>IFERROR(IF(IFERROR(MATCH(40,'كشف الحساب'!$N$4:$N$203,0),0)=0,"",INDEX('كشف الحساب'!$A$4:$A$203,IFERROR(MATCH(40,'كشف الحساب'!$N$4:$N$203,0),0))),"")</f>
        <v/>
      </c>
      <c r="B44" s="95">
        <f>IFERROR(IF(IFERROR(MATCH(40,'كشف الحساب'!$N$4:$N$203,0),0)=0,"",INDEX('كشف الحساب'!$B$4:$B$203,IFERROR(MATCH(40,'كشف الحساب'!$N$4:$N$203,0),0))),"")</f>
        <v/>
      </c>
      <c r="C44" s="96">
        <f>IFERROR(IF(IFERROR(MATCH(40,'كشف الحساب'!$N$4:$N$203,0),0)=0,"",INDEX('كشف الحساب'!$C$4:$C$203,IFERROR(MATCH(40,'كشف الحساب'!$N$4:$N$203,0),0))),"")</f>
        <v/>
      </c>
      <c r="D44" s="97">
        <f>IFERROR(IF(IFERROR(MATCH(40,'كشف الحساب'!$N$4:$N$203,0),0)=0,"",INDEX('كشف الحساب'!$D$4:$D$203,IFERROR(MATCH(40,'كشف الحساب'!$N$4:$N$203,0),0))),"")</f>
        <v/>
      </c>
      <c r="E44" s="98">
        <f>IFERROR(IF(IFERROR(MATCH(40,'كشف الحساب'!$N$4:$N$203,0),0)=0,"",INDEX('كشف الحساب'!$E$4:$E$203,IFERROR(MATCH(40,'كشف الحساب'!$N$4:$N$203,0),0))),"")</f>
        <v/>
      </c>
      <c r="F44" s="95">
        <f>IFERROR(IF(IFERROR(MATCH(40,'كشف الحساب'!$N$4:$N$203,0),0)=0,"",INDEX('كشف الحساب'!$F$4:$F$203,IFERROR(MATCH(40,'كشف الحساب'!$N$4:$N$203,0),0))),"")</f>
        <v/>
      </c>
      <c r="G44" s="95">
        <f>IFERROR(IF(IFERROR(MATCH(40,'كشف الحساب'!$N$4:$N$203,0),0)=0,"",INDEX('كشف الحساب'!$G$4:$G$203,IFERROR(MATCH(40,'كشف الحساب'!$N$4:$N$203,0),0))),"")</f>
        <v/>
      </c>
      <c r="H44" s="95">
        <f>IFERROR(IF(IFERROR(MATCH(40,'كشف الحساب'!$N$4:$N$203,0),0)=0,"",INDEX('كشف الحساب'!$H$4:$H$203,IFERROR(MATCH(40,'كشف الحساب'!$N$4:$N$203,0),0))),"")</f>
        <v/>
      </c>
      <c r="I44" s="95">
        <f>IFERROR(IF(IFERROR(MATCH(40,'كشف الحساب'!$N$4:$N$203,0),0)=0,"",INDEX('كشف الحساب'!$I$4:$I$203,IFERROR(MATCH(40,'كشف الحساب'!$N$4:$N$203,0),0))),"")</f>
        <v/>
      </c>
      <c r="J44" s="99">
        <f>IFERROR(IF(IFERROR(MATCH(40,'كشف الحساب'!$N$4:$N$203,0),0)=0,"",INDEX('كشف الحساب'!$J$4:$J$203,IFERROR(MATCH(40,'كشف الحساب'!$N$4:$N$203,0),0))),"")</f>
        <v/>
      </c>
      <c r="K44" s="95">
        <f>IFERROR(IF(IFERROR(MATCH(40,'كشف الحساب'!$N$4:$N$203,0),0)=0,"",INDEX('كشف الحساب'!$K$4:$K$203,IFERROR(MATCH(40,'كشف الحساب'!$N$4:$N$203,0),0))),"")</f>
        <v/>
      </c>
    </row>
    <row r="45" ht="15" customHeight="1" s="67">
      <c r="A45" s="88">
        <f>IFERROR(IF(IFERROR(MATCH(41,'كشف الحساب'!$N$4:$N$203,0),0)=0,"",INDEX('كشف الحساب'!$A$4:$A$203,IFERROR(MATCH(41,'كشف الحساب'!$N$4:$N$203,0),0))),"")</f>
        <v/>
      </c>
      <c r="B45" s="89">
        <f>IFERROR(IF(IFERROR(MATCH(41,'كشف الحساب'!$N$4:$N$203,0),0)=0,"",INDEX('كشف الحساب'!$B$4:$B$203,IFERROR(MATCH(41,'كشف الحساب'!$N$4:$N$203,0),0))),"")</f>
        <v/>
      </c>
      <c r="C45" s="90">
        <f>IFERROR(IF(IFERROR(MATCH(41,'كشف الحساب'!$N$4:$N$203,0),0)=0,"",INDEX('كشف الحساب'!$C$4:$C$203,IFERROR(MATCH(41,'كشف الحساب'!$N$4:$N$203,0),0))),"")</f>
        <v/>
      </c>
      <c r="D45" s="91">
        <f>IFERROR(IF(IFERROR(MATCH(41,'كشف الحساب'!$N$4:$N$203,0),0)=0,"",INDEX('كشف الحساب'!$D$4:$D$203,IFERROR(MATCH(41,'كشف الحساب'!$N$4:$N$203,0),0))),"")</f>
        <v/>
      </c>
      <c r="E45" s="92">
        <f>IFERROR(IF(IFERROR(MATCH(41,'كشف الحساب'!$N$4:$N$203,0),0)=0,"",INDEX('كشف الحساب'!$E$4:$E$203,IFERROR(MATCH(41,'كشف الحساب'!$N$4:$N$203,0),0))),"")</f>
        <v/>
      </c>
      <c r="F45" s="89">
        <f>IFERROR(IF(IFERROR(MATCH(41,'كشف الحساب'!$N$4:$N$203,0),0)=0,"",INDEX('كشف الحساب'!$F$4:$F$203,IFERROR(MATCH(41,'كشف الحساب'!$N$4:$N$203,0),0))),"")</f>
        <v/>
      </c>
      <c r="G45" s="89">
        <f>IFERROR(IF(IFERROR(MATCH(41,'كشف الحساب'!$N$4:$N$203,0),0)=0,"",INDEX('كشف الحساب'!$G$4:$G$203,IFERROR(MATCH(41,'كشف الحساب'!$N$4:$N$203,0),0))),"")</f>
        <v/>
      </c>
      <c r="H45" s="89">
        <f>IFERROR(IF(IFERROR(MATCH(41,'كشف الحساب'!$N$4:$N$203,0),0)=0,"",INDEX('كشف الحساب'!$H$4:$H$203,IFERROR(MATCH(41,'كشف الحساب'!$N$4:$N$203,0),0))),"")</f>
        <v/>
      </c>
      <c r="I45" s="89">
        <f>IFERROR(IF(IFERROR(MATCH(41,'كشف الحساب'!$N$4:$N$203,0),0)=0,"",INDEX('كشف الحساب'!$I$4:$I$203,IFERROR(MATCH(41,'كشف الحساب'!$N$4:$N$203,0),0))),"")</f>
        <v/>
      </c>
      <c r="J45" s="93">
        <f>IFERROR(IF(IFERROR(MATCH(41,'كشف الحساب'!$N$4:$N$203,0),0)=0,"",INDEX('كشف الحساب'!$J$4:$J$203,IFERROR(MATCH(41,'كشف الحساب'!$N$4:$N$203,0),0))),"")</f>
        <v/>
      </c>
      <c r="K45" s="89">
        <f>IFERROR(IF(IFERROR(MATCH(41,'كشف الحساب'!$N$4:$N$203,0),0)=0,"",INDEX('كشف الحساب'!$K$4:$K$203,IFERROR(MATCH(41,'كشف الحساب'!$N$4:$N$203,0),0))),"")</f>
        <v/>
      </c>
    </row>
    <row r="46" ht="15" customHeight="1" s="67">
      <c r="A46" s="94">
        <f>IFERROR(IF(IFERROR(MATCH(42,'كشف الحساب'!$N$4:$N$203,0),0)=0,"",INDEX('كشف الحساب'!$A$4:$A$203,IFERROR(MATCH(42,'كشف الحساب'!$N$4:$N$203,0),0))),"")</f>
        <v/>
      </c>
      <c r="B46" s="95">
        <f>IFERROR(IF(IFERROR(MATCH(42,'كشف الحساب'!$N$4:$N$203,0),0)=0,"",INDEX('كشف الحساب'!$B$4:$B$203,IFERROR(MATCH(42,'كشف الحساب'!$N$4:$N$203,0),0))),"")</f>
        <v/>
      </c>
      <c r="C46" s="96">
        <f>IFERROR(IF(IFERROR(MATCH(42,'كشف الحساب'!$N$4:$N$203,0),0)=0,"",INDEX('كشف الحساب'!$C$4:$C$203,IFERROR(MATCH(42,'كشف الحساب'!$N$4:$N$203,0),0))),"")</f>
        <v/>
      </c>
      <c r="D46" s="97">
        <f>IFERROR(IF(IFERROR(MATCH(42,'كشف الحساب'!$N$4:$N$203,0),0)=0,"",INDEX('كشف الحساب'!$D$4:$D$203,IFERROR(MATCH(42,'كشف الحساب'!$N$4:$N$203,0),0))),"")</f>
        <v/>
      </c>
      <c r="E46" s="98">
        <f>IFERROR(IF(IFERROR(MATCH(42,'كشف الحساب'!$N$4:$N$203,0),0)=0,"",INDEX('كشف الحساب'!$E$4:$E$203,IFERROR(MATCH(42,'كشف الحساب'!$N$4:$N$203,0),0))),"")</f>
        <v/>
      </c>
      <c r="F46" s="95">
        <f>IFERROR(IF(IFERROR(MATCH(42,'كشف الحساب'!$N$4:$N$203,0),0)=0,"",INDEX('كشف الحساب'!$F$4:$F$203,IFERROR(MATCH(42,'كشف الحساب'!$N$4:$N$203,0),0))),"")</f>
        <v/>
      </c>
      <c r="G46" s="95">
        <f>IFERROR(IF(IFERROR(MATCH(42,'كشف الحساب'!$N$4:$N$203,0),0)=0,"",INDEX('كشف الحساب'!$G$4:$G$203,IFERROR(MATCH(42,'كشف الحساب'!$N$4:$N$203,0),0))),"")</f>
        <v/>
      </c>
      <c r="H46" s="95">
        <f>IFERROR(IF(IFERROR(MATCH(42,'كشف الحساب'!$N$4:$N$203,0),0)=0,"",INDEX('كشف الحساب'!$H$4:$H$203,IFERROR(MATCH(42,'كشف الحساب'!$N$4:$N$203,0),0))),"")</f>
        <v/>
      </c>
      <c r="I46" s="95">
        <f>IFERROR(IF(IFERROR(MATCH(42,'كشف الحساب'!$N$4:$N$203,0),0)=0,"",INDEX('كشف الحساب'!$I$4:$I$203,IFERROR(MATCH(42,'كشف الحساب'!$N$4:$N$203,0),0))),"")</f>
        <v/>
      </c>
      <c r="J46" s="99">
        <f>IFERROR(IF(IFERROR(MATCH(42,'كشف الحساب'!$N$4:$N$203,0),0)=0,"",INDEX('كشف الحساب'!$J$4:$J$203,IFERROR(MATCH(42,'كشف الحساب'!$N$4:$N$203,0),0))),"")</f>
        <v/>
      </c>
      <c r="K46" s="95">
        <f>IFERROR(IF(IFERROR(MATCH(42,'كشف الحساب'!$N$4:$N$203,0),0)=0,"",INDEX('كشف الحساب'!$K$4:$K$203,IFERROR(MATCH(42,'كشف الحساب'!$N$4:$N$203,0),0))),"")</f>
        <v/>
      </c>
    </row>
    <row r="47" ht="15" customHeight="1" s="67">
      <c r="A47" s="88">
        <f>IFERROR(IF(IFERROR(MATCH(43,'كشف الحساب'!$N$4:$N$203,0),0)=0,"",INDEX('كشف الحساب'!$A$4:$A$203,IFERROR(MATCH(43,'كشف الحساب'!$N$4:$N$203,0),0))),"")</f>
        <v/>
      </c>
      <c r="B47" s="89">
        <f>IFERROR(IF(IFERROR(MATCH(43,'كشف الحساب'!$N$4:$N$203,0),0)=0,"",INDEX('كشف الحساب'!$B$4:$B$203,IFERROR(MATCH(43,'كشف الحساب'!$N$4:$N$203,0),0))),"")</f>
        <v/>
      </c>
      <c r="C47" s="90">
        <f>IFERROR(IF(IFERROR(MATCH(43,'كشف الحساب'!$N$4:$N$203,0),0)=0,"",INDEX('كشف الحساب'!$C$4:$C$203,IFERROR(MATCH(43,'كشف الحساب'!$N$4:$N$203,0),0))),"")</f>
        <v/>
      </c>
      <c r="D47" s="91">
        <f>IFERROR(IF(IFERROR(MATCH(43,'كشف الحساب'!$N$4:$N$203,0),0)=0,"",INDEX('كشف الحساب'!$D$4:$D$203,IFERROR(MATCH(43,'كشف الحساب'!$N$4:$N$203,0),0))),"")</f>
        <v/>
      </c>
      <c r="E47" s="92">
        <f>IFERROR(IF(IFERROR(MATCH(43,'كشف الحساب'!$N$4:$N$203,0),0)=0,"",INDEX('كشف الحساب'!$E$4:$E$203,IFERROR(MATCH(43,'كشف الحساب'!$N$4:$N$203,0),0))),"")</f>
        <v/>
      </c>
      <c r="F47" s="89">
        <f>IFERROR(IF(IFERROR(MATCH(43,'كشف الحساب'!$N$4:$N$203,0),0)=0,"",INDEX('كشف الحساب'!$F$4:$F$203,IFERROR(MATCH(43,'كشف الحساب'!$N$4:$N$203,0),0))),"")</f>
        <v/>
      </c>
      <c r="G47" s="89">
        <f>IFERROR(IF(IFERROR(MATCH(43,'كشف الحساب'!$N$4:$N$203,0),0)=0,"",INDEX('كشف الحساب'!$G$4:$G$203,IFERROR(MATCH(43,'كشف الحساب'!$N$4:$N$203,0),0))),"")</f>
        <v/>
      </c>
      <c r="H47" s="89">
        <f>IFERROR(IF(IFERROR(MATCH(43,'كشف الحساب'!$N$4:$N$203,0),0)=0,"",INDEX('كشف الحساب'!$H$4:$H$203,IFERROR(MATCH(43,'كشف الحساب'!$N$4:$N$203,0),0))),"")</f>
        <v/>
      </c>
      <c r="I47" s="89">
        <f>IFERROR(IF(IFERROR(MATCH(43,'كشف الحساب'!$N$4:$N$203,0),0)=0,"",INDEX('كشف الحساب'!$I$4:$I$203,IFERROR(MATCH(43,'كشف الحساب'!$N$4:$N$203,0),0))),"")</f>
        <v/>
      </c>
      <c r="J47" s="93">
        <f>IFERROR(IF(IFERROR(MATCH(43,'كشف الحساب'!$N$4:$N$203,0),0)=0,"",INDEX('كشف الحساب'!$J$4:$J$203,IFERROR(MATCH(43,'كشف الحساب'!$N$4:$N$203,0),0))),"")</f>
        <v/>
      </c>
      <c r="K47" s="89">
        <f>IFERROR(IF(IFERROR(MATCH(43,'كشف الحساب'!$N$4:$N$203,0),0)=0,"",INDEX('كشف الحساب'!$K$4:$K$203,IFERROR(MATCH(43,'كشف الحساب'!$N$4:$N$203,0),0))),"")</f>
        <v/>
      </c>
    </row>
    <row r="48" ht="15" customHeight="1" s="67">
      <c r="A48" s="94">
        <f>IFERROR(IF(IFERROR(MATCH(44,'كشف الحساب'!$N$4:$N$203,0),0)=0,"",INDEX('كشف الحساب'!$A$4:$A$203,IFERROR(MATCH(44,'كشف الحساب'!$N$4:$N$203,0),0))),"")</f>
        <v/>
      </c>
      <c r="B48" s="95">
        <f>IFERROR(IF(IFERROR(MATCH(44,'كشف الحساب'!$N$4:$N$203,0),0)=0,"",INDEX('كشف الحساب'!$B$4:$B$203,IFERROR(MATCH(44,'كشف الحساب'!$N$4:$N$203,0),0))),"")</f>
        <v/>
      </c>
      <c r="C48" s="96">
        <f>IFERROR(IF(IFERROR(MATCH(44,'كشف الحساب'!$N$4:$N$203,0),0)=0,"",INDEX('كشف الحساب'!$C$4:$C$203,IFERROR(MATCH(44,'كشف الحساب'!$N$4:$N$203,0),0))),"")</f>
        <v/>
      </c>
      <c r="D48" s="97">
        <f>IFERROR(IF(IFERROR(MATCH(44,'كشف الحساب'!$N$4:$N$203,0),0)=0,"",INDEX('كشف الحساب'!$D$4:$D$203,IFERROR(MATCH(44,'كشف الحساب'!$N$4:$N$203,0),0))),"")</f>
        <v/>
      </c>
      <c r="E48" s="98">
        <f>IFERROR(IF(IFERROR(MATCH(44,'كشف الحساب'!$N$4:$N$203,0),0)=0,"",INDEX('كشف الحساب'!$E$4:$E$203,IFERROR(MATCH(44,'كشف الحساب'!$N$4:$N$203,0),0))),"")</f>
        <v/>
      </c>
      <c r="F48" s="95">
        <f>IFERROR(IF(IFERROR(MATCH(44,'كشف الحساب'!$N$4:$N$203,0),0)=0,"",INDEX('كشف الحساب'!$F$4:$F$203,IFERROR(MATCH(44,'كشف الحساب'!$N$4:$N$203,0),0))),"")</f>
        <v/>
      </c>
      <c r="G48" s="95">
        <f>IFERROR(IF(IFERROR(MATCH(44,'كشف الحساب'!$N$4:$N$203,0),0)=0,"",INDEX('كشف الحساب'!$G$4:$G$203,IFERROR(MATCH(44,'كشف الحساب'!$N$4:$N$203,0),0))),"")</f>
        <v/>
      </c>
      <c r="H48" s="95">
        <f>IFERROR(IF(IFERROR(MATCH(44,'كشف الحساب'!$N$4:$N$203,0),0)=0,"",INDEX('كشف الحساب'!$H$4:$H$203,IFERROR(MATCH(44,'كشف الحساب'!$N$4:$N$203,0),0))),"")</f>
        <v/>
      </c>
      <c r="I48" s="95">
        <f>IFERROR(IF(IFERROR(MATCH(44,'كشف الحساب'!$N$4:$N$203,0),0)=0,"",INDEX('كشف الحساب'!$I$4:$I$203,IFERROR(MATCH(44,'كشف الحساب'!$N$4:$N$203,0),0))),"")</f>
        <v/>
      </c>
      <c r="J48" s="99">
        <f>IFERROR(IF(IFERROR(MATCH(44,'كشف الحساب'!$N$4:$N$203,0),0)=0,"",INDEX('كشف الحساب'!$J$4:$J$203,IFERROR(MATCH(44,'كشف الحساب'!$N$4:$N$203,0),0))),"")</f>
        <v/>
      </c>
      <c r="K48" s="95">
        <f>IFERROR(IF(IFERROR(MATCH(44,'كشف الحساب'!$N$4:$N$203,0),0)=0,"",INDEX('كشف الحساب'!$K$4:$K$203,IFERROR(MATCH(44,'كشف الحساب'!$N$4:$N$203,0),0))),"")</f>
        <v/>
      </c>
    </row>
    <row r="49" ht="15" customHeight="1" s="67">
      <c r="A49" s="88">
        <f>IFERROR(IF(IFERROR(MATCH(45,'كشف الحساب'!$N$4:$N$203,0),0)=0,"",INDEX('كشف الحساب'!$A$4:$A$203,IFERROR(MATCH(45,'كشف الحساب'!$N$4:$N$203,0),0))),"")</f>
        <v/>
      </c>
      <c r="B49" s="89">
        <f>IFERROR(IF(IFERROR(MATCH(45,'كشف الحساب'!$N$4:$N$203,0),0)=0,"",INDEX('كشف الحساب'!$B$4:$B$203,IFERROR(MATCH(45,'كشف الحساب'!$N$4:$N$203,0),0))),"")</f>
        <v/>
      </c>
      <c r="C49" s="90">
        <f>IFERROR(IF(IFERROR(MATCH(45,'كشف الحساب'!$N$4:$N$203,0),0)=0,"",INDEX('كشف الحساب'!$C$4:$C$203,IFERROR(MATCH(45,'كشف الحساب'!$N$4:$N$203,0),0))),"")</f>
        <v/>
      </c>
      <c r="D49" s="91">
        <f>IFERROR(IF(IFERROR(MATCH(45,'كشف الحساب'!$N$4:$N$203,0),0)=0,"",INDEX('كشف الحساب'!$D$4:$D$203,IFERROR(MATCH(45,'كشف الحساب'!$N$4:$N$203,0),0))),"")</f>
        <v/>
      </c>
      <c r="E49" s="92">
        <f>IFERROR(IF(IFERROR(MATCH(45,'كشف الحساب'!$N$4:$N$203,0),0)=0,"",INDEX('كشف الحساب'!$E$4:$E$203,IFERROR(MATCH(45,'كشف الحساب'!$N$4:$N$203,0),0))),"")</f>
        <v/>
      </c>
      <c r="F49" s="89">
        <f>IFERROR(IF(IFERROR(MATCH(45,'كشف الحساب'!$N$4:$N$203,0),0)=0,"",INDEX('كشف الحساب'!$F$4:$F$203,IFERROR(MATCH(45,'كشف الحساب'!$N$4:$N$203,0),0))),"")</f>
        <v/>
      </c>
      <c r="G49" s="89">
        <f>IFERROR(IF(IFERROR(MATCH(45,'كشف الحساب'!$N$4:$N$203,0),0)=0,"",INDEX('كشف الحساب'!$G$4:$G$203,IFERROR(MATCH(45,'كشف الحساب'!$N$4:$N$203,0),0))),"")</f>
        <v/>
      </c>
      <c r="H49" s="89">
        <f>IFERROR(IF(IFERROR(MATCH(45,'كشف الحساب'!$N$4:$N$203,0),0)=0,"",INDEX('كشف الحساب'!$H$4:$H$203,IFERROR(MATCH(45,'كشف الحساب'!$N$4:$N$203,0),0))),"")</f>
        <v/>
      </c>
      <c r="I49" s="89">
        <f>IFERROR(IF(IFERROR(MATCH(45,'كشف الحساب'!$N$4:$N$203,0),0)=0,"",INDEX('كشف الحساب'!$I$4:$I$203,IFERROR(MATCH(45,'كشف الحساب'!$N$4:$N$203,0),0))),"")</f>
        <v/>
      </c>
      <c r="J49" s="93">
        <f>IFERROR(IF(IFERROR(MATCH(45,'كشف الحساب'!$N$4:$N$203,0),0)=0,"",INDEX('كشف الحساب'!$J$4:$J$203,IFERROR(MATCH(45,'كشف الحساب'!$N$4:$N$203,0),0))),"")</f>
        <v/>
      </c>
      <c r="K49" s="89">
        <f>IFERROR(IF(IFERROR(MATCH(45,'كشف الحساب'!$N$4:$N$203,0),0)=0,"",INDEX('كشف الحساب'!$K$4:$K$203,IFERROR(MATCH(45,'كشف الحساب'!$N$4:$N$203,0),0))),"")</f>
        <v/>
      </c>
    </row>
    <row r="50" ht="15" customHeight="1" s="67">
      <c r="A50" s="94">
        <f>IFERROR(IF(IFERROR(MATCH(46,'كشف الحساب'!$N$4:$N$203,0),0)=0,"",INDEX('كشف الحساب'!$A$4:$A$203,IFERROR(MATCH(46,'كشف الحساب'!$N$4:$N$203,0),0))),"")</f>
        <v/>
      </c>
      <c r="B50" s="95">
        <f>IFERROR(IF(IFERROR(MATCH(46,'كشف الحساب'!$N$4:$N$203,0),0)=0,"",INDEX('كشف الحساب'!$B$4:$B$203,IFERROR(MATCH(46,'كشف الحساب'!$N$4:$N$203,0),0))),"")</f>
        <v/>
      </c>
      <c r="C50" s="96">
        <f>IFERROR(IF(IFERROR(MATCH(46,'كشف الحساب'!$N$4:$N$203,0),0)=0,"",INDEX('كشف الحساب'!$C$4:$C$203,IFERROR(MATCH(46,'كشف الحساب'!$N$4:$N$203,0),0))),"")</f>
        <v/>
      </c>
      <c r="D50" s="97">
        <f>IFERROR(IF(IFERROR(MATCH(46,'كشف الحساب'!$N$4:$N$203,0),0)=0,"",INDEX('كشف الحساب'!$D$4:$D$203,IFERROR(MATCH(46,'كشف الحساب'!$N$4:$N$203,0),0))),"")</f>
        <v/>
      </c>
      <c r="E50" s="98">
        <f>IFERROR(IF(IFERROR(MATCH(46,'كشف الحساب'!$N$4:$N$203,0),0)=0,"",INDEX('كشف الحساب'!$E$4:$E$203,IFERROR(MATCH(46,'كشف الحساب'!$N$4:$N$203,0),0))),"")</f>
        <v/>
      </c>
      <c r="F50" s="95">
        <f>IFERROR(IF(IFERROR(MATCH(46,'كشف الحساب'!$N$4:$N$203,0),0)=0,"",INDEX('كشف الحساب'!$F$4:$F$203,IFERROR(MATCH(46,'كشف الحساب'!$N$4:$N$203,0),0))),"")</f>
        <v/>
      </c>
      <c r="G50" s="95">
        <f>IFERROR(IF(IFERROR(MATCH(46,'كشف الحساب'!$N$4:$N$203,0),0)=0,"",INDEX('كشف الحساب'!$G$4:$G$203,IFERROR(MATCH(46,'كشف الحساب'!$N$4:$N$203,0),0))),"")</f>
        <v/>
      </c>
      <c r="H50" s="95">
        <f>IFERROR(IF(IFERROR(MATCH(46,'كشف الحساب'!$N$4:$N$203,0),0)=0,"",INDEX('كشف الحساب'!$H$4:$H$203,IFERROR(MATCH(46,'كشف الحساب'!$N$4:$N$203,0),0))),"")</f>
        <v/>
      </c>
      <c r="I50" s="95">
        <f>IFERROR(IF(IFERROR(MATCH(46,'كشف الحساب'!$N$4:$N$203,0),0)=0,"",INDEX('كشف الحساب'!$I$4:$I$203,IFERROR(MATCH(46,'كشف الحساب'!$N$4:$N$203,0),0))),"")</f>
        <v/>
      </c>
      <c r="J50" s="99">
        <f>IFERROR(IF(IFERROR(MATCH(46,'كشف الحساب'!$N$4:$N$203,0),0)=0,"",INDEX('كشف الحساب'!$J$4:$J$203,IFERROR(MATCH(46,'كشف الحساب'!$N$4:$N$203,0),0))),"")</f>
        <v/>
      </c>
      <c r="K50" s="95">
        <f>IFERROR(IF(IFERROR(MATCH(46,'كشف الحساب'!$N$4:$N$203,0),0)=0,"",INDEX('كشف الحساب'!$K$4:$K$203,IFERROR(MATCH(46,'كشف الحساب'!$N$4:$N$203,0),0))),"")</f>
        <v/>
      </c>
    </row>
    <row r="51" ht="15" customHeight="1" s="67">
      <c r="A51" s="88">
        <f>IFERROR(IF(IFERROR(MATCH(47,'كشف الحساب'!$N$4:$N$203,0),0)=0,"",INDEX('كشف الحساب'!$A$4:$A$203,IFERROR(MATCH(47,'كشف الحساب'!$N$4:$N$203,0),0))),"")</f>
        <v/>
      </c>
      <c r="B51" s="89">
        <f>IFERROR(IF(IFERROR(MATCH(47,'كشف الحساب'!$N$4:$N$203,0),0)=0,"",INDEX('كشف الحساب'!$B$4:$B$203,IFERROR(MATCH(47,'كشف الحساب'!$N$4:$N$203,0),0))),"")</f>
        <v/>
      </c>
      <c r="C51" s="90">
        <f>IFERROR(IF(IFERROR(MATCH(47,'كشف الحساب'!$N$4:$N$203,0),0)=0,"",INDEX('كشف الحساب'!$C$4:$C$203,IFERROR(MATCH(47,'كشف الحساب'!$N$4:$N$203,0),0))),"")</f>
        <v/>
      </c>
      <c r="D51" s="91">
        <f>IFERROR(IF(IFERROR(MATCH(47,'كشف الحساب'!$N$4:$N$203,0),0)=0,"",INDEX('كشف الحساب'!$D$4:$D$203,IFERROR(MATCH(47,'كشف الحساب'!$N$4:$N$203,0),0))),"")</f>
        <v/>
      </c>
      <c r="E51" s="92">
        <f>IFERROR(IF(IFERROR(MATCH(47,'كشف الحساب'!$N$4:$N$203,0),0)=0,"",INDEX('كشف الحساب'!$E$4:$E$203,IFERROR(MATCH(47,'كشف الحساب'!$N$4:$N$203,0),0))),"")</f>
        <v/>
      </c>
      <c r="F51" s="89">
        <f>IFERROR(IF(IFERROR(MATCH(47,'كشف الحساب'!$N$4:$N$203,0),0)=0,"",INDEX('كشف الحساب'!$F$4:$F$203,IFERROR(MATCH(47,'كشف الحساب'!$N$4:$N$203,0),0))),"")</f>
        <v/>
      </c>
      <c r="G51" s="89">
        <f>IFERROR(IF(IFERROR(MATCH(47,'كشف الحساب'!$N$4:$N$203,0),0)=0,"",INDEX('كشف الحساب'!$G$4:$G$203,IFERROR(MATCH(47,'كشف الحساب'!$N$4:$N$203,0),0))),"")</f>
        <v/>
      </c>
      <c r="H51" s="89">
        <f>IFERROR(IF(IFERROR(MATCH(47,'كشف الحساب'!$N$4:$N$203,0),0)=0,"",INDEX('كشف الحساب'!$H$4:$H$203,IFERROR(MATCH(47,'كشف الحساب'!$N$4:$N$203,0),0))),"")</f>
        <v/>
      </c>
      <c r="I51" s="89">
        <f>IFERROR(IF(IFERROR(MATCH(47,'كشف الحساب'!$N$4:$N$203,0),0)=0,"",INDEX('كشف الحساب'!$I$4:$I$203,IFERROR(MATCH(47,'كشف الحساب'!$N$4:$N$203,0),0))),"")</f>
        <v/>
      </c>
      <c r="J51" s="93">
        <f>IFERROR(IF(IFERROR(MATCH(47,'كشف الحساب'!$N$4:$N$203,0),0)=0,"",INDEX('كشف الحساب'!$J$4:$J$203,IFERROR(MATCH(47,'كشف الحساب'!$N$4:$N$203,0),0))),"")</f>
        <v/>
      </c>
      <c r="K51" s="89">
        <f>IFERROR(IF(IFERROR(MATCH(47,'كشف الحساب'!$N$4:$N$203,0),0)=0,"",INDEX('كشف الحساب'!$K$4:$K$203,IFERROR(MATCH(47,'كشف الحساب'!$N$4:$N$203,0),0))),"")</f>
        <v/>
      </c>
    </row>
    <row r="52" ht="15" customHeight="1" s="67">
      <c r="A52" s="94">
        <f>IFERROR(IF(IFERROR(MATCH(48,'كشف الحساب'!$N$4:$N$203,0),0)=0,"",INDEX('كشف الحساب'!$A$4:$A$203,IFERROR(MATCH(48,'كشف الحساب'!$N$4:$N$203,0),0))),"")</f>
        <v/>
      </c>
      <c r="B52" s="95">
        <f>IFERROR(IF(IFERROR(MATCH(48,'كشف الحساب'!$N$4:$N$203,0),0)=0,"",INDEX('كشف الحساب'!$B$4:$B$203,IFERROR(MATCH(48,'كشف الحساب'!$N$4:$N$203,0),0))),"")</f>
        <v/>
      </c>
      <c r="C52" s="96">
        <f>IFERROR(IF(IFERROR(MATCH(48,'كشف الحساب'!$N$4:$N$203,0),0)=0,"",INDEX('كشف الحساب'!$C$4:$C$203,IFERROR(MATCH(48,'كشف الحساب'!$N$4:$N$203,0),0))),"")</f>
        <v/>
      </c>
      <c r="D52" s="97">
        <f>IFERROR(IF(IFERROR(MATCH(48,'كشف الحساب'!$N$4:$N$203,0),0)=0,"",INDEX('كشف الحساب'!$D$4:$D$203,IFERROR(MATCH(48,'كشف الحساب'!$N$4:$N$203,0),0))),"")</f>
        <v/>
      </c>
      <c r="E52" s="98">
        <f>IFERROR(IF(IFERROR(MATCH(48,'كشف الحساب'!$N$4:$N$203,0),0)=0,"",INDEX('كشف الحساب'!$E$4:$E$203,IFERROR(MATCH(48,'كشف الحساب'!$N$4:$N$203,0),0))),"")</f>
        <v/>
      </c>
      <c r="F52" s="95">
        <f>IFERROR(IF(IFERROR(MATCH(48,'كشف الحساب'!$N$4:$N$203,0),0)=0,"",INDEX('كشف الحساب'!$F$4:$F$203,IFERROR(MATCH(48,'كشف الحساب'!$N$4:$N$203,0),0))),"")</f>
        <v/>
      </c>
      <c r="G52" s="95">
        <f>IFERROR(IF(IFERROR(MATCH(48,'كشف الحساب'!$N$4:$N$203,0),0)=0,"",INDEX('كشف الحساب'!$G$4:$G$203,IFERROR(MATCH(48,'كشف الحساب'!$N$4:$N$203,0),0))),"")</f>
        <v/>
      </c>
      <c r="H52" s="95">
        <f>IFERROR(IF(IFERROR(MATCH(48,'كشف الحساب'!$N$4:$N$203,0),0)=0,"",INDEX('كشف الحساب'!$H$4:$H$203,IFERROR(MATCH(48,'كشف الحساب'!$N$4:$N$203,0),0))),"")</f>
        <v/>
      </c>
      <c r="I52" s="95">
        <f>IFERROR(IF(IFERROR(MATCH(48,'كشف الحساب'!$N$4:$N$203,0),0)=0,"",INDEX('كشف الحساب'!$I$4:$I$203,IFERROR(MATCH(48,'كشف الحساب'!$N$4:$N$203,0),0))),"")</f>
        <v/>
      </c>
      <c r="J52" s="99">
        <f>IFERROR(IF(IFERROR(MATCH(48,'كشف الحساب'!$N$4:$N$203,0),0)=0,"",INDEX('كشف الحساب'!$J$4:$J$203,IFERROR(MATCH(48,'كشف الحساب'!$N$4:$N$203,0),0))),"")</f>
        <v/>
      </c>
      <c r="K52" s="95">
        <f>IFERROR(IF(IFERROR(MATCH(48,'كشف الحساب'!$N$4:$N$203,0),0)=0,"",INDEX('كشف الحساب'!$K$4:$K$203,IFERROR(MATCH(48,'كشف الحساب'!$N$4:$N$203,0),0))),"")</f>
        <v/>
      </c>
    </row>
    <row r="53" ht="15" customHeight="1" s="67">
      <c r="A53" s="88">
        <f>IFERROR(IF(IFERROR(MATCH(49,'كشف الحساب'!$N$4:$N$203,0),0)=0,"",INDEX('كشف الحساب'!$A$4:$A$203,IFERROR(MATCH(49,'كشف الحساب'!$N$4:$N$203,0),0))),"")</f>
        <v/>
      </c>
      <c r="B53" s="89">
        <f>IFERROR(IF(IFERROR(MATCH(49,'كشف الحساب'!$N$4:$N$203,0),0)=0,"",INDEX('كشف الحساب'!$B$4:$B$203,IFERROR(MATCH(49,'كشف الحساب'!$N$4:$N$203,0),0))),"")</f>
        <v/>
      </c>
      <c r="C53" s="90">
        <f>IFERROR(IF(IFERROR(MATCH(49,'كشف الحساب'!$N$4:$N$203,0),0)=0,"",INDEX('كشف الحساب'!$C$4:$C$203,IFERROR(MATCH(49,'كشف الحساب'!$N$4:$N$203,0),0))),"")</f>
        <v/>
      </c>
      <c r="D53" s="91">
        <f>IFERROR(IF(IFERROR(MATCH(49,'كشف الحساب'!$N$4:$N$203,0),0)=0,"",INDEX('كشف الحساب'!$D$4:$D$203,IFERROR(MATCH(49,'كشف الحساب'!$N$4:$N$203,0),0))),"")</f>
        <v/>
      </c>
      <c r="E53" s="92">
        <f>IFERROR(IF(IFERROR(MATCH(49,'كشف الحساب'!$N$4:$N$203,0),0)=0,"",INDEX('كشف الحساب'!$E$4:$E$203,IFERROR(MATCH(49,'كشف الحساب'!$N$4:$N$203,0),0))),"")</f>
        <v/>
      </c>
      <c r="F53" s="89">
        <f>IFERROR(IF(IFERROR(MATCH(49,'كشف الحساب'!$N$4:$N$203,0),0)=0,"",INDEX('كشف الحساب'!$F$4:$F$203,IFERROR(MATCH(49,'كشف الحساب'!$N$4:$N$203,0),0))),"")</f>
        <v/>
      </c>
      <c r="G53" s="89">
        <f>IFERROR(IF(IFERROR(MATCH(49,'كشف الحساب'!$N$4:$N$203,0),0)=0,"",INDEX('كشف الحساب'!$G$4:$G$203,IFERROR(MATCH(49,'كشف الحساب'!$N$4:$N$203,0),0))),"")</f>
        <v/>
      </c>
      <c r="H53" s="89">
        <f>IFERROR(IF(IFERROR(MATCH(49,'كشف الحساب'!$N$4:$N$203,0),0)=0,"",INDEX('كشف الحساب'!$H$4:$H$203,IFERROR(MATCH(49,'كشف الحساب'!$N$4:$N$203,0),0))),"")</f>
        <v/>
      </c>
      <c r="I53" s="89">
        <f>IFERROR(IF(IFERROR(MATCH(49,'كشف الحساب'!$N$4:$N$203,0),0)=0,"",INDEX('كشف الحساب'!$I$4:$I$203,IFERROR(MATCH(49,'كشف الحساب'!$N$4:$N$203,0),0))),"")</f>
        <v/>
      </c>
      <c r="J53" s="93">
        <f>IFERROR(IF(IFERROR(MATCH(49,'كشف الحساب'!$N$4:$N$203,0),0)=0,"",INDEX('كشف الحساب'!$J$4:$J$203,IFERROR(MATCH(49,'كشف الحساب'!$N$4:$N$203,0),0))),"")</f>
        <v/>
      </c>
      <c r="K53" s="89">
        <f>IFERROR(IF(IFERROR(MATCH(49,'كشف الحساب'!$N$4:$N$203,0),0)=0,"",INDEX('كشف الحساب'!$K$4:$K$203,IFERROR(MATCH(49,'كشف الحساب'!$N$4:$N$203,0),0))),"")</f>
        <v/>
      </c>
    </row>
    <row r="54" ht="15" customHeight="1" s="67">
      <c r="A54" s="94">
        <f>IFERROR(IF(IFERROR(MATCH(50,'كشف الحساب'!$N$4:$N$203,0),0)=0,"",INDEX('كشف الحساب'!$A$4:$A$203,IFERROR(MATCH(50,'كشف الحساب'!$N$4:$N$203,0),0))),"")</f>
        <v/>
      </c>
      <c r="B54" s="95">
        <f>IFERROR(IF(IFERROR(MATCH(50,'كشف الحساب'!$N$4:$N$203,0),0)=0,"",INDEX('كشف الحساب'!$B$4:$B$203,IFERROR(MATCH(50,'كشف الحساب'!$N$4:$N$203,0),0))),"")</f>
        <v/>
      </c>
      <c r="C54" s="96">
        <f>IFERROR(IF(IFERROR(MATCH(50,'كشف الحساب'!$N$4:$N$203,0),0)=0,"",INDEX('كشف الحساب'!$C$4:$C$203,IFERROR(MATCH(50,'كشف الحساب'!$N$4:$N$203,0),0))),"")</f>
        <v/>
      </c>
      <c r="D54" s="97">
        <f>IFERROR(IF(IFERROR(MATCH(50,'كشف الحساب'!$N$4:$N$203,0),0)=0,"",INDEX('كشف الحساب'!$D$4:$D$203,IFERROR(MATCH(50,'كشف الحساب'!$N$4:$N$203,0),0))),"")</f>
        <v/>
      </c>
      <c r="E54" s="98">
        <f>IFERROR(IF(IFERROR(MATCH(50,'كشف الحساب'!$N$4:$N$203,0),0)=0,"",INDEX('كشف الحساب'!$E$4:$E$203,IFERROR(MATCH(50,'كشف الحساب'!$N$4:$N$203,0),0))),"")</f>
        <v/>
      </c>
      <c r="F54" s="95">
        <f>IFERROR(IF(IFERROR(MATCH(50,'كشف الحساب'!$N$4:$N$203,0),0)=0,"",INDEX('كشف الحساب'!$F$4:$F$203,IFERROR(MATCH(50,'كشف الحساب'!$N$4:$N$203,0),0))),"")</f>
        <v/>
      </c>
      <c r="G54" s="95">
        <f>IFERROR(IF(IFERROR(MATCH(50,'كشف الحساب'!$N$4:$N$203,0),0)=0,"",INDEX('كشف الحساب'!$G$4:$G$203,IFERROR(MATCH(50,'كشف الحساب'!$N$4:$N$203,0),0))),"")</f>
        <v/>
      </c>
      <c r="H54" s="95">
        <f>IFERROR(IF(IFERROR(MATCH(50,'كشف الحساب'!$N$4:$N$203,0),0)=0,"",INDEX('كشف الحساب'!$H$4:$H$203,IFERROR(MATCH(50,'كشف الحساب'!$N$4:$N$203,0),0))),"")</f>
        <v/>
      </c>
      <c r="I54" s="95">
        <f>IFERROR(IF(IFERROR(MATCH(50,'كشف الحساب'!$N$4:$N$203,0),0)=0,"",INDEX('كشف الحساب'!$I$4:$I$203,IFERROR(MATCH(50,'كشف الحساب'!$N$4:$N$203,0),0))),"")</f>
        <v/>
      </c>
      <c r="J54" s="99">
        <f>IFERROR(IF(IFERROR(MATCH(50,'كشف الحساب'!$N$4:$N$203,0),0)=0,"",INDEX('كشف الحساب'!$J$4:$J$203,IFERROR(MATCH(50,'كشف الحساب'!$N$4:$N$203,0),0))),"")</f>
        <v/>
      </c>
      <c r="K54" s="95">
        <f>IFERROR(IF(IFERROR(MATCH(50,'كشف الحساب'!$N$4:$N$203,0),0)=0,"",INDEX('كشف الحساب'!$K$4:$K$203,IFERROR(MATCH(50,'كشف الحساب'!$N$4:$N$203,0),0))),"")</f>
        <v/>
      </c>
    </row>
    <row r="55" ht="15" customHeight="1" s="67">
      <c r="A55" s="88">
        <f>IFERROR(IF(IFERROR(MATCH(51,'كشف الحساب'!$N$4:$N$203,0),0)=0,"",INDEX('كشف الحساب'!$A$4:$A$203,IFERROR(MATCH(51,'كشف الحساب'!$N$4:$N$203,0),0))),"")</f>
        <v/>
      </c>
      <c r="B55" s="89">
        <f>IFERROR(IF(IFERROR(MATCH(51,'كشف الحساب'!$N$4:$N$203,0),0)=0,"",INDEX('كشف الحساب'!$B$4:$B$203,IFERROR(MATCH(51,'كشف الحساب'!$N$4:$N$203,0),0))),"")</f>
        <v/>
      </c>
      <c r="C55" s="90">
        <f>IFERROR(IF(IFERROR(MATCH(51,'كشف الحساب'!$N$4:$N$203,0),0)=0,"",INDEX('كشف الحساب'!$C$4:$C$203,IFERROR(MATCH(51,'كشف الحساب'!$N$4:$N$203,0),0))),"")</f>
        <v/>
      </c>
      <c r="D55" s="91">
        <f>IFERROR(IF(IFERROR(MATCH(51,'كشف الحساب'!$N$4:$N$203,0),0)=0,"",INDEX('كشف الحساب'!$D$4:$D$203,IFERROR(MATCH(51,'كشف الحساب'!$N$4:$N$203,0),0))),"")</f>
        <v/>
      </c>
      <c r="E55" s="92">
        <f>IFERROR(IF(IFERROR(MATCH(51,'كشف الحساب'!$N$4:$N$203,0),0)=0,"",INDEX('كشف الحساب'!$E$4:$E$203,IFERROR(MATCH(51,'كشف الحساب'!$N$4:$N$203,0),0))),"")</f>
        <v/>
      </c>
      <c r="F55" s="89">
        <f>IFERROR(IF(IFERROR(MATCH(51,'كشف الحساب'!$N$4:$N$203,0),0)=0,"",INDEX('كشف الحساب'!$F$4:$F$203,IFERROR(MATCH(51,'كشف الحساب'!$N$4:$N$203,0),0))),"")</f>
        <v/>
      </c>
      <c r="G55" s="89">
        <f>IFERROR(IF(IFERROR(MATCH(51,'كشف الحساب'!$N$4:$N$203,0),0)=0,"",INDEX('كشف الحساب'!$G$4:$G$203,IFERROR(MATCH(51,'كشف الحساب'!$N$4:$N$203,0),0))),"")</f>
        <v/>
      </c>
      <c r="H55" s="89">
        <f>IFERROR(IF(IFERROR(MATCH(51,'كشف الحساب'!$N$4:$N$203,0),0)=0,"",INDEX('كشف الحساب'!$H$4:$H$203,IFERROR(MATCH(51,'كشف الحساب'!$N$4:$N$203,0),0))),"")</f>
        <v/>
      </c>
      <c r="I55" s="89">
        <f>IFERROR(IF(IFERROR(MATCH(51,'كشف الحساب'!$N$4:$N$203,0),0)=0,"",INDEX('كشف الحساب'!$I$4:$I$203,IFERROR(MATCH(51,'كشف الحساب'!$N$4:$N$203,0),0))),"")</f>
        <v/>
      </c>
      <c r="J55" s="93">
        <f>IFERROR(IF(IFERROR(MATCH(51,'كشف الحساب'!$N$4:$N$203,0),0)=0,"",INDEX('كشف الحساب'!$J$4:$J$203,IFERROR(MATCH(51,'كشف الحساب'!$N$4:$N$203,0),0))),"")</f>
        <v/>
      </c>
      <c r="K55" s="89">
        <f>IFERROR(IF(IFERROR(MATCH(51,'كشف الحساب'!$N$4:$N$203,0),0)=0,"",INDEX('كشف الحساب'!$K$4:$K$203,IFERROR(MATCH(51,'كشف الحساب'!$N$4:$N$203,0),0))),"")</f>
        <v/>
      </c>
    </row>
    <row r="56" ht="15" customHeight="1" s="67">
      <c r="A56" s="94">
        <f>IFERROR(IF(IFERROR(MATCH(52,'كشف الحساب'!$N$4:$N$203,0),0)=0,"",INDEX('كشف الحساب'!$A$4:$A$203,IFERROR(MATCH(52,'كشف الحساب'!$N$4:$N$203,0),0))),"")</f>
        <v/>
      </c>
      <c r="B56" s="95">
        <f>IFERROR(IF(IFERROR(MATCH(52,'كشف الحساب'!$N$4:$N$203,0),0)=0,"",INDEX('كشف الحساب'!$B$4:$B$203,IFERROR(MATCH(52,'كشف الحساب'!$N$4:$N$203,0),0))),"")</f>
        <v/>
      </c>
      <c r="C56" s="96">
        <f>IFERROR(IF(IFERROR(MATCH(52,'كشف الحساب'!$N$4:$N$203,0),0)=0,"",INDEX('كشف الحساب'!$C$4:$C$203,IFERROR(MATCH(52,'كشف الحساب'!$N$4:$N$203,0),0))),"")</f>
        <v/>
      </c>
      <c r="D56" s="97">
        <f>IFERROR(IF(IFERROR(MATCH(52,'كشف الحساب'!$N$4:$N$203,0),0)=0,"",INDEX('كشف الحساب'!$D$4:$D$203,IFERROR(MATCH(52,'كشف الحساب'!$N$4:$N$203,0),0))),"")</f>
        <v/>
      </c>
      <c r="E56" s="98">
        <f>IFERROR(IF(IFERROR(MATCH(52,'كشف الحساب'!$N$4:$N$203,0),0)=0,"",INDEX('كشف الحساب'!$E$4:$E$203,IFERROR(MATCH(52,'كشف الحساب'!$N$4:$N$203,0),0))),"")</f>
        <v/>
      </c>
      <c r="F56" s="95">
        <f>IFERROR(IF(IFERROR(MATCH(52,'كشف الحساب'!$N$4:$N$203,0),0)=0,"",INDEX('كشف الحساب'!$F$4:$F$203,IFERROR(MATCH(52,'كشف الحساب'!$N$4:$N$203,0),0))),"")</f>
        <v/>
      </c>
      <c r="G56" s="95">
        <f>IFERROR(IF(IFERROR(MATCH(52,'كشف الحساب'!$N$4:$N$203,0),0)=0,"",INDEX('كشف الحساب'!$G$4:$G$203,IFERROR(MATCH(52,'كشف الحساب'!$N$4:$N$203,0),0))),"")</f>
        <v/>
      </c>
      <c r="H56" s="95">
        <f>IFERROR(IF(IFERROR(MATCH(52,'كشف الحساب'!$N$4:$N$203,0),0)=0,"",INDEX('كشف الحساب'!$H$4:$H$203,IFERROR(MATCH(52,'كشف الحساب'!$N$4:$N$203,0),0))),"")</f>
        <v/>
      </c>
      <c r="I56" s="95">
        <f>IFERROR(IF(IFERROR(MATCH(52,'كشف الحساب'!$N$4:$N$203,0),0)=0,"",INDEX('كشف الحساب'!$I$4:$I$203,IFERROR(MATCH(52,'كشف الحساب'!$N$4:$N$203,0),0))),"")</f>
        <v/>
      </c>
      <c r="J56" s="99">
        <f>IFERROR(IF(IFERROR(MATCH(52,'كشف الحساب'!$N$4:$N$203,0),0)=0,"",INDEX('كشف الحساب'!$J$4:$J$203,IFERROR(MATCH(52,'كشف الحساب'!$N$4:$N$203,0),0))),"")</f>
        <v/>
      </c>
      <c r="K56" s="95">
        <f>IFERROR(IF(IFERROR(MATCH(52,'كشف الحساب'!$N$4:$N$203,0),0)=0,"",INDEX('كشف الحساب'!$K$4:$K$203,IFERROR(MATCH(52,'كشف الحساب'!$N$4:$N$203,0),0))),"")</f>
        <v/>
      </c>
    </row>
    <row r="57" ht="15" customHeight="1" s="67">
      <c r="A57" s="88">
        <f>IFERROR(IF(IFERROR(MATCH(53,'كشف الحساب'!$N$4:$N$203,0),0)=0,"",INDEX('كشف الحساب'!$A$4:$A$203,IFERROR(MATCH(53,'كشف الحساب'!$N$4:$N$203,0),0))),"")</f>
        <v/>
      </c>
      <c r="B57" s="89">
        <f>IFERROR(IF(IFERROR(MATCH(53,'كشف الحساب'!$N$4:$N$203,0),0)=0,"",INDEX('كشف الحساب'!$B$4:$B$203,IFERROR(MATCH(53,'كشف الحساب'!$N$4:$N$203,0),0))),"")</f>
        <v/>
      </c>
      <c r="C57" s="90">
        <f>IFERROR(IF(IFERROR(MATCH(53,'كشف الحساب'!$N$4:$N$203,0),0)=0,"",INDEX('كشف الحساب'!$C$4:$C$203,IFERROR(MATCH(53,'كشف الحساب'!$N$4:$N$203,0),0))),"")</f>
        <v/>
      </c>
      <c r="D57" s="91">
        <f>IFERROR(IF(IFERROR(MATCH(53,'كشف الحساب'!$N$4:$N$203,0),0)=0,"",INDEX('كشف الحساب'!$D$4:$D$203,IFERROR(MATCH(53,'كشف الحساب'!$N$4:$N$203,0),0))),"")</f>
        <v/>
      </c>
      <c r="E57" s="92">
        <f>IFERROR(IF(IFERROR(MATCH(53,'كشف الحساب'!$N$4:$N$203,0),0)=0,"",INDEX('كشف الحساب'!$E$4:$E$203,IFERROR(MATCH(53,'كشف الحساب'!$N$4:$N$203,0),0))),"")</f>
        <v/>
      </c>
      <c r="F57" s="89">
        <f>IFERROR(IF(IFERROR(MATCH(53,'كشف الحساب'!$N$4:$N$203,0),0)=0,"",INDEX('كشف الحساب'!$F$4:$F$203,IFERROR(MATCH(53,'كشف الحساب'!$N$4:$N$203,0),0))),"")</f>
        <v/>
      </c>
      <c r="G57" s="89">
        <f>IFERROR(IF(IFERROR(MATCH(53,'كشف الحساب'!$N$4:$N$203,0),0)=0,"",INDEX('كشف الحساب'!$G$4:$G$203,IFERROR(MATCH(53,'كشف الحساب'!$N$4:$N$203,0),0))),"")</f>
        <v/>
      </c>
      <c r="H57" s="89">
        <f>IFERROR(IF(IFERROR(MATCH(53,'كشف الحساب'!$N$4:$N$203,0),0)=0,"",INDEX('كشف الحساب'!$H$4:$H$203,IFERROR(MATCH(53,'كشف الحساب'!$N$4:$N$203,0),0))),"")</f>
        <v/>
      </c>
      <c r="I57" s="89">
        <f>IFERROR(IF(IFERROR(MATCH(53,'كشف الحساب'!$N$4:$N$203,0),0)=0,"",INDEX('كشف الحساب'!$I$4:$I$203,IFERROR(MATCH(53,'كشف الحساب'!$N$4:$N$203,0),0))),"")</f>
        <v/>
      </c>
      <c r="J57" s="93">
        <f>IFERROR(IF(IFERROR(MATCH(53,'كشف الحساب'!$N$4:$N$203,0),0)=0,"",INDEX('كشف الحساب'!$J$4:$J$203,IFERROR(MATCH(53,'كشف الحساب'!$N$4:$N$203,0),0))),"")</f>
        <v/>
      </c>
      <c r="K57" s="89">
        <f>IFERROR(IF(IFERROR(MATCH(53,'كشف الحساب'!$N$4:$N$203,0),0)=0,"",INDEX('كشف الحساب'!$K$4:$K$203,IFERROR(MATCH(53,'كشف الحساب'!$N$4:$N$203,0),0))),"")</f>
        <v/>
      </c>
    </row>
    <row r="58" ht="15" customHeight="1" s="67">
      <c r="A58" s="94">
        <f>IFERROR(IF(IFERROR(MATCH(54,'كشف الحساب'!$N$4:$N$203,0),0)=0,"",INDEX('كشف الحساب'!$A$4:$A$203,IFERROR(MATCH(54,'كشف الحساب'!$N$4:$N$203,0),0))),"")</f>
        <v/>
      </c>
      <c r="B58" s="95">
        <f>IFERROR(IF(IFERROR(MATCH(54,'كشف الحساب'!$N$4:$N$203,0),0)=0,"",INDEX('كشف الحساب'!$B$4:$B$203,IFERROR(MATCH(54,'كشف الحساب'!$N$4:$N$203,0),0))),"")</f>
        <v/>
      </c>
      <c r="C58" s="96">
        <f>IFERROR(IF(IFERROR(MATCH(54,'كشف الحساب'!$N$4:$N$203,0),0)=0,"",INDEX('كشف الحساب'!$C$4:$C$203,IFERROR(MATCH(54,'كشف الحساب'!$N$4:$N$203,0),0))),"")</f>
        <v/>
      </c>
      <c r="D58" s="97">
        <f>IFERROR(IF(IFERROR(MATCH(54,'كشف الحساب'!$N$4:$N$203,0),0)=0,"",INDEX('كشف الحساب'!$D$4:$D$203,IFERROR(MATCH(54,'كشف الحساب'!$N$4:$N$203,0),0))),"")</f>
        <v/>
      </c>
      <c r="E58" s="98">
        <f>IFERROR(IF(IFERROR(MATCH(54,'كشف الحساب'!$N$4:$N$203,0),0)=0,"",INDEX('كشف الحساب'!$E$4:$E$203,IFERROR(MATCH(54,'كشف الحساب'!$N$4:$N$203,0),0))),"")</f>
        <v/>
      </c>
      <c r="F58" s="95">
        <f>IFERROR(IF(IFERROR(MATCH(54,'كشف الحساب'!$N$4:$N$203,0),0)=0,"",INDEX('كشف الحساب'!$F$4:$F$203,IFERROR(MATCH(54,'كشف الحساب'!$N$4:$N$203,0),0))),"")</f>
        <v/>
      </c>
      <c r="G58" s="95">
        <f>IFERROR(IF(IFERROR(MATCH(54,'كشف الحساب'!$N$4:$N$203,0),0)=0,"",INDEX('كشف الحساب'!$G$4:$G$203,IFERROR(MATCH(54,'كشف الحساب'!$N$4:$N$203,0),0))),"")</f>
        <v/>
      </c>
      <c r="H58" s="95">
        <f>IFERROR(IF(IFERROR(MATCH(54,'كشف الحساب'!$N$4:$N$203,0),0)=0,"",INDEX('كشف الحساب'!$H$4:$H$203,IFERROR(MATCH(54,'كشف الحساب'!$N$4:$N$203,0),0))),"")</f>
        <v/>
      </c>
      <c r="I58" s="95">
        <f>IFERROR(IF(IFERROR(MATCH(54,'كشف الحساب'!$N$4:$N$203,0),0)=0,"",INDEX('كشف الحساب'!$I$4:$I$203,IFERROR(MATCH(54,'كشف الحساب'!$N$4:$N$203,0),0))),"")</f>
        <v/>
      </c>
      <c r="J58" s="99">
        <f>IFERROR(IF(IFERROR(MATCH(54,'كشف الحساب'!$N$4:$N$203,0),0)=0,"",INDEX('كشف الحساب'!$J$4:$J$203,IFERROR(MATCH(54,'كشف الحساب'!$N$4:$N$203,0),0))),"")</f>
        <v/>
      </c>
      <c r="K58" s="95">
        <f>IFERROR(IF(IFERROR(MATCH(54,'كشف الحساب'!$N$4:$N$203,0),0)=0,"",INDEX('كشف الحساب'!$K$4:$K$203,IFERROR(MATCH(54,'كشف الحساب'!$N$4:$N$203,0),0))),"")</f>
        <v/>
      </c>
    </row>
    <row r="59" ht="15" customHeight="1" s="67">
      <c r="A59" s="88">
        <f>IFERROR(IF(IFERROR(MATCH(55,'كشف الحساب'!$N$4:$N$203,0),0)=0,"",INDEX('كشف الحساب'!$A$4:$A$203,IFERROR(MATCH(55,'كشف الحساب'!$N$4:$N$203,0),0))),"")</f>
        <v/>
      </c>
      <c r="B59" s="89">
        <f>IFERROR(IF(IFERROR(MATCH(55,'كشف الحساب'!$N$4:$N$203,0),0)=0,"",INDEX('كشف الحساب'!$B$4:$B$203,IFERROR(MATCH(55,'كشف الحساب'!$N$4:$N$203,0),0))),"")</f>
        <v/>
      </c>
      <c r="C59" s="90">
        <f>IFERROR(IF(IFERROR(MATCH(55,'كشف الحساب'!$N$4:$N$203,0),0)=0,"",INDEX('كشف الحساب'!$C$4:$C$203,IFERROR(MATCH(55,'كشف الحساب'!$N$4:$N$203,0),0))),"")</f>
        <v/>
      </c>
      <c r="D59" s="91">
        <f>IFERROR(IF(IFERROR(MATCH(55,'كشف الحساب'!$N$4:$N$203,0),0)=0,"",INDEX('كشف الحساب'!$D$4:$D$203,IFERROR(MATCH(55,'كشف الحساب'!$N$4:$N$203,0),0))),"")</f>
        <v/>
      </c>
      <c r="E59" s="92">
        <f>IFERROR(IF(IFERROR(MATCH(55,'كشف الحساب'!$N$4:$N$203,0),0)=0,"",INDEX('كشف الحساب'!$E$4:$E$203,IFERROR(MATCH(55,'كشف الحساب'!$N$4:$N$203,0),0))),"")</f>
        <v/>
      </c>
      <c r="F59" s="89">
        <f>IFERROR(IF(IFERROR(MATCH(55,'كشف الحساب'!$N$4:$N$203,0),0)=0,"",INDEX('كشف الحساب'!$F$4:$F$203,IFERROR(MATCH(55,'كشف الحساب'!$N$4:$N$203,0),0))),"")</f>
        <v/>
      </c>
      <c r="G59" s="89">
        <f>IFERROR(IF(IFERROR(MATCH(55,'كشف الحساب'!$N$4:$N$203,0),0)=0,"",INDEX('كشف الحساب'!$G$4:$G$203,IFERROR(MATCH(55,'كشف الحساب'!$N$4:$N$203,0),0))),"")</f>
        <v/>
      </c>
      <c r="H59" s="89">
        <f>IFERROR(IF(IFERROR(MATCH(55,'كشف الحساب'!$N$4:$N$203,0),0)=0,"",INDEX('كشف الحساب'!$H$4:$H$203,IFERROR(MATCH(55,'كشف الحساب'!$N$4:$N$203,0),0))),"")</f>
        <v/>
      </c>
      <c r="I59" s="89">
        <f>IFERROR(IF(IFERROR(MATCH(55,'كشف الحساب'!$N$4:$N$203,0),0)=0,"",INDEX('كشف الحساب'!$I$4:$I$203,IFERROR(MATCH(55,'كشف الحساب'!$N$4:$N$203,0),0))),"")</f>
        <v/>
      </c>
      <c r="J59" s="93">
        <f>IFERROR(IF(IFERROR(MATCH(55,'كشف الحساب'!$N$4:$N$203,0),0)=0,"",INDEX('كشف الحساب'!$J$4:$J$203,IFERROR(MATCH(55,'كشف الحساب'!$N$4:$N$203,0),0))),"")</f>
        <v/>
      </c>
      <c r="K59" s="89">
        <f>IFERROR(IF(IFERROR(MATCH(55,'كشف الحساب'!$N$4:$N$203,0),0)=0,"",INDEX('كشف الحساب'!$K$4:$K$203,IFERROR(MATCH(55,'كشف الحساب'!$N$4:$N$203,0),0))),"")</f>
        <v/>
      </c>
    </row>
    <row r="60" ht="15" customHeight="1" s="67">
      <c r="A60" s="94">
        <f>IFERROR(IF(IFERROR(MATCH(56,'كشف الحساب'!$N$4:$N$203,0),0)=0,"",INDEX('كشف الحساب'!$A$4:$A$203,IFERROR(MATCH(56,'كشف الحساب'!$N$4:$N$203,0),0))),"")</f>
        <v/>
      </c>
      <c r="B60" s="95">
        <f>IFERROR(IF(IFERROR(MATCH(56,'كشف الحساب'!$N$4:$N$203,0),0)=0,"",INDEX('كشف الحساب'!$B$4:$B$203,IFERROR(MATCH(56,'كشف الحساب'!$N$4:$N$203,0),0))),"")</f>
        <v/>
      </c>
      <c r="C60" s="96">
        <f>IFERROR(IF(IFERROR(MATCH(56,'كشف الحساب'!$N$4:$N$203,0),0)=0,"",INDEX('كشف الحساب'!$C$4:$C$203,IFERROR(MATCH(56,'كشف الحساب'!$N$4:$N$203,0),0))),"")</f>
        <v/>
      </c>
      <c r="D60" s="97">
        <f>IFERROR(IF(IFERROR(MATCH(56,'كشف الحساب'!$N$4:$N$203,0),0)=0,"",INDEX('كشف الحساب'!$D$4:$D$203,IFERROR(MATCH(56,'كشف الحساب'!$N$4:$N$203,0),0))),"")</f>
        <v/>
      </c>
      <c r="E60" s="98">
        <f>IFERROR(IF(IFERROR(MATCH(56,'كشف الحساب'!$N$4:$N$203,0),0)=0,"",INDEX('كشف الحساب'!$E$4:$E$203,IFERROR(MATCH(56,'كشف الحساب'!$N$4:$N$203,0),0))),"")</f>
        <v/>
      </c>
      <c r="F60" s="95">
        <f>IFERROR(IF(IFERROR(MATCH(56,'كشف الحساب'!$N$4:$N$203,0),0)=0,"",INDEX('كشف الحساب'!$F$4:$F$203,IFERROR(MATCH(56,'كشف الحساب'!$N$4:$N$203,0),0))),"")</f>
        <v/>
      </c>
      <c r="G60" s="95">
        <f>IFERROR(IF(IFERROR(MATCH(56,'كشف الحساب'!$N$4:$N$203,0),0)=0,"",INDEX('كشف الحساب'!$G$4:$G$203,IFERROR(MATCH(56,'كشف الحساب'!$N$4:$N$203,0),0))),"")</f>
        <v/>
      </c>
      <c r="H60" s="95">
        <f>IFERROR(IF(IFERROR(MATCH(56,'كشف الحساب'!$N$4:$N$203,0),0)=0,"",INDEX('كشف الحساب'!$H$4:$H$203,IFERROR(MATCH(56,'كشف الحساب'!$N$4:$N$203,0),0))),"")</f>
        <v/>
      </c>
      <c r="I60" s="95">
        <f>IFERROR(IF(IFERROR(MATCH(56,'كشف الحساب'!$N$4:$N$203,0),0)=0,"",INDEX('كشف الحساب'!$I$4:$I$203,IFERROR(MATCH(56,'كشف الحساب'!$N$4:$N$203,0),0))),"")</f>
        <v/>
      </c>
      <c r="J60" s="99">
        <f>IFERROR(IF(IFERROR(MATCH(56,'كشف الحساب'!$N$4:$N$203,0),0)=0,"",INDEX('كشف الحساب'!$J$4:$J$203,IFERROR(MATCH(56,'كشف الحساب'!$N$4:$N$203,0),0))),"")</f>
        <v/>
      </c>
      <c r="K60" s="95">
        <f>IFERROR(IF(IFERROR(MATCH(56,'كشف الحساب'!$N$4:$N$203,0),0)=0,"",INDEX('كشف الحساب'!$K$4:$K$203,IFERROR(MATCH(56,'كشف الحساب'!$N$4:$N$203,0),0))),"")</f>
        <v/>
      </c>
    </row>
    <row r="61" ht="15" customHeight="1" s="67">
      <c r="A61" s="88">
        <f>IFERROR(IF(IFERROR(MATCH(57,'كشف الحساب'!$N$4:$N$203,0),0)=0,"",INDEX('كشف الحساب'!$A$4:$A$203,IFERROR(MATCH(57,'كشف الحساب'!$N$4:$N$203,0),0))),"")</f>
        <v/>
      </c>
      <c r="B61" s="89">
        <f>IFERROR(IF(IFERROR(MATCH(57,'كشف الحساب'!$N$4:$N$203,0),0)=0,"",INDEX('كشف الحساب'!$B$4:$B$203,IFERROR(MATCH(57,'كشف الحساب'!$N$4:$N$203,0),0))),"")</f>
        <v/>
      </c>
      <c r="C61" s="90">
        <f>IFERROR(IF(IFERROR(MATCH(57,'كشف الحساب'!$N$4:$N$203,0),0)=0,"",INDEX('كشف الحساب'!$C$4:$C$203,IFERROR(MATCH(57,'كشف الحساب'!$N$4:$N$203,0),0))),"")</f>
        <v/>
      </c>
      <c r="D61" s="91">
        <f>IFERROR(IF(IFERROR(MATCH(57,'كشف الحساب'!$N$4:$N$203,0),0)=0,"",INDEX('كشف الحساب'!$D$4:$D$203,IFERROR(MATCH(57,'كشف الحساب'!$N$4:$N$203,0),0))),"")</f>
        <v/>
      </c>
      <c r="E61" s="92">
        <f>IFERROR(IF(IFERROR(MATCH(57,'كشف الحساب'!$N$4:$N$203,0),0)=0,"",INDEX('كشف الحساب'!$E$4:$E$203,IFERROR(MATCH(57,'كشف الحساب'!$N$4:$N$203,0),0))),"")</f>
        <v/>
      </c>
      <c r="F61" s="89">
        <f>IFERROR(IF(IFERROR(MATCH(57,'كشف الحساب'!$N$4:$N$203,0),0)=0,"",INDEX('كشف الحساب'!$F$4:$F$203,IFERROR(MATCH(57,'كشف الحساب'!$N$4:$N$203,0),0))),"")</f>
        <v/>
      </c>
      <c r="G61" s="89">
        <f>IFERROR(IF(IFERROR(MATCH(57,'كشف الحساب'!$N$4:$N$203,0),0)=0,"",INDEX('كشف الحساب'!$G$4:$G$203,IFERROR(MATCH(57,'كشف الحساب'!$N$4:$N$203,0),0))),"")</f>
        <v/>
      </c>
      <c r="H61" s="89">
        <f>IFERROR(IF(IFERROR(MATCH(57,'كشف الحساب'!$N$4:$N$203,0),0)=0,"",INDEX('كشف الحساب'!$H$4:$H$203,IFERROR(MATCH(57,'كشف الحساب'!$N$4:$N$203,0),0))),"")</f>
        <v/>
      </c>
      <c r="I61" s="89">
        <f>IFERROR(IF(IFERROR(MATCH(57,'كشف الحساب'!$N$4:$N$203,0),0)=0,"",INDEX('كشف الحساب'!$I$4:$I$203,IFERROR(MATCH(57,'كشف الحساب'!$N$4:$N$203,0),0))),"")</f>
        <v/>
      </c>
      <c r="J61" s="93">
        <f>IFERROR(IF(IFERROR(MATCH(57,'كشف الحساب'!$N$4:$N$203,0),0)=0,"",INDEX('كشف الحساب'!$J$4:$J$203,IFERROR(MATCH(57,'كشف الحساب'!$N$4:$N$203,0),0))),"")</f>
        <v/>
      </c>
      <c r="K61" s="89">
        <f>IFERROR(IF(IFERROR(MATCH(57,'كشف الحساب'!$N$4:$N$203,0),0)=0,"",INDEX('كشف الحساب'!$K$4:$K$203,IFERROR(MATCH(57,'كشف الحساب'!$N$4:$N$203,0),0))),"")</f>
        <v/>
      </c>
    </row>
    <row r="62" ht="15" customHeight="1" s="67">
      <c r="A62" s="94">
        <f>IFERROR(IF(IFERROR(MATCH(58,'كشف الحساب'!$N$4:$N$203,0),0)=0,"",INDEX('كشف الحساب'!$A$4:$A$203,IFERROR(MATCH(58,'كشف الحساب'!$N$4:$N$203,0),0))),"")</f>
        <v/>
      </c>
      <c r="B62" s="95">
        <f>IFERROR(IF(IFERROR(MATCH(58,'كشف الحساب'!$N$4:$N$203,0),0)=0,"",INDEX('كشف الحساب'!$B$4:$B$203,IFERROR(MATCH(58,'كشف الحساب'!$N$4:$N$203,0),0))),"")</f>
        <v/>
      </c>
      <c r="C62" s="96">
        <f>IFERROR(IF(IFERROR(MATCH(58,'كشف الحساب'!$N$4:$N$203,0),0)=0,"",INDEX('كشف الحساب'!$C$4:$C$203,IFERROR(MATCH(58,'كشف الحساب'!$N$4:$N$203,0),0))),"")</f>
        <v/>
      </c>
      <c r="D62" s="97">
        <f>IFERROR(IF(IFERROR(MATCH(58,'كشف الحساب'!$N$4:$N$203,0),0)=0,"",INDEX('كشف الحساب'!$D$4:$D$203,IFERROR(MATCH(58,'كشف الحساب'!$N$4:$N$203,0),0))),"")</f>
        <v/>
      </c>
      <c r="E62" s="98">
        <f>IFERROR(IF(IFERROR(MATCH(58,'كشف الحساب'!$N$4:$N$203,0),0)=0,"",INDEX('كشف الحساب'!$E$4:$E$203,IFERROR(MATCH(58,'كشف الحساب'!$N$4:$N$203,0),0))),"")</f>
        <v/>
      </c>
      <c r="F62" s="95">
        <f>IFERROR(IF(IFERROR(MATCH(58,'كشف الحساب'!$N$4:$N$203,0),0)=0,"",INDEX('كشف الحساب'!$F$4:$F$203,IFERROR(MATCH(58,'كشف الحساب'!$N$4:$N$203,0),0))),"")</f>
        <v/>
      </c>
      <c r="G62" s="95">
        <f>IFERROR(IF(IFERROR(MATCH(58,'كشف الحساب'!$N$4:$N$203,0),0)=0,"",INDEX('كشف الحساب'!$G$4:$G$203,IFERROR(MATCH(58,'كشف الحساب'!$N$4:$N$203,0),0))),"")</f>
        <v/>
      </c>
      <c r="H62" s="95">
        <f>IFERROR(IF(IFERROR(MATCH(58,'كشف الحساب'!$N$4:$N$203,0),0)=0,"",INDEX('كشف الحساب'!$H$4:$H$203,IFERROR(MATCH(58,'كشف الحساب'!$N$4:$N$203,0),0))),"")</f>
        <v/>
      </c>
      <c r="I62" s="95">
        <f>IFERROR(IF(IFERROR(MATCH(58,'كشف الحساب'!$N$4:$N$203,0),0)=0,"",INDEX('كشف الحساب'!$I$4:$I$203,IFERROR(MATCH(58,'كشف الحساب'!$N$4:$N$203,0),0))),"")</f>
        <v/>
      </c>
      <c r="J62" s="99">
        <f>IFERROR(IF(IFERROR(MATCH(58,'كشف الحساب'!$N$4:$N$203,0),0)=0,"",INDEX('كشف الحساب'!$J$4:$J$203,IFERROR(MATCH(58,'كشف الحساب'!$N$4:$N$203,0),0))),"")</f>
        <v/>
      </c>
      <c r="K62" s="95">
        <f>IFERROR(IF(IFERROR(MATCH(58,'كشف الحساب'!$N$4:$N$203,0),0)=0,"",INDEX('كشف الحساب'!$K$4:$K$203,IFERROR(MATCH(58,'كشف الحساب'!$N$4:$N$203,0),0))),"")</f>
        <v/>
      </c>
    </row>
    <row r="63" ht="15" customHeight="1" s="67">
      <c r="A63" s="88">
        <f>IFERROR(IF(IFERROR(MATCH(59,'كشف الحساب'!$N$4:$N$203,0),0)=0,"",INDEX('كشف الحساب'!$A$4:$A$203,IFERROR(MATCH(59,'كشف الحساب'!$N$4:$N$203,0),0))),"")</f>
        <v/>
      </c>
      <c r="B63" s="89">
        <f>IFERROR(IF(IFERROR(MATCH(59,'كشف الحساب'!$N$4:$N$203,0),0)=0,"",INDEX('كشف الحساب'!$B$4:$B$203,IFERROR(MATCH(59,'كشف الحساب'!$N$4:$N$203,0),0))),"")</f>
        <v/>
      </c>
      <c r="C63" s="90">
        <f>IFERROR(IF(IFERROR(MATCH(59,'كشف الحساب'!$N$4:$N$203,0),0)=0,"",INDEX('كشف الحساب'!$C$4:$C$203,IFERROR(MATCH(59,'كشف الحساب'!$N$4:$N$203,0),0))),"")</f>
        <v/>
      </c>
      <c r="D63" s="91">
        <f>IFERROR(IF(IFERROR(MATCH(59,'كشف الحساب'!$N$4:$N$203,0),0)=0,"",INDEX('كشف الحساب'!$D$4:$D$203,IFERROR(MATCH(59,'كشف الحساب'!$N$4:$N$203,0),0))),"")</f>
        <v/>
      </c>
      <c r="E63" s="92">
        <f>IFERROR(IF(IFERROR(MATCH(59,'كشف الحساب'!$N$4:$N$203,0),0)=0,"",INDEX('كشف الحساب'!$E$4:$E$203,IFERROR(MATCH(59,'كشف الحساب'!$N$4:$N$203,0),0))),"")</f>
        <v/>
      </c>
      <c r="F63" s="89">
        <f>IFERROR(IF(IFERROR(MATCH(59,'كشف الحساب'!$N$4:$N$203,0),0)=0,"",INDEX('كشف الحساب'!$F$4:$F$203,IFERROR(MATCH(59,'كشف الحساب'!$N$4:$N$203,0),0))),"")</f>
        <v/>
      </c>
      <c r="G63" s="89">
        <f>IFERROR(IF(IFERROR(MATCH(59,'كشف الحساب'!$N$4:$N$203,0),0)=0,"",INDEX('كشف الحساب'!$G$4:$G$203,IFERROR(MATCH(59,'كشف الحساب'!$N$4:$N$203,0),0))),"")</f>
        <v/>
      </c>
      <c r="H63" s="89">
        <f>IFERROR(IF(IFERROR(MATCH(59,'كشف الحساب'!$N$4:$N$203,0),0)=0,"",INDEX('كشف الحساب'!$H$4:$H$203,IFERROR(MATCH(59,'كشف الحساب'!$N$4:$N$203,0),0))),"")</f>
        <v/>
      </c>
      <c r="I63" s="89">
        <f>IFERROR(IF(IFERROR(MATCH(59,'كشف الحساب'!$N$4:$N$203,0),0)=0,"",INDEX('كشف الحساب'!$I$4:$I$203,IFERROR(MATCH(59,'كشف الحساب'!$N$4:$N$203,0),0))),"")</f>
        <v/>
      </c>
      <c r="J63" s="93">
        <f>IFERROR(IF(IFERROR(MATCH(59,'كشف الحساب'!$N$4:$N$203,0),0)=0,"",INDEX('كشف الحساب'!$J$4:$J$203,IFERROR(MATCH(59,'كشف الحساب'!$N$4:$N$203,0),0))),"")</f>
        <v/>
      </c>
      <c r="K63" s="89">
        <f>IFERROR(IF(IFERROR(MATCH(59,'كشف الحساب'!$N$4:$N$203,0),0)=0,"",INDEX('كشف الحساب'!$K$4:$K$203,IFERROR(MATCH(59,'كشف الحساب'!$N$4:$N$203,0),0))),"")</f>
        <v/>
      </c>
    </row>
    <row r="64" ht="15" customHeight="1" s="67">
      <c r="A64" s="94">
        <f>IFERROR(IF(IFERROR(MATCH(60,'كشف الحساب'!$N$4:$N$203,0),0)=0,"",INDEX('كشف الحساب'!$A$4:$A$203,IFERROR(MATCH(60,'كشف الحساب'!$N$4:$N$203,0),0))),"")</f>
        <v/>
      </c>
      <c r="B64" s="95">
        <f>IFERROR(IF(IFERROR(MATCH(60,'كشف الحساب'!$N$4:$N$203,0),0)=0,"",INDEX('كشف الحساب'!$B$4:$B$203,IFERROR(MATCH(60,'كشف الحساب'!$N$4:$N$203,0),0))),"")</f>
        <v/>
      </c>
      <c r="C64" s="96">
        <f>IFERROR(IF(IFERROR(MATCH(60,'كشف الحساب'!$N$4:$N$203,0),0)=0,"",INDEX('كشف الحساب'!$C$4:$C$203,IFERROR(MATCH(60,'كشف الحساب'!$N$4:$N$203,0),0))),"")</f>
        <v/>
      </c>
      <c r="D64" s="97">
        <f>IFERROR(IF(IFERROR(MATCH(60,'كشف الحساب'!$N$4:$N$203,0),0)=0,"",INDEX('كشف الحساب'!$D$4:$D$203,IFERROR(MATCH(60,'كشف الحساب'!$N$4:$N$203,0),0))),"")</f>
        <v/>
      </c>
      <c r="E64" s="98">
        <f>IFERROR(IF(IFERROR(MATCH(60,'كشف الحساب'!$N$4:$N$203,0),0)=0,"",INDEX('كشف الحساب'!$E$4:$E$203,IFERROR(MATCH(60,'كشف الحساب'!$N$4:$N$203,0),0))),"")</f>
        <v/>
      </c>
      <c r="F64" s="95">
        <f>IFERROR(IF(IFERROR(MATCH(60,'كشف الحساب'!$N$4:$N$203,0),0)=0,"",INDEX('كشف الحساب'!$F$4:$F$203,IFERROR(MATCH(60,'كشف الحساب'!$N$4:$N$203,0),0))),"")</f>
        <v/>
      </c>
      <c r="G64" s="95">
        <f>IFERROR(IF(IFERROR(MATCH(60,'كشف الحساب'!$N$4:$N$203,0),0)=0,"",INDEX('كشف الحساب'!$G$4:$G$203,IFERROR(MATCH(60,'كشف الحساب'!$N$4:$N$203,0),0))),"")</f>
        <v/>
      </c>
      <c r="H64" s="95">
        <f>IFERROR(IF(IFERROR(MATCH(60,'كشف الحساب'!$N$4:$N$203,0),0)=0,"",INDEX('كشف الحساب'!$H$4:$H$203,IFERROR(MATCH(60,'كشف الحساب'!$N$4:$N$203,0),0))),"")</f>
        <v/>
      </c>
      <c r="I64" s="95">
        <f>IFERROR(IF(IFERROR(MATCH(60,'كشف الحساب'!$N$4:$N$203,0),0)=0,"",INDEX('كشف الحساب'!$I$4:$I$203,IFERROR(MATCH(60,'كشف الحساب'!$N$4:$N$203,0),0))),"")</f>
        <v/>
      </c>
      <c r="J64" s="99">
        <f>IFERROR(IF(IFERROR(MATCH(60,'كشف الحساب'!$N$4:$N$203,0),0)=0,"",INDEX('كشف الحساب'!$J$4:$J$203,IFERROR(MATCH(60,'كشف الحساب'!$N$4:$N$203,0),0))),"")</f>
        <v/>
      </c>
      <c r="K64" s="95">
        <f>IFERROR(IF(IFERROR(MATCH(60,'كشف الحساب'!$N$4:$N$203,0),0)=0,"",INDEX('كشف الحساب'!$K$4:$K$203,IFERROR(MATCH(60,'كشف الحساب'!$N$4:$N$203,0),0))),"")</f>
        <v/>
      </c>
    </row>
    <row r="65" ht="15" customHeight="1" s="67">
      <c r="A65" s="88">
        <f>IFERROR(IF(IFERROR(MATCH(61,'كشف الحساب'!$N$4:$N$203,0),0)=0,"",INDEX('كشف الحساب'!$A$4:$A$203,IFERROR(MATCH(61,'كشف الحساب'!$N$4:$N$203,0),0))),"")</f>
        <v/>
      </c>
      <c r="B65" s="89">
        <f>IFERROR(IF(IFERROR(MATCH(61,'كشف الحساب'!$N$4:$N$203,0),0)=0,"",INDEX('كشف الحساب'!$B$4:$B$203,IFERROR(MATCH(61,'كشف الحساب'!$N$4:$N$203,0),0))),"")</f>
        <v/>
      </c>
      <c r="C65" s="90">
        <f>IFERROR(IF(IFERROR(MATCH(61,'كشف الحساب'!$N$4:$N$203,0),0)=0,"",INDEX('كشف الحساب'!$C$4:$C$203,IFERROR(MATCH(61,'كشف الحساب'!$N$4:$N$203,0),0))),"")</f>
        <v/>
      </c>
      <c r="D65" s="91">
        <f>IFERROR(IF(IFERROR(MATCH(61,'كشف الحساب'!$N$4:$N$203,0),0)=0,"",INDEX('كشف الحساب'!$D$4:$D$203,IFERROR(MATCH(61,'كشف الحساب'!$N$4:$N$203,0),0))),"")</f>
        <v/>
      </c>
      <c r="E65" s="92">
        <f>IFERROR(IF(IFERROR(MATCH(61,'كشف الحساب'!$N$4:$N$203,0),0)=0,"",INDEX('كشف الحساب'!$E$4:$E$203,IFERROR(MATCH(61,'كشف الحساب'!$N$4:$N$203,0),0))),"")</f>
        <v/>
      </c>
      <c r="F65" s="89">
        <f>IFERROR(IF(IFERROR(MATCH(61,'كشف الحساب'!$N$4:$N$203,0),0)=0,"",INDEX('كشف الحساب'!$F$4:$F$203,IFERROR(MATCH(61,'كشف الحساب'!$N$4:$N$203,0),0))),"")</f>
        <v/>
      </c>
      <c r="G65" s="89">
        <f>IFERROR(IF(IFERROR(MATCH(61,'كشف الحساب'!$N$4:$N$203,0),0)=0,"",INDEX('كشف الحساب'!$G$4:$G$203,IFERROR(MATCH(61,'كشف الحساب'!$N$4:$N$203,0),0))),"")</f>
        <v/>
      </c>
      <c r="H65" s="89">
        <f>IFERROR(IF(IFERROR(MATCH(61,'كشف الحساب'!$N$4:$N$203,0),0)=0,"",INDEX('كشف الحساب'!$H$4:$H$203,IFERROR(MATCH(61,'كشف الحساب'!$N$4:$N$203,0),0))),"")</f>
        <v/>
      </c>
      <c r="I65" s="89">
        <f>IFERROR(IF(IFERROR(MATCH(61,'كشف الحساب'!$N$4:$N$203,0),0)=0,"",INDEX('كشف الحساب'!$I$4:$I$203,IFERROR(MATCH(61,'كشف الحساب'!$N$4:$N$203,0),0))),"")</f>
        <v/>
      </c>
      <c r="J65" s="93">
        <f>IFERROR(IF(IFERROR(MATCH(61,'كشف الحساب'!$N$4:$N$203,0),0)=0,"",INDEX('كشف الحساب'!$J$4:$J$203,IFERROR(MATCH(61,'كشف الحساب'!$N$4:$N$203,0),0))),"")</f>
        <v/>
      </c>
      <c r="K65" s="89">
        <f>IFERROR(IF(IFERROR(MATCH(61,'كشف الحساب'!$N$4:$N$203,0),0)=0,"",INDEX('كشف الحساب'!$K$4:$K$203,IFERROR(MATCH(61,'كشف الحساب'!$N$4:$N$203,0),0))),"")</f>
        <v/>
      </c>
    </row>
    <row r="66" ht="15" customHeight="1" s="67">
      <c r="A66" s="94">
        <f>IFERROR(IF(IFERROR(MATCH(62,'كشف الحساب'!$N$4:$N$203,0),0)=0,"",INDEX('كشف الحساب'!$A$4:$A$203,IFERROR(MATCH(62,'كشف الحساب'!$N$4:$N$203,0),0))),"")</f>
        <v/>
      </c>
      <c r="B66" s="95">
        <f>IFERROR(IF(IFERROR(MATCH(62,'كشف الحساب'!$N$4:$N$203,0),0)=0,"",INDEX('كشف الحساب'!$B$4:$B$203,IFERROR(MATCH(62,'كشف الحساب'!$N$4:$N$203,0),0))),"")</f>
        <v/>
      </c>
      <c r="C66" s="96">
        <f>IFERROR(IF(IFERROR(MATCH(62,'كشف الحساب'!$N$4:$N$203,0),0)=0,"",INDEX('كشف الحساب'!$C$4:$C$203,IFERROR(MATCH(62,'كشف الحساب'!$N$4:$N$203,0),0))),"")</f>
        <v/>
      </c>
      <c r="D66" s="97">
        <f>IFERROR(IF(IFERROR(MATCH(62,'كشف الحساب'!$N$4:$N$203,0),0)=0,"",INDEX('كشف الحساب'!$D$4:$D$203,IFERROR(MATCH(62,'كشف الحساب'!$N$4:$N$203,0),0))),"")</f>
        <v/>
      </c>
      <c r="E66" s="98">
        <f>IFERROR(IF(IFERROR(MATCH(62,'كشف الحساب'!$N$4:$N$203,0),0)=0,"",INDEX('كشف الحساب'!$E$4:$E$203,IFERROR(MATCH(62,'كشف الحساب'!$N$4:$N$203,0),0))),"")</f>
        <v/>
      </c>
      <c r="F66" s="95">
        <f>IFERROR(IF(IFERROR(MATCH(62,'كشف الحساب'!$N$4:$N$203,0),0)=0,"",INDEX('كشف الحساب'!$F$4:$F$203,IFERROR(MATCH(62,'كشف الحساب'!$N$4:$N$203,0),0))),"")</f>
        <v/>
      </c>
      <c r="G66" s="95">
        <f>IFERROR(IF(IFERROR(MATCH(62,'كشف الحساب'!$N$4:$N$203,0),0)=0,"",INDEX('كشف الحساب'!$G$4:$G$203,IFERROR(MATCH(62,'كشف الحساب'!$N$4:$N$203,0),0))),"")</f>
        <v/>
      </c>
      <c r="H66" s="95">
        <f>IFERROR(IF(IFERROR(MATCH(62,'كشف الحساب'!$N$4:$N$203,0),0)=0,"",INDEX('كشف الحساب'!$H$4:$H$203,IFERROR(MATCH(62,'كشف الحساب'!$N$4:$N$203,0),0))),"")</f>
        <v/>
      </c>
      <c r="I66" s="95">
        <f>IFERROR(IF(IFERROR(MATCH(62,'كشف الحساب'!$N$4:$N$203,0),0)=0,"",INDEX('كشف الحساب'!$I$4:$I$203,IFERROR(MATCH(62,'كشف الحساب'!$N$4:$N$203,0),0))),"")</f>
        <v/>
      </c>
      <c r="J66" s="99">
        <f>IFERROR(IF(IFERROR(MATCH(62,'كشف الحساب'!$N$4:$N$203,0),0)=0,"",INDEX('كشف الحساب'!$J$4:$J$203,IFERROR(MATCH(62,'كشف الحساب'!$N$4:$N$203,0),0))),"")</f>
        <v/>
      </c>
      <c r="K66" s="95">
        <f>IFERROR(IF(IFERROR(MATCH(62,'كشف الحساب'!$N$4:$N$203,0),0)=0,"",INDEX('كشف الحساب'!$K$4:$K$203,IFERROR(MATCH(62,'كشف الحساب'!$N$4:$N$203,0),0))),"")</f>
        <v/>
      </c>
    </row>
    <row r="67" ht="15" customHeight="1" s="67">
      <c r="A67" s="88">
        <f>IFERROR(IF(IFERROR(MATCH(63,'كشف الحساب'!$N$4:$N$203,0),0)=0,"",INDEX('كشف الحساب'!$A$4:$A$203,IFERROR(MATCH(63,'كشف الحساب'!$N$4:$N$203,0),0))),"")</f>
        <v/>
      </c>
      <c r="B67" s="89">
        <f>IFERROR(IF(IFERROR(MATCH(63,'كشف الحساب'!$N$4:$N$203,0),0)=0,"",INDEX('كشف الحساب'!$B$4:$B$203,IFERROR(MATCH(63,'كشف الحساب'!$N$4:$N$203,0),0))),"")</f>
        <v/>
      </c>
      <c r="C67" s="90">
        <f>IFERROR(IF(IFERROR(MATCH(63,'كشف الحساب'!$N$4:$N$203,0),0)=0,"",INDEX('كشف الحساب'!$C$4:$C$203,IFERROR(MATCH(63,'كشف الحساب'!$N$4:$N$203,0),0))),"")</f>
        <v/>
      </c>
      <c r="D67" s="91">
        <f>IFERROR(IF(IFERROR(MATCH(63,'كشف الحساب'!$N$4:$N$203,0),0)=0,"",INDEX('كشف الحساب'!$D$4:$D$203,IFERROR(MATCH(63,'كشف الحساب'!$N$4:$N$203,0),0))),"")</f>
        <v/>
      </c>
      <c r="E67" s="92">
        <f>IFERROR(IF(IFERROR(MATCH(63,'كشف الحساب'!$N$4:$N$203,0),0)=0,"",INDEX('كشف الحساب'!$E$4:$E$203,IFERROR(MATCH(63,'كشف الحساب'!$N$4:$N$203,0),0))),"")</f>
        <v/>
      </c>
      <c r="F67" s="89">
        <f>IFERROR(IF(IFERROR(MATCH(63,'كشف الحساب'!$N$4:$N$203,0),0)=0,"",INDEX('كشف الحساب'!$F$4:$F$203,IFERROR(MATCH(63,'كشف الحساب'!$N$4:$N$203,0),0))),"")</f>
        <v/>
      </c>
      <c r="G67" s="89">
        <f>IFERROR(IF(IFERROR(MATCH(63,'كشف الحساب'!$N$4:$N$203,0),0)=0,"",INDEX('كشف الحساب'!$G$4:$G$203,IFERROR(MATCH(63,'كشف الحساب'!$N$4:$N$203,0),0))),"")</f>
        <v/>
      </c>
      <c r="H67" s="89">
        <f>IFERROR(IF(IFERROR(MATCH(63,'كشف الحساب'!$N$4:$N$203,0),0)=0,"",INDEX('كشف الحساب'!$H$4:$H$203,IFERROR(MATCH(63,'كشف الحساب'!$N$4:$N$203,0),0))),"")</f>
        <v/>
      </c>
      <c r="I67" s="89">
        <f>IFERROR(IF(IFERROR(MATCH(63,'كشف الحساب'!$N$4:$N$203,0),0)=0,"",INDEX('كشف الحساب'!$I$4:$I$203,IFERROR(MATCH(63,'كشف الحساب'!$N$4:$N$203,0),0))),"")</f>
        <v/>
      </c>
      <c r="J67" s="93">
        <f>IFERROR(IF(IFERROR(MATCH(63,'كشف الحساب'!$N$4:$N$203,0),0)=0,"",INDEX('كشف الحساب'!$J$4:$J$203,IFERROR(MATCH(63,'كشف الحساب'!$N$4:$N$203,0),0))),"")</f>
        <v/>
      </c>
      <c r="K67" s="89">
        <f>IFERROR(IF(IFERROR(MATCH(63,'كشف الحساب'!$N$4:$N$203,0),0)=0,"",INDEX('كشف الحساب'!$K$4:$K$203,IFERROR(MATCH(63,'كشف الحساب'!$N$4:$N$203,0),0))),"")</f>
        <v/>
      </c>
    </row>
    <row r="68" ht="15" customHeight="1" s="67">
      <c r="A68" s="94">
        <f>IFERROR(IF(IFERROR(MATCH(64,'كشف الحساب'!$N$4:$N$203,0),0)=0,"",INDEX('كشف الحساب'!$A$4:$A$203,IFERROR(MATCH(64,'كشف الحساب'!$N$4:$N$203,0),0))),"")</f>
        <v/>
      </c>
      <c r="B68" s="95">
        <f>IFERROR(IF(IFERROR(MATCH(64,'كشف الحساب'!$N$4:$N$203,0),0)=0,"",INDEX('كشف الحساب'!$B$4:$B$203,IFERROR(MATCH(64,'كشف الحساب'!$N$4:$N$203,0),0))),"")</f>
        <v/>
      </c>
      <c r="C68" s="96">
        <f>IFERROR(IF(IFERROR(MATCH(64,'كشف الحساب'!$N$4:$N$203,0),0)=0,"",INDEX('كشف الحساب'!$C$4:$C$203,IFERROR(MATCH(64,'كشف الحساب'!$N$4:$N$203,0),0))),"")</f>
        <v/>
      </c>
      <c r="D68" s="97">
        <f>IFERROR(IF(IFERROR(MATCH(64,'كشف الحساب'!$N$4:$N$203,0),0)=0,"",INDEX('كشف الحساب'!$D$4:$D$203,IFERROR(MATCH(64,'كشف الحساب'!$N$4:$N$203,0),0))),"")</f>
        <v/>
      </c>
      <c r="E68" s="98">
        <f>IFERROR(IF(IFERROR(MATCH(64,'كشف الحساب'!$N$4:$N$203,0),0)=0,"",INDEX('كشف الحساب'!$E$4:$E$203,IFERROR(MATCH(64,'كشف الحساب'!$N$4:$N$203,0),0))),"")</f>
        <v/>
      </c>
      <c r="F68" s="95">
        <f>IFERROR(IF(IFERROR(MATCH(64,'كشف الحساب'!$N$4:$N$203,0),0)=0,"",INDEX('كشف الحساب'!$F$4:$F$203,IFERROR(MATCH(64,'كشف الحساب'!$N$4:$N$203,0),0))),"")</f>
        <v/>
      </c>
      <c r="G68" s="95">
        <f>IFERROR(IF(IFERROR(MATCH(64,'كشف الحساب'!$N$4:$N$203,0),0)=0,"",INDEX('كشف الحساب'!$G$4:$G$203,IFERROR(MATCH(64,'كشف الحساب'!$N$4:$N$203,0),0))),"")</f>
        <v/>
      </c>
      <c r="H68" s="95">
        <f>IFERROR(IF(IFERROR(MATCH(64,'كشف الحساب'!$N$4:$N$203,0),0)=0,"",INDEX('كشف الحساب'!$H$4:$H$203,IFERROR(MATCH(64,'كشف الحساب'!$N$4:$N$203,0),0))),"")</f>
        <v/>
      </c>
      <c r="I68" s="95">
        <f>IFERROR(IF(IFERROR(MATCH(64,'كشف الحساب'!$N$4:$N$203,0),0)=0,"",INDEX('كشف الحساب'!$I$4:$I$203,IFERROR(MATCH(64,'كشف الحساب'!$N$4:$N$203,0),0))),"")</f>
        <v/>
      </c>
      <c r="J68" s="99">
        <f>IFERROR(IF(IFERROR(MATCH(64,'كشف الحساب'!$N$4:$N$203,0),0)=0,"",INDEX('كشف الحساب'!$J$4:$J$203,IFERROR(MATCH(64,'كشف الحساب'!$N$4:$N$203,0),0))),"")</f>
        <v/>
      </c>
      <c r="K68" s="95">
        <f>IFERROR(IF(IFERROR(MATCH(64,'كشف الحساب'!$N$4:$N$203,0),0)=0,"",INDEX('كشف الحساب'!$K$4:$K$203,IFERROR(MATCH(64,'كشف الحساب'!$N$4:$N$203,0),0))),"")</f>
        <v/>
      </c>
    </row>
    <row r="69" ht="15" customHeight="1" s="67">
      <c r="A69" s="88">
        <f>IFERROR(IF(IFERROR(MATCH(65,'كشف الحساب'!$N$4:$N$203,0),0)=0,"",INDEX('كشف الحساب'!$A$4:$A$203,IFERROR(MATCH(65,'كشف الحساب'!$N$4:$N$203,0),0))),"")</f>
        <v/>
      </c>
      <c r="B69" s="89">
        <f>IFERROR(IF(IFERROR(MATCH(65,'كشف الحساب'!$N$4:$N$203,0),0)=0,"",INDEX('كشف الحساب'!$B$4:$B$203,IFERROR(MATCH(65,'كشف الحساب'!$N$4:$N$203,0),0))),"")</f>
        <v/>
      </c>
      <c r="C69" s="90">
        <f>IFERROR(IF(IFERROR(MATCH(65,'كشف الحساب'!$N$4:$N$203,0),0)=0,"",INDEX('كشف الحساب'!$C$4:$C$203,IFERROR(MATCH(65,'كشف الحساب'!$N$4:$N$203,0),0))),"")</f>
        <v/>
      </c>
      <c r="D69" s="91">
        <f>IFERROR(IF(IFERROR(MATCH(65,'كشف الحساب'!$N$4:$N$203,0),0)=0,"",INDEX('كشف الحساب'!$D$4:$D$203,IFERROR(MATCH(65,'كشف الحساب'!$N$4:$N$203,0),0))),"")</f>
        <v/>
      </c>
      <c r="E69" s="92">
        <f>IFERROR(IF(IFERROR(MATCH(65,'كشف الحساب'!$N$4:$N$203,0),0)=0,"",INDEX('كشف الحساب'!$E$4:$E$203,IFERROR(MATCH(65,'كشف الحساب'!$N$4:$N$203,0),0))),"")</f>
        <v/>
      </c>
      <c r="F69" s="89">
        <f>IFERROR(IF(IFERROR(MATCH(65,'كشف الحساب'!$N$4:$N$203,0),0)=0,"",INDEX('كشف الحساب'!$F$4:$F$203,IFERROR(MATCH(65,'كشف الحساب'!$N$4:$N$203,0),0))),"")</f>
        <v/>
      </c>
      <c r="G69" s="89">
        <f>IFERROR(IF(IFERROR(MATCH(65,'كشف الحساب'!$N$4:$N$203,0),0)=0,"",INDEX('كشف الحساب'!$G$4:$G$203,IFERROR(MATCH(65,'كشف الحساب'!$N$4:$N$203,0),0))),"")</f>
        <v/>
      </c>
      <c r="H69" s="89">
        <f>IFERROR(IF(IFERROR(MATCH(65,'كشف الحساب'!$N$4:$N$203,0),0)=0,"",INDEX('كشف الحساب'!$H$4:$H$203,IFERROR(MATCH(65,'كشف الحساب'!$N$4:$N$203,0),0))),"")</f>
        <v/>
      </c>
      <c r="I69" s="89">
        <f>IFERROR(IF(IFERROR(MATCH(65,'كشف الحساب'!$N$4:$N$203,0),0)=0,"",INDEX('كشف الحساب'!$I$4:$I$203,IFERROR(MATCH(65,'كشف الحساب'!$N$4:$N$203,0),0))),"")</f>
        <v/>
      </c>
      <c r="J69" s="93">
        <f>IFERROR(IF(IFERROR(MATCH(65,'كشف الحساب'!$N$4:$N$203,0),0)=0,"",INDEX('كشف الحساب'!$J$4:$J$203,IFERROR(MATCH(65,'كشف الحساب'!$N$4:$N$203,0),0))),"")</f>
        <v/>
      </c>
      <c r="K69" s="89">
        <f>IFERROR(IF(IFERROR(MATCH(65,'كشف الحساب'!$N$4:$N$203,0),0)=0,"",INDEX('كشف الحساب'!$K$4:$K$203,IFERROR(MATCH(65,'كشف الحساب'!$N$4:$N$203,0),0))),"")</f>
        <v/>
      </c>
    </row>
    <row r="70" ht="15" customHeight="1" s="67">
      <c r="A70" s="94">
        <f>IFERROR(IF(IFERROR(MATCH(66,'كشف الحساب'!$N$4:$N$203,0),0)=0,"",INDEX('كشف الحساب'!$A$4:$A$203,IFERROR(MATCH(66,'كشف الحساب'!$N$4:$N$203,0),0))),"")</f>
        <v/>
      </c>
      <c r="B70" s="95">
        <f>IFERROR(IF(IFERROR(MATCH(66,'كشف الحساب'!$N$4:$N$203,0),0)=0,"",INDEX('كشف الحساب'!$B$4:$B$203,IFERROR(MATCH(66,'كشف الحساب'!$N$4:$N$203,0),0))),"")</f>
        <v/>
      </c>
      <c r="C70" s="96">
        <f>IFERROR(IF(IFERROR(MATCH(66,'كشف الحساب'!$N$4:$N$203,0),0)=0,"",INDEX('كشف الحساب'!$C$4:$C$203,IFERROR(MATCH(66,'كشف الحساب'!$N$4:$N$203,0),0))),"")</f>
        <v/>
      </c>
      <c r="D70" s="97">
        <f>IFERROR(IF(IFERROR(MATCH(66,'كشف الحساب'!$N$4:$N$203,0),0)=0,"",INDEX('كشف الحساب'!$D$4:$D$203,IFERROR(MATCH(66,'كشف الحساب'!$N$4:$N$203,0),0))),"")</f>
        <v/>
      </c>
      <c r="E70" s="98">
        <f>IFERROR(IF(IFERROR(MATCH(66,'كشف الحساب'!$N$4:$N$203,0),0)=0,"",INDEX('كشف الحساب'!$E$4:$E$203,IFERROR(MATCH(66,'كشف الحساب'!$N$4:$N$203,0),0))),"")</f>
        <v/>
      </c>
      <c r="F70" s="95">
        <f>IFERROR(IF(IFERROR(MATCH(66,'كشف الحساب'!$N$4:$N$203,0),0)=0,"",INDEX('كشف الحساب'!$F$4:$F$203,IFERROR(MATCH(66,'كشف الحساب'!$N$4:$N$203,0),0))),"")</f>
        <v/>
      </c>
      <c r="G70" s="95">
        <f>IFERROR(IF(IFERROR(MATCH(66,'كشف الحساب'!$N$4:$N$203,0),0)=0,"",INDEX('كشف الحساب'!$G$4:$G$203,IFERROR(MATCH(66,'كشف الحساب'!$N$4:$N$203,0),0))),"")</f>
        <v/>
      </c>
      <c r="H70" s="95">
        <f>IFERROR(IF(IFERROR(MATCH(66,'كشف الحساب'!$N$4:$N$203,0),0)=0,"",INDEX('كشف الحساب'!$H$4:$H$203,IFERROR(MATCH(66,'كشف الحساب'!$N$4:$N$203,0),0))),"")</f>
        <v/>
      </c>
      <c r="I70" s="95">
        <f>IFERROR(IF(IFERROR(MATCH(66,'كشف الحساب'!$N$4:$N$203,0),0)=0,"",INDEX('كشف الحساب'!$I$4:$I$203,IFERROR(MATCH(66,'كشف الحساب'!$N$4:$N$203,0),0))),"")</f>
        <v/>
      </c>
      <c r="J70" s="99">
        <f>IFERROR(IF(IFERROR(MATCH(66,'كشف الحساب'!$N$4:$N$203,0),0)=0,"",INDEX('كشف الحساب'!$J$4:$J$203,IFERROR(MATCH(66,'كشف الحساب'!$N$4:$N$203,0),0))),"")</f>
        <v/>
      </c>
      <c r="K70" s="95">
        <f>IFERROR(IF(IFERROR(MATCH(66,'كشف الحساب'!$N$4:$N$203,0),0)=0,"",INDEX('كشف الحساب'!$K$4:$K$203,IFERROR(MATCH(66,'كشف الحساب'!$N$4:$N$203,0),0))),"")</f>
        <v/>
      </c>
    </row>
    <row r="71" ht="15" customHeight="1" s="67">
      <c r="A71" s="88">
        <f>IFERROR(IF(IFERROR(MATCH(67,'كشف الحساب'!$N$4:$N$203,0),0)=0,"",INDEX('كشف الحساب'!$A$4:$A$203,IFERROR(MATCH(67,'كشف الحساب'!$N$4:$N$203,0),0))),"")</f>
        <v/>
      </c>
      <c r="B71" s="89">
        <f>IFERROR(IF(IFERROR(MATCH(67,'كشف الحساب'!$N$4:$N$203,0),0)=0,"",INDEX('كشف الحساب'!$B$4:$B$203,IFERROR(MATCH(67,'كشف الحساب'!$N$4:$N$203,0),0))),"")</f>
        <v/>
      </c>
      <c r="C71" s="90">
        <f>IFERROR(IF(IFERROR(MATCH(67,'كشف الحساب'!$N$4:$N$203,0),0)=0,"",INDEX('كشف الحساب'!$C$4:$C$203,IFERROR(MATCH(67,'كشف الحساب'!$N$4:$N$203,0),0))),"")</f>
        <v/>
      </c>
      <c r="D71" s="91">
        <f>IFERROR(IF(IFERROR(MATCH(67,'كشف الحساب'!$N$4:$N$203,0),0)=0,"",INDEX('كشف الحساب'!$D$4:$D$203,IFERROR(MATCH(67,'كشف الحساب'!$N$4:$N$203,0),0))),"")</f>
        <v/>
      </c>
      <c r="E71" s="92">
        <f>IFERROR(IF(IFERROR(MATCH(67,'كشف الحساب'!$N$4:$N$203,0),0)=0,"",INDEX('كشف الحساب'!$E$4:$E$203,IFERROR(MATCH(67,'كشف الحساب'!$N$4:$N$203,0),0))),"")</f>
        <v/>
      </c>
      <c r="F71" s="89">
        <f>IFERROR(IF(IFERROR(MATCH(67,'كشف الحساب'!$N$4:$N$203,0),0)=0,"",INDEX('كشف الحساب'!$F$4:$F$203,IFERROR(MATCH(67,'كشف الحساب'!$N$4:$N$203,0),0))),"")</f>
        <v/>
      </c>
      <c r="G71" s="89">
        <f>IFERROR(IF(IFERROR(MATCH(67,'كشف الحساب'!$N$4:$N$203,0),0)=0,"",INDEX('كشف الحساب'!$G$4:$G$203,IFERROR(MATCH(67,'كشف الحساب'!$N$4:$N$203,0),0))),"")</f>
        <v/>
      </c>
      <c r="H71" s="89">
        <f>IFERROR(IF(IFERROR(MATCH(67,'كشف الحساب'!$N$4:$N$203,0),0)=0,"",INDEX('كشف الحساب'!$H$4:$H$203,IFERROR(MATCH(67,'كشف الحساب'!$N$4:$N$203,0),0))),"")</f>
        <v/>
      </c>
      <c r="I71" s="89">
        <f>IFERROR(IF(IFERROR(MATCH(67,'كشف الحساب'!$N$4:$N$203,0),0)=0,"",INDEX('كشف الحساب'!$I$4:$I$203,IFERROR(MATCH(67,'كشف الحساب'!$N$4:$N$203,0),0))),"")</f>
        <v/>
      </c>
      <c r="J71" s="93">
        <f>IFERROR(IF(IFERROR(MATCH(67,'كشف الحساب'!$N$4:$N$203,0),0)=0,"",INDEX('كشف الحساب'!$J$4:$J$203,IFERROR(MATCH(67,'كشف الحساب'!$N$4:$N$203,0),0))),"")</f>
        <v/>
      </c>
      <c r="K71" s="89">
        <f>IFERROR(IF(IFERROR(MATCH(67,'كشف الحساب'!$N$4:$N$203,0),0)=0,"",INDEX('كشف الحساب'!$K$4:$K$203,IFERROR(MATCH(67,'كشف الحساب'!$N$4:$N$203,0),0))),"")</f>
        <v/>
      </c>
    </row>
    <row r="72" ht="15" customHeight="1" s="67">
      <c r="A72" s="94">
        <f>IFERROR(IF(IFERROR(MATCH(68,'كشف الحساب'!$N$4:$N$203,0),0)=0,"",INDEX('كشف الحساب'!$A$4:$A$203,IFERROR(MATCH(68,'كشف الحساب'!$N$4:$N$203,0),0))),"")</f>
        <v/>
      </c>
      <c r="B72" s="95">
        <f>IFERROR(IF(IFERROR(MATCH(68,'كشف الحساب'!$N$4:$N$203,0),0)=0,"",INDEX('كشف الحساب'!$B$4:$B$203,IFERROR(MATCH(68,'كشف الحساب'!$N$4:$N$203,0),0))),"")</f>
        <v/>
      </c>
      <c r="C72" s="96">
        <f>IFERROR(IF(IFERROR(MATCH(68,'كشف الحساب'!$N$4:$N$203,0),0)=0,"",INDEX('كشف الحساب'!$C$4:$C$203,IFERROR(MATCH(68,'كشف الحساب'!$N$4:$N$203,0),0))),"")</f>
        <v/>
      </c>
      <c r="D72" s="97">
        <f>IFERROR(IF(IFERROR(MATCH(68,'كشف الحساب'!$N$4:$N$203,0),0)=0,"",INDEX('كشف الحساب'!$D$4:$D$203,IFERROR(MATCH(68,'كشف الحساب'!$N$4:$N$203,0),0))),"")</f>
        <v/>
      </c>
      <c r="E72" s="98">
        <f>IFERROR(IF(IFERROR(MATCH(68,'كشف الحساب'!$N$4:$N$203,0),0)=0,"",INDEX('كشف الحساب'!$E$4:$E$203,IFERROR(MATCH(68,'كشف الحساب'!$N$4:$N$203,0),0))),"")</f>
        <v/>
      </c>
      <c r="F72" s="95">
        <f>IFERROR(IF(IFERROR(MATCH(68,'كشف الحساب'!$N$4:$N$203,0),0)=0,"",INDEX('كشف الحساب'!$F$4:$F$203,IFERROR(MATCH(68,'كشف الحساب'!$N$4:$N$203,0),0))),"")</f>
        <v/>
      </c>
      <c r="G72" s="95">
        <f>IFERROR(IF(IFERROR(MATCH(68,'كشف الحساب'!$N$4:$N$203,0),0)=0,"",INDEX('كشف الحساب'!$G$4:$G$203,IFERROR(MATCH(68,'كشف الحساب'!$N$4:$N$203,0),0))),"")</f>
        <v/>
      </c>
      <c r="H72" s="95">
        <f>IFERROR(IF(IFERROR(MATCH(68,'كشف الحساب'!$N$4:$N$203,0),0)=0,"",INDEX('كشف الحساب'!$H$4:$H$203,IFERROR(MATCH(68,'كشف الحساب'!$N$4:$N$203,0),0))),"")</f>
        <v/>
      </c>
      <c r="I72" s="95">
        <f>IFERROR(IF(IFERROR(MATCH(68,'كشف الحساب'!$N$4:$N$203,0),0)=0,"",INDEX('كشف الحساب'!$I$4:$I$203,IFERROR(MATCH(68,'كشف الحساب'!$N$4:$N$203,0),0))),"")</f>
        <v/>
      </c>
      <c r="J72" s="99">
        <f>IFERROR(IF(IFERROR(MATCH(68,'كشف الحساب'!$N$4:$N$203,0),0)=0,"",INDEX('كشف الحساب'!$J$4:$J$203,IFERROR(MATCH(68,'كشف الحساب'!$N$4:$N$203,0),0))),"")</f>
        <v/>
      </c>
      <c r="K72" s="95">
        <f>IFERROR(IF(IFERROR(MATCH(68,'كشف الحساب'!$N$4:$N$203,0),0)=0,"",INDEX('كشف الحساب'!$K$4:$K$203,IFERROR(MATCH(68,'كشف الحساب'!$N$4:$N$203,0),0))),"")</f>
        <v/>
      </c>
    </row>
    <row r="73" ht="15" customHeight="1" s="67">
      <c r="A73" s="88">
        <f>IFERROR(IF(IFERROR(MATCH(69,'كشف الحساب'!$N$4:$N$203,0),0)=0,"",INDEX('كشف الحساب'!$A$4:$A$203,IFERROR(MATCH(69,'كشف الحساب'!$N$4:$N$203,0),0))),"")</f>
        <v/>
      </c>
      <c r="B73" s="89">
        <f>IFERROR(IF(IFERROR(MATCH(69,'كشف الحساب'!$N$4:$N$203,0),0)=0,"",INDEX('كشف الحساب'!$B$4:$B$203,IFERROR(MATCH(69,'كشف الحساب'!$N$4:$N$203,0),0))),"")</f>
        <v/>
      </c>
      <c r="C73" s="90">
        <f>IFERROR(IF(IFERROR(MATCH(69,'كشف الحساب'!$N$4:$N$203,0),0)=0,"",INDEX('كشف الحساب'!$C$4:$C$203,IFERROR(MATCH(69,'كشف الحساب'!$N$4:$N$203,0),0))),"")</f>
        <v/>
      </c>
      <c r="D73" s="91">
        <f>IFERROR(IF(IFERROR(MATCH(69,'كشف الحساب'!$N$4:$N$203,0),0)=0,"",INDEX('كشف الحساب'!$D$4:$D$203,IFERROR(MATCH(69,'كشف الحساب'!$N$4:$N$203,0),0))),"")</f>
        <v/>
      </c>
      <c r="E73" s="92">
        <f>IFERROR(IF(IFERROR(MATCH(69,'كشف الحساب'!$N$4:$N$203,0),0)=0,"",INDEX('كشف الحساب'!$E$4:$E$203,IFERROR(MATCH(69,'كشف الحساب'!$N$4:$N$203,0),0))),"")</f>
        <v/>
      </c>
      <c r="F73" s="89">
        <f>IFERROR(IF(IFERROR(MATCH(69,'كشف الحساب'!$N$4:$N$203,0),0)=0,"",INDEX('كشف الحساب'!$F$4:$F$203,IFERROR(MATCH(69,'كشف الحساب'!$N$4:$N$203,0),0))),"")</f>
        <v/>
      </c>
      <c r="G73" s="89">
        <f>IFERROR(IF(IFERROR(MATCH(69,'كشف الحساب'!$N$4:$N$203,0),0)=0,"",INDEX('كشف الحساب'!$G$4:$G$203,IFERROR(MATCH(69,'كشف الحساب'!$N$4:$N$203,0),0))),"")</f>
        <v/>
      </c>
      <c r="H73" s="89">
        <f>IFERROR(IF(IFERROR(MATCH(69,'كشف الحساب'!$N$4:$N$203,0),0)=0,"",INDEX('كشف الحساب'!$H$4:$H$203,IFERROR(MATCH(69,'كشف الحساب'!$N$4:$N$203,0),0))),"")</f>
        <v/>
      </c>
      <c r="I73" s="89">
        <f>IFERROR(IF(IFERROR(MATCH(69,'كشف الحساب'!$N$4:$N$203,0),0)=0,"",INDEX('كشف الحساب'!$I$4:$I$203,IFERROR(MATCH(69,'كشف الحساب'!$N$4:$N$203,0),0))),"")</f>
        <v/>
      </c>
      <c r="J73" s="93">
        <f>IFERROR(IF(IFERROR(MATCH(69,'كشف الحساب'!$N$4:$N$203,0),0)=0,"",INDEX('كشف الحساب'!$J$4:$J$203,IFERROR(MATCH(69,'كشف الحساب'!$N$4:$N$203,0),0))),"")</f>
        <v/>
      </c>
      <c r="K73" s="89">
        <f>IFERROR(IF(IFERROR(MATCH(69,'كشف الحساب'!$N$4:$N$203,0),0)=0,"",INDEX('كشف الحساب'!$K$4:$K$203,IFERROR(MATCH(69,'كشف الحساب'!$N$4:$N$203,0),0))),"")</f>
        <v/>
      </c>
    </row>
    <row r="74" ht="15" customHeight="1" s="67">
      <c r="A74" s="94">
        <f>IFERROR(IF(IFERROR(MATCH(70,'كشف الحساب'!$N$4:$N$203,0),0)=0,"",INDEX('كشف الحساب'!$A$4:$A$203,IFERROR(MATCH(70,'كشف الحساب'!$N$4:$N$203,0),0))),"")</f>
        <v/>
      </c>
      <c r="B74" s="95">
        <f>IFERROR(IF(IFERROR(MATCH(70,'كشف الحساب'!$N$4:$N$203,0),0)=0,"",INDEX('كشف الحساب'!$B$4:$B$203,IFERROR(MATCH(70,'كشف الحساب'!$N$4:$N$203,0),0))),"")</f>
        <v/>
      </c>
      <c r="C74" s="96">
        <f>IFERROR(IF(IFERROR(MATCH(70,'كشف الحساب'!$N$4:$N$203,0),0)=0,"",INDEX('كشف الحساب'!$C$4:$C$203,IFERROR(MATCH(70,'كشف الحساب'!$N$4:$N$203,0),0))),"")</f>
        <v/>
      </c>
      <c r="D74" s="97">
        <f>IFERROR(IF(IFERROR(MATCH(70,'كشف الحساب'!$N$4:$N$203,0),0)=0,"",INDEX('كشف الحساب'!$D$4:$D$203,IFERROR(MATCH(70,'كشف الحساب'!$N$4:$N$203,0),0))),"")</f>
        <v/>
      </c>
      <c r="E74" s="98">
        <f>IFERROR(IF(IFERROR(MATCH(70,'كشف الحساب'!$N$4:$N$203,0),0)=0,"",INDEX('كشف الحساب'!$E$4:$E$203,IFERROR(MATCH(70,'كشف الحساب'!$N$4:$N$203,0),0))),"")</f>
        <v/>
      </c>
      <c r="F74" s="95">
        <f>IFERROR(IF(IFERROR(MATCH(70,'كشف الحساب'!$N$4:$N$203,0),0)=0,"",INDEX('كشف الحساب'!$F$4:$F$203,IFERROR(MATCH(70,'كشف الحساب'!$N$4:$N$203,0),0))),"")</f>
        <v/>
      </c>
      <c r="G74" s="95">
        <f>IFERROR(IF(IFERROR(MATCH(70,'كشف الحساب'!$N$4:$N$203,0),0)=0,"",INDEX('كشف الحساب'!$G$4:$G$203,IFERROR(MATCH(70,'كشف الحساب'!$N$4:$N$203,0),0))),"")</f>
        <v/>
      </c>
      <c r="H74" s="95">
        <f>IFERROR(IF(IFERROR(MATCH(70,'كشف الحساب'!$N$4:$N$203,0),0)=0,"",INDEX('كشف الحساب'!$H$4:$H$203,IFERROR(MATCH(70,'كشف الحساب'!$N$4:$N$203,0),0))),"")</f>
        <v/>
      </c>
      <c r="I74" s="95">
        <f>IFERROR(IF(IFERROR(MATCH(70,'كشف الحساب'!$N$4:$N$203,0),0)=0,"",INDEX('كشف الحساب'!$I$4:$I$203,IFERROR(MATCH(70,'كشف الحساب'!$N$4:$N$203,0),0))),"")</f>
        <v/>
      </c>
      <c r="J74" s="99">
        <f>IFERROR(IF(IFERROR(MATCH(70,'كشف الحساب'!$N$4:$N$203,0),0)=0,"",INDEX('كشف الحساب'!$J$4:$J$203,IFERROR(MATCH(70,'كشف الحساب'!$N$4:$N$203,0),0))),"")</f>
        <v/>
      </c>
      <c r="K74" s="95">
        <f>IFERROR(IF(IFERROR(MATCH(70,'كشف الحساب'!$N$4:$N$203,0),0)=0,"",INDEX('كشف الحساب'!$K$4:$K$203,IFERROR(MATCH(70,'كشف الحساب'!$N$4:$N$203,0),0))),"")</f>
        <v/>
      </c>
    </row>
    <row r="75" ht="15" customHeight="1" s="67">
      <c r="A75" s="88">
        <f>IFERROR(IF(IFERROR(MATCH(71,'كشف الحساب'!$N$4:$N$203,0),0)=0,"",INDEX('كشف الحساب'!$A$4:$A$203,IFERROR(MATCH(71,'كشف الحساب'!$N$4:$N$203,0),0))),"")</f>
        <v/>
      </c>
      <c r="B75" s="89">
        <f>IFERROR(IF(IFERROR(MATCH(71,'كشف الحساب'!$N$4:$N$203,0),0)=0,"",INDEX('كشف الحساب'!$B$4:$B$203,IFERROR(MATCH(71,'كشف الحساب'!$N$4:$N$203,0),0))),"")</f>
        <v/>
      </c>
      <c r="C75" s="90">
        <f>IFERROR(IF(IFERROR(MATCH(71,'كشف الحساب'!$N$4:$N$203,0),0)=0,"",INDEX('كشف الحساب'!$C$4:$C$203,IFERROR(MATCH(71,'كشف الحساب'!$N$4:$N$203,0),0))),"")</f>
        <v/>
      </c>
      <c r="D75" s="91">
        <f>IFERROR(IF(IFERROR(MATCH(71,'كشف الحساب'!$N$4:$N$203,0),0)=0,"",INDEX('كشف الحساب'!$D$4:$D$203,IFERROR(MATCH(71,'كشف الحساب'!$N$4:$N$203,0),0))),"")</f>
        <v/>
      </c>
      <c r="E75" s="92">
        <f>IFERROR(IF(IFERROR(MATCH(71,'كشف الحساب'!$N$4:$N$203,0),0)=0,"",INDEX('كشف الحساب'!$E$4:$E$203,IFERROR(MATCH(71,'كشف الحساب'!$N$4:$N$203,0),0))),"")</f>
        <v/>
      </c>
      <c r="F75" s="89">
        <f>IFERROR(IF(IFERROR(MATCH(71,'كشف الحساب'!$N$4:$N$203,0),0)=0,"",INDEX('كشف الحساب'!$F$4:$F$203,IFERROR(MATCH(71,'كشف الحساب'!$N$4:$N$203,0),0))),"")</f>
        <v/>
      </c>
      <c r="G75" s="89">
        <f>IFERROR(IF(IFERROR(MATCH(71,'كشف الحساب'!$N$4:$N$203,0),0)=0,"",INDEX('كشف الحساب'!$G$4:$G$203,IFERROR(MATCH(71,'كشف الحساب'!$N$4:$N$203,0),0))),"")</f>
        <v/>
      </c>
      <c r="H75" s="89">
        <f>IFERROR(IF(IFERROR(MATCH(71,'كشف الحساب'!$N$4:$N$203,0),0)=0,"",INDEX('كشف الحساب'!$H$4:$H$203,IFERROR(MATCH(71,'كشف الحساب'!$N$4:$N$203,0),0))),"")</f>
        <v/>
      </c>
      <c r="I75" s="89">
        <f>IFERROR(IF(IFERROR(MATCH(71,'كشف الحساب'!$N$4:$N$203,0),0)=0,"",INDEX('كشف الحساب'!$I$4:$I$203,IFERROR(MATCH(71,'كشف الحساب'!$N$4:$N$203,0),0))),"")</f>
        <v/>
      </c>
      <c r="J75" s="93">
        <f>IFERROR(IF(IFERROR(MATCH(71,'كشف الحساب'!$N$4:$N$203,0),0)=0,"",INDEX('كشف الحساب'!$J$4:$J$203,IFERROR(MATCH(71,'كشف الحساب'!$N$4:$N$203,0),0))),"")</f>
        <v/>
      </c>
      <c r="K75" s="89">
        <f>IFERROR(IF(IFERROR(MATCH(71,'كشف الحساب'!$N$4:$N$203,0),0)=0,"",INDEX('كشف الحساب'!$K$4:$K$203,IFERROR(MATCH(71,'كشف الحساب'!$N$4:$N$203,0),0))),"")</f>
        <v/>
      </c>
    </row>
    <row r="76" ht="15" customHeight="1" s="67">
      <c r="A76" s="94">
        <f>IFERROR(IF(IFERROR(MATCH(72,'كشف الحساب'!$N$4:$N$203,0),0)=0,"",INDEX('كشف الحساب'!$A$4:$A$203,IFERROR(MATCH(72,'كشف الحساب'!$N$4:$N$203,0),0))),"")</f>
        <v/>
      </c>
      <c r="B76" s="95">
        <f>IFERROR(IF(IFERROR(MATCH(72,'كشف الحساب'!$N$4:$N$203,0),0)=0,"",INDEX('كشف الحساب'!$B$4:$B$203,IFERROR(MATCH(72,'كشف الحساب'!$N$4:$N$203,0),0))),"")</f>
        <v/>
      </c>
      <c r="C76" s="96">
        <f>IFERROR(IF(IFERROR(MATCH(72,'كشف الحساب'!$N$4:$N$203,0),0)=0,"",INDEX('كشف الحساب'!$C$4:$C$203,IFERROR(MATCH(72,'كشف الحساب'!$N$4:$N$203,0),0))),"")</f>
        <v/>
      </c>
      <c r="D76" s="97">
        <f>IFERROR(IF(IFERROR(MATCH(72,'كشف الحساب'!$N$4:$N$203,0),0)=0,"",INDEX('كشف الحساب'!$D$4:$D$203,IFERROR(MATCH(72,'كشف الحساب'!$N$4:$N$203,0),0))),"")</f>
        <v/>
      </c>
      <c r="E76" s="98">
        <f>IFERROR(IF(IFERROR(MATCH(72,'كشف الحساب'!$N$4:$N$203,0),0)=0,"",INDEX('كشف الحساب'!$E$4:$E$203,IFERROR(MATCH(72,'كشف الحساب'!$N$4:$N$203,0),0))),"")</f>
        <v/>
      </c>
      <c r="F76" s="95">
        <f>IFERROR(IF(IFERROR(MATCH(72,'كشف الحساب'!$N$4:$N$203,0),0)=0,"",INDEX('كشف الحساب'!$F$4:$F$203,IFERROR(MATCH(72,'كشف الحساب'!$N$4:$N$203,0),0))),"")</f>
        <v/>
      </c>
      <c r="G76" s="95">
        <f>IFERROR(IF(IFERROR(MATCH(72,'كشف الحساب'!$N$4:$N$203,0),0)=0,"",INDEX('كشف الحساب'!$G$4:$G$203,IFERROR(MATCH(72,'كشف الحساب'!$N$4:$N$203,0),0))),"")</f>
        <v/>
      </c>
      <c r="H76" s="95">
        <f>IFERROR(IF(IFERROR(MATCH(72,'كشف الحساب'!$N$4:$N$203,0),0)=0,"",INDEX('كشف الحساب'!$H$4:$H$203,IFERROR(MATCH(72,'كشف الحساب'!$N$4:$N$203,0),0))),"")</f>
        <v/>
      </c>
      <c r="I76" s="95">
        <f>IFERROR(IF(IFERROR(MATCH(72,'كشف الحساب'!$N$4:$N$203,0),0)=0,"",INDEX('كشف الحساب'!$I$4:$I$203,IFERROR(MATCH(72,'كشف الحساب'!$N$4:$N$203,0),0))),"")</f>
        <v/>
      </c>
      <c r="J76" s="99">
        <f>IFERROR(IF(IFERROR(MATCH(72,'كشف الحساب'!$N$4:$N$203,0),0)=0,"",INDEX('كشف الحساب'!$J$4:$J$203,IFERROR(MATCH(72,'كشف الحساب'!$N$4:$N$203,0),0))),"")</f>
        <v/>
      </c>
      <c r="K76" s="95">
        <f>IFERROR(IF(IFERROR(MATCH(72,'كشف الحساب'!$N$4:$N$203,0),0)=0,"",INDEX('كشف الحساب'!$K$4:$K$203,IFERROR(MATCH(72,'كشف الحساب'!$N$4:$N$203,0),0))),"")</f>
        <v/>
      </c>
    </row>
    <row r="77" ht="15" customHeight="1" s="67">
      <c r="A77" s="88">
        <f>IFERROR(IF(IFERROR(MATCH(73,'كشف الحساب'!$N$4:$N$203,0),0)=0,"",INDEX('كشف الحساب'!$A$4:$A$203,IFERROR(MATCH(73,'كشف الحساب'!$N$4:$N$203,0),0))),"")</f>
        <v/>
      </c>
      <c r="B77" s="89">
        <f>IFERROR(IF(IFERROR(MATCH(73,'كشف الحساب'!$N$4:$N$203,0),0)=0,"",INDEX('كشف الحساب'!$B$4:$B$203,IFERROR(MATCH(73,'كشف الحساب'!$N$4:$N$203,0),0))),"")</f>
        <v/>
      </c>
      <c r="C77" s="90">
        <f>IFERROR(IF(IFERROR(MATCH(73,'كشف الحساب'!$N$4:$N$203,0),0)=0,"",INDEX('كشف الحساب'!$C$4:$C$203,IFERROR(MATCH(73,'كشف الحساب'!$N$4:$N$203,0),0))),"")</f>
        <v/>
      </c>
      <c r="D77" s="91">
        <f>IFERROR(IF(IFERROR(MATCH(73,'كشف الحساب'!$N$4:$N$203,0),0)=0,"",INDEX('كشف الحساب'!$D$4:$D$203,IFERROR(MATCH(73,'كشف الحساب'!$N$4:$N$203,0),0))),"")</f>
        <v/>
      </c>
      <c r="E77" s="92">
        <f>IFERROR(IF(IFERROR(MATCH(73,'كشف الحساب'!$N$4:$N$203,0),0)=0,"",INDEX('كشف الحساب'!$E$4:$E$203,IFERROR(MATCH(73,'كشف الحساب'!$N$4:$N$203,0),0))),"")</f>
        <v/>
      </c>
      <c r="F77" s="89">
        <f>IFERROR(IF(IFERROR(MATCH(73,'كشف الحساب'!$N$4:$N$203,0),0)=0,"",INDEX('كشف الحساب'!$F$4:$F$203,IFERROR(MATCH(73,'كشف الحساب'!$N$4:$N$203,0),0))),"")</f>
        <v/>
      </c>
      <c r="G77" s="89">
        <f>IFERROR(IF(IFERROR(MATCH(73,'كشف الحساب'!$N$4:$N$203,0),0)=0,"",INDEX('كشف الحساب'!$G$4:$G$203,IFERROR(MATCH(73,'كشف الحساب'!$N$4:$N$203,0),0))),"")</f>
        <v/>
      </c>
      <c r="H77" s="89">
        <f>IFERROR(IF(IFERROR(MATCH(73,'كشف الحساب'!$N$4:$N$203,0),0)=0,"",INDEX('كشف الحساب'!$H$4:$H$203,IFERROR(MATCH(73,'كشف الحساب'!$N$4:$N$203,0),0))),"")</f>
        <v/>
      </c>
      <c r="I77" s="89">
        <f>IFERROR(IF(IFERROR(MATCH(73,'كشف الحساب'!$N$4:$N$203,0),0)=0,"",INDEX('كشف الحساب'!$I$4:$I$203,IFERROR(MATCH(73,'كشف الحساب'!$N$4:$N$203,0),0))),"")</f>
        <v/>
      </c>
      <c r="J77" s="93">
        <f>IFERROR(IF(IFERROR(MATCH(73,'كشف الحساب'!$N$4:$N$203,0),0)=0,"",INDEX('كشف الحساب'!$J$4:$J$203,IFERROR(MATCH(73,'كشف الحساب'!$N$4:$N$203,0),0))),"")</f>
        <v/>
      </c>
      <c r="K77" s="89">
        <f>IFERROR(IF(IFERROR(MATCH(73,'كشف الحساب'!$N$4:$N$203,0),0)=0,"",INDEX('كشف الحساب'!$K$4:$K$203,IFERROR(MATCH(73,'كشف الحساب'!$N$4:$N$203,0),0))),"")</f>
        <v/>
      </c>
    </row>
    <row r="78" ht="15" customHeight="1" s="67">
      <c r="A78" s="94">
        <f>IFERROR(IF(IFERROR(MATCH(74,'كشف الحساب'!$N$4:$N$203,0),0)=0,"",INDEX('كشف الحساب'!$A$4:$A$203,IFERROR(MATCH(74,'كشف الحساب'!$N$4:$N$203,0),0))),"")</f>
        <v/>
      </c>
      <c r="B78" s="95">
        <f>IFERROR(IF(IFERROR(MATCH(74,'كشف الحساب'!$N$4:$N$203,0),0)=0,"",INDEX('كشف الحساب'!$B$4:$B$203,IFERROR(MATCH(74,'كشف الحساب'!$N$4:$N$203,0),0))),"")</f>
        <v/>
      </c>
      <c r="C78" s="96">
        <f>IFERROR(IF(IFERROR(MATCH(74,'كشف الحساب'!$N$4:$N$203,0),0)=0,"",INDEX('كشف الحساب'!$C$4:$C$203,IFERROR(MATCH(74,'كشف الحساب'!$N$4:$N$203,0),0))),"")</f>
        <v/>
      </c>
      <c r="D78" s="97">
        <f>IFERROR(IF(IFERROR(MATCH(74,'كشف الحساب'!$N$4:$N$203,0),0)=0,"",INDEX('كشف الحساب'!$D$4:$D$203,IFERROR(MATCH(74,'كشف الحساب'!$N$4:$N$203,0),0))),"")</f>
        <v/>
      </c>
      <c r="E78" s="98">
        <f>IFERROR(IF(IFERROR(MATCH(74,'كشف الحساب'!$N$4:$N$203,0),0)=0,"",INDEX('كشف الحساب'!$E$4:$E$203,IFERROR(MATCH(74,'كشف الحساب'!$N$4:$N$203,0),0))),"")</f>
        <v/>
      </c>
      <c r="F78" s="95">
        <f>IFERROR(IF(IFERROR(MATCH(74,'كشف الحساب'!$N$4:$N$203,0),0)=0,"",INDEX('كشف الحساب'!$F$4:$F$203,IFERROR(MATCH(74,'كشف الحساب'!$N$4:$N$203,0),0))),"")</f>
        <v/>
      </c>
      <c r="G78" s="95">
        <f>IFERROR(IF(IFERROR(MATCH(74,'كشف الحساب'!$N$4:$N$203,0),0)=0,"",INDEX('كشف الحساب'!$G$4:$G$203,IFERROR(MATCH(74,'كشف الحساب'!$N$4:$N$203,0),0))),"")</f>
        <v/>
      </c>
      <c r="H78" s="95">
        <f>IFERROR(IF(IFERROR(MATCH(74,'كشف الحساب'!$N$4:$N$203,0),0)=0,"",INDEX('كشف الحساب'!$H$4:$H$203,IFERROR(MATCH(74,'كشف الحساب'!$N$4:$N$203,0),0))),"")</f>
        <v/>
      </c>
      <c r="I78" s="95">
        <f>IFERROR(IF(IFERROR(MATCH(74,'كشف الحساب'!$N$4:$N$203,0),0)=0,"",INDEX('كشف الحساب'!$I$4:$I$203,IFERROR(MATCH(74,'كشف الحساب'!$N$4:$N$203,0),0))),"")</f>
        <v/>
      </c>
      <c r="J78" s="99">
        <f>IFERROR(IF(IFERROR(MATCH(74,'كشف الحساب'!$N$4:$N$203,0),0)=0,"",INDEX('كشف الحساب'!$J$4:$J$203,IFERROR(MATCH(74,'كشف الحساب'!$N$4:$N$203,0),0))),"")</f>
        <v/>
      </c>
      <c r="K78" s="95">
        <f>IFERROR(IF(IFERROR(MATCH(74,'كشف الحساب'!$N$4:$N$203,0),0)=0,"",INDEX('كشف الحساب'!$K$4:$K$203,IFERROR(MATCH(74,'كشف الحساب'!$N$4:$N$203,0),0))),"")</f>
        <v/>
      </c>
    </row>
    <row r="79" ht="15" customHeight="1" s="67">
      <c r="A79" s="88">
        <f>IFERROR(IF(IFERROR(MATCH(75,'كشف الحساب'!$N$4:$N$203,0),0)=0,"",INDEX('كشف الحساب'!$A$4:$A$203,IFERROR(MATCH(75,'كشف الحساب'!$N$4:$N$203,0),0))),"")</f>
        <v/>
      </c>
      <c r="B79" s="89">
        <f>IFERROR(IF(IFERROR(MATCH(75,'كشف الحساب'!$N$4:$N$203,0),0)=0,"",INDEX('كشف الحساب'!$B$4:$B$203,IFERROR(MATCH(75,'كشف الحساب'!$N$4:$N$203,0),0))),"")</f>
        <v/>
      </c>
      <c r="C79" s="90">
        <f>IFERROR(IF(IFERROR(MATCH(75,'كشف الحساب'!$N$4:$N$203,0),0)=0,"",INDEX('كشف الحساب'!$C$4:$C$203,IFERROR(MATCH(75,'كشف الحساب'!$N$4:$N$203,0),0))),"")</f>
        <v/>
      </c>
      <c r="D79" s="91">
        <f>IFERROR(IF(IFERROR(MATCH(75,'كشف الحساب'!$N$4:$N$203,0),0)=0,"",INDEX('كشف الحساب'!$D$4:$D$203,IFERROR(MATCH(75,'كشف الحساب'!$N$4:$N$203,0),0))),"")</f>
        <v/>
      </c>
      <c r="E79" s="92">
        <f>IFERROR(IF(IFERROR(MATCH(75,'كشف الحساب'!$N$4:$N$203,0),0)=0,"",INDEX('كشف الحساب'!$E$4:$E$203,IFERROR(MATCH(75,'كشف الحساب'!$N$4:$N$203,0),0))),"")</f>
        <v/>
      </c>
      <c r="F79" s="89">
        <f>IFERROR(IF(IFERROR(MATCH(75,'كشف الحساب'!$N$4:$N$203,0),0)=0,"",INDEX('كشف الحساب'!$F$4:$F$203,IFERROR(MATCH(75,'كشف الحساب'!$N$4:$N$203,0),0))),"")</f>
        <v/>
      </c>
      <c r="G79" s="89">
        <f>IFERROR(IF(IFERROR(MATCH(75,'كشف الحساب'!$N$4:$N$203,0),0)=0,"",INDEX('كشف الحساب'!$G$4:$G$203,IFERROR(MATCH(75,'كشف الحساب'!$N$4:$N$203,0),0))),"")</f>
        <v/>
      </c>
      <c r="H79" s="89">
        <f>IFERROR(IF(IFERROR(MATCH(75,'كشف الحساب'!$N$4:$N$203,0),0)=0,"",INDEX('كشف الحساب'!$H$4:$H$203,IFERROR(MATCH(75,'كشف الحساب'!$N$4:$N$203,0),0))),"")</f>
        <v/>
      </c>
      <c r="I79" s="89">
        <f>IFERROR(IF(IFERROR(MATCH(75,'كشف الحساب'!$N$4:$N$203,0),0)=0,"",INDEX('كشف الحساب'!$I$4:$I$203,IFERROR(MATCH(75,'كشف الحساب'!$N$4:$N$203,0),0))),"")</f>
        <v/>
      </c>
      <c r="J79" s="93">
        <f>IFERROR(IF(IFERROR(MATCH(75,'كشف الحساب'!$N$4:$N$203,0),0)=0,"",INDEX('كشف الحساب'!$J$4:$J$203,IFERROR(MATCH(75,'كشف الحساب'!$N$4:$N$203,0),0))),"")</f>
        <v/>
      </c>
      <c r="K79" s="89">
        <f>IFERROR(IF(IFERROR(MATCH(75,'كشف الحساب'!$N$4:$N$203,0),0)=0,"",INDEX('كشف الحساب'!$K$4:$K$203,IFERROR(MATCH(75,'كشف الحساب'!$N$4:$N$203,0),0))),"")</f>
        <v/>
      </c>
    </row>
    <row r="80" ht="15" customHeight="1" s="67">
      <c r="A80" s="94">
        <f>IFERROR(IF(IFERROR(MATCH(76,'كشف الحساب'!$N$4:$N$203,0),0)=0,"",INDEX('كشف الحساب'!$A$4:$A$203,IFERROR(MATCH(76,'كشف الحساب'!$N$4:$N$203,0),0))),"")</f>
        <v/>
      </c>
      <c r="B80" s="95">
        <f>IFERROR(IF(IFERROR(MATCH(76,'كشف الحساب'!$N$4:$N$203,0),0)=0,"",INDEX('كشف الحساب'!$B$4:$B$203,IFERROR(MATCH(76,'كشف الحساب'!$N$4:$N$203,0),0))),"")</f>
        <v/>
      </c>
      <c r="C80" s="96">
        <f>IFERROR(IF(IFERROR(MATCH(76,'كشف الحساب'!$N$4:$N$203,0),0)=0,"",INDEX('كشف الحساب'!$C$4:$C$203,IFERROR(MATCH(76,'كشف الحساب'!$N$4:$N$203,0),0))),"")</f>
        <v/>
      </c>
      <c r="D80" s="97">
        <f>IFERROR(IF(IFERROR(MATCH(76,'كشف الحساب'!$N$4:$N$203,0),0)=0,"",INDEX('كشف الحساب'!$D$4:$D$203,IFERROR(MATCH(76,'كشف الحساب'!$N$4:$N$203,0),0))),"")</f>
        <v/>
      </c>
      <c r="E80" s="98">
        <f>IFERROR(IF(IFERROR(MATCH(76,'كشف الحساب'!$N$4:$N$203,0),0)=0,"",INDEX('كشف الحساب'!$E$4:$E$203,IFERROR(MATCH(76,'كشف الحساب'!$N$4:$N$203,0),0))),"")</f>
        <v/>
      </c>
      <c r="F80" s="95">
        <f>IFERROR(IF(IFERROR(MATCH(76,'كشف الحساب'!$N$4:$N$203,0),0)=0,"",INDEX('كشف الحساب'!$F$4:$F$203,IFERROR(MATCH(76,'كشف الحساب'!$N$4:$N$203,0),0))),"")</f>
        <v/>
      </c>
      <c r="G80" s="95">
        <f>IFERROR(IF(IFERROR(MATCH(76,'كشف الحساب'!$N$4:$N$203,0),0)=0,"",INDEX('كشف الحساب'!$G$4:$G$203,IFERROR(MATCH(76,'كشف الحساب'!$N$4:$N$203,0),0))),"")</f>
        <v/>
      </c>
      <c r="H80" s="95">
        <f>IFERROR(IF(IFERROR(MATCH(76,'كشف الحساب'!$N$4:$N$203,0),0)=0,"",INDEX('كشف الحساب'!$H$4:$H$203,IFERROR(MATCH(76,'كشف الحساب'!$N$4:$N$203,0),0))),"")</f>
        <v/>
      </c>
      <c r="I80" s="95">
        <f>IFERROR(IF(IFERROR(MATCH(76,'كشف الحساب'!$N$4:$N$203,0),0)=0,"",INDEX('كشف الحساب'!$I$4:$I$203,IFERROR(MATCH(76,'كشف الحساب'!$N$4:$N$203,0),0))),"")</f>
        <v/>
      </c>
      <c r="J80" s="99">
        <f>IFERROR(IF(IFERROR(MATCH(76,'كشف الحساب'!$N$4:$N$203,0),0)=0,"",INDEX('كشف الحساب'!$J$4:$J$203,IFERROR(MATCH(76,'كشف الحساب'!$N$4:$N$203,0),0))),"")</f>
        <v/>
      </c>
      <c r="K80" s="95">
        <f>IFERROR(IF(IFERROR(MATCH(76,'كشف الحساب'!$N$4:$N$203,0),0)=0,"",INDEX('كشف الحساب'!$K$4:$K$203,IFERROR(MATCH(76,'كشف الحساب'!$N$4:$N$203,0),0))),"")</f>
        <v/>
      </c>
    </row>
    <row r="81" ht="15" customHeight="1" s="67">
      <c r="A81" s="88">
        <f>IFERROR(IF(IFERROR(MATCH(77,'كشف الحساب'!$N$4:$N$203,0),0)=0,"",INDEX('كشف الحساب'!$A$4:$A$203,IFERROR(MATCH(77,'كشف الحساب'!$N$4:$N$203,0),0))),"")</f>
        <v/>
      </c>
      <c r="B81" s="89">
        <f>IFERROR(IF(IFERROR(MATCH(77,'كشف الحساب'!$N$4:$N$203,0),0)=0,"",INDEX('كشف الحساب'!$B$4:$B$203,IFERROR(MATCH(77,'كشف الحساب'!$N$4:$N$203,0),0))),"")</f>
        <v/>
      </c>
      <c r="C81" s="90">
        <f>IFERROR(IF(IFERROR(MATCH(77,'كشف الحساب'!$N$4:$N$203,0),0)=0,"",INDEX('كشف الحساب'!$C$4:$C$203,IFERROR(MATCH(77,'كشف الحساب'!$N$4:$N$203,0),0))),"")</f>
        <v/>
      </c>
      <c r="D81" s="91">
        <f>IFERROR(IF(IFERROR(MATCH(77,'كشف الحساب'!$N$4:$N$203,0),0)=0,"",INDEX('كشف الحساب'!$D$4:$D$203,IFERROR(MATCH(77,'كشف الحساب'!$N$4:$N$203,0),0))),"")</f>
        <v/>
      </c>
      <c r="E81" s="92">
        <f>IFERROR(IF(IFERROR(MATCH(77,'كشف الحساب'!$N$4:$N$203,0),0)=0,"",INDEX('كشف الحساب'!$E$4:$E$203,IFERROR(MATCH(77,'كشف الحساب'!$N$4:$N$203,0),0))),"")</f>
        <v/>
      </c>
      <c r="F81" s="89">
        <f>IFERROR(IF(IFERROR(MATCH(77,'كشف الحساب'!$N$4:$N$203,0),0)=0,"",INDEX('كشف الحساب'!$F$4:$F$203,IFERROR(MATCH(77,'كشف الحساب'!$N$4:$N$203,0),0))),"")</f>
        <v/>
      </c>
      <c r="G81" s="89">
        <f>IFERROR(IF(IFERROR(MATCH(77,'كشف الحساب'!$N$4:$N$203,0),0)=0,"",INDEX('كشف الحساب'!$G$4:$G$203,IFERROR(MATCH(77,'كشف الحساب'!$N$4:$N$203,0),0))),"")</f>
        <v/>
      </c>
      <c r="H81" s="89">
        <f>IFERROR(IF(IFERROR(MATCH(77,'كشف الحساب'!$N$4:$N$203,0),0)=0,"",INDEX('كشف الحساب'!$H$4:$H$203,IFERROR(MATCH(77,'كشف الحساب'!$N$4:$N$203,0),0))),"")</f>
        <v/>
      </c>
      <c r="I81" s="89">
        <f>IFERROR(IF(IFERROR(MATCH(77,'كشف الحساب'!$N$4:$N$203,0),0)=0,"",INDEX('كشف الحساب'!$I$4:$I$203,IFERROR(MATCH(77,'كشف الحساب'!$N$4:$N$203,0),0))),"")</f>
        <v/>
      </c>
      <c r="J81" s="93">
        <f>IFERROR(IF(IFERROR(MATCH(77,'كشف الحساب'!$N$4:$N$203,0),0)=0,"",INDEX('كشف الحساب'!$J$4:$J$203,IFERROR(MATCH(77,'كشف الحساب'!$N$4:$N$203,0),0))),"")</f>
        <v/>
      </c>
      <c r="K81" s="89">
        <f>IFERROR(IF(IFERROR(MATCH(77,'كشف الحساب'!$N$4:$N$203,0),0)=0,"",INDEX('كشف الحساب'!$K$4:$K$203,IFERROR(MATCH(77,'كشف الحساب'!$N$4:$N$203,0),0))),"")</f>
        <v/>
      </c>
    </row>
    <row r="82" ht="15" customHeight="1" s="67">
      <c r="A82" s="94">
        <f>IFERROR(IF(IFERROR(MATCH(78,'كشف الحساب'!$N$4:$N$203,0),0)=0,"",INDEX('كشف الحساب'!$A$4:$A$203,IFERROR(MATCH(78,'كشف الحساب'!$N$4:$N$203,0),0))),"")</f>
        <v/>
      </c>
      <c r="B82" s="95">
        <f>IFERROR(IF(IFERROR(MATCH(78,'كشف الحساب'!$N$4:$N$203,0),0)=0,"",INDEX('كشف الحساب'!$B$4:$B$203,IFERROR(MATCH(78,'كشف الحساب'!$N$4:$N$203,0),0))),"")</f>
        <v/>
      </c>
      <c r="C82" s="96">
        <f>IFERROR(IF(IFERROR(MATCH(78,'كشف الحساب'!$N$4:$N$203,0),0)=0,"",INDEX('كشف الحساب'!$C$4:$C$203,IFERROR(MATCH(78,'كشف الحساب'!$N$4:$N$203,0),0))),"")</f>
        <v/>
      </c>
      <c r="D82" s="97">
        <f>IFERROR(IF(IFERROR(MATCH(78,'كشف الحساب'!$N$4:$N$203,0),0)=0,"",INDEX('كشف الحساب'!$D$4:$D$203,IFERROR(MATCH(78,'كشف الحساب'!$N$4:$N$203,0),0))),"")</f>
        <v/>
      </c>
      <c r="E82" s="98">
        <f>IFERROR(IF(IFERROR(MATCH(78,'كشف الحساب'!$N$4:$N$203,0),0)=0,"",INDEX('كشف الحساب'!$E$4:$E$203,IFERROR(MATCH(78,'كشف الحساب'!$N$4:$N$203,0),0))),"")</f>
        <v/>
      </c>
      <c r="F82" s="95">
        <f>IFERROR(IF(IFERROR(MATCH(78,'كشف الحساب'!$N$4:$N$203,0),0)=0,"",INDEX('كشف الحساب'!$F$4:$F$203,IFERROR(MATCH(78,'كشف الحساب'!$N$4:$N$203,0),0))),"")</f>
        <v/>
      </c>
      <c r="G82" s="95">
        <f>IFERROR(IF(IFERROR(MATCH(78,'كشف الحساب'!$N$4:$N$203,0),0)=0,"",INDEX('كشف الحساب'!$G$4:$G$203,IFERROR(MATCH(78,'كشف الحساب'!$N$4:$N$203,0),0))),"")</f>
        <v/>
      </c>
      <c r="H82" s="95">
        <f>IFERROR(IF(IFERROR(MATCH(78,'كشف الحساب'!$N$4:$N$203,0),0)=0,"",INDEX('كشف الحساب'!$H$4:$H$203,IFERROR(MATCH(78,'كشف الحساب'!$N$4:$N$203,0),0))),"")</f>
        <v/>
      </c>
      <c r="I82" s="95">
        <f>IFERROR(IF(IFERROR(MATCH(78,'كشف الحساب'!$N$4:$N$203,0),0)=0,"",INDEX('كشف الحساب'!$I$4:$I$203,IFERROR(MATCH(78,'كشف الحساب'!$N$4:$N$203,0),0))),"")</f>
        <v/>
      </c>
      <c r="J82" s="99">
        <f>IFERROR(IF(IFERROR(MATCH(78,'كشف الحساب'!$N$4:$N$203,0),0)=0,"",INDEX('كشف الحساب'!$J$4:$J$203,IFERROR(MATCH(78,'كشف الحساب'!$N$4:$N$203,0),0))),"")</f>
        <v/>
      </c>
      <c r="K82" s="95">
        <f>IFERROR(IF(IFERROR(MATCH(78,'كشف الحساب'!$N$4:$N$203,0),0)=0,"",INDEX('كشف الحساب'!$K$4:$K$203,IFERROR(MATCH(78,'كشف الحساب'!$N$4:$N$203,0),0))),"")</f>
        <v/>
      </c>
    </row>
    <row r="83" ht="15" customHeight="1" s="67">
      <c r="A83" s="88">
        <f>IFERROR(IF(IFERROR(MATCH(79,'كشف الحساب'!$N$4:$N$203,0),0)=0,"",INDEX('كشف الحساب'!$A$4:$A$203,IFERROR(MATCH(79,'كشف الحساب'!$N$4:$N$203,0),0))),"")</f>
        <v/>
      </c>
      <c r="B83" s="89">
        <f>IFERROR(IF(IFERROR(MATCH(79,'كشف الحساب'!$N$4:$N$203,0),0)=0,"",INDEX('كشف الحساب'!$B$4:$B$203,IFERROR(MATCH(79,'كشف الحساب'!$N$4:$N$203,0),0))),"")</f>
        <v/>
      </c>
      <c r="C83" s="90">
        <f>IFERROR(IF(IFERROR(MATCH(79,'كشف الحساب'!$N$4:$N$203,0),0)=0,"",INDEX('كشف الحساب'!$C$4:$C$203,IFERROR(MATCH(79,'كشف الحساب'!$N$4:$N$203,0),0))),"")</f>
        <v/>
      </c>
      <c r="D83" s="91">
        <f>IFERROR(IF(IFERROR(MATCH(79,'كشف الحساب'!$N$4:$N$203,0),0)=0,"",INDEX('كشف الحساب'!$D$4:$D$203,IFERROR(MATCH(79,'كشف الحساب'!$N$4:$N$203,0),0))),"")</f>
        <v/>
      </c>
      <c r="E83" s="92">
        <f>IFERROR(IF(IFERROR(MATCH(79,'كشف الحساب'!$N$4:$N$203,0),0)=0,"",INDEX('كشف الحساب'!$E$4:$E$203,IFERROR(MATCH(79,'كشف الحساب'!$N$4:$N$203,0),0))),"")</f>
        <v/>
      </c>
      <c r="F83" s="89">
        <f>IFERROR(IF(IFERROR(MATCH(79,'كشف الحساب'!$N$4:$N$203,0),0)=0,"",INDEX('كشف الحساب'!$F$4:$F$203,IFERROR(MATCH(79,'كشف الحساب'!$N$4:$N$203,0),0))),"")</f>
        <v/>
      </c>
      <c r="G83" s="89">
        <f>IFERROR(IF(IFERROR(MATCH(79,'كشف الحساب'!$N$4:$N$203,0),0)=0,"",INDEX('كشف الحساب'!$G$4:$G$203,IFERROR(MATCH(79,'كشف الحساب'!$N$4:$N$203,0),0))),"")</f>
        <v/>
      </c>
      <c r="H83" s="89">
        <f>IFERROR(IF(IFERROR(MATCH(79,'كشف الحساب'!$N$4:$N$203,0),0)=0,"",INDEX('كشف الحساب'!$H$4:$H$203,IFERROR(MATCH(79,'كشف الحساب'!$N$4:$N$203,0),0))),"")</f>
        <v/>
      </c>
      <c r="I83" s="89">
        <f>IFERROR(IF(IFERROR(MATCH(79,'كشف الحساب'!$N$4:$N$203,0),0)=0,"",INDEX('كشف الحساب'!$I$4:$I$203,IFERROR(MATCH(79,'كشف الحساب'!$N$4:$N$203,0),0))),"")</f>
        <v/>
      </c>
      <c r="J83" s="93">
        <f>IFERROR(IF(IFERROR(MATCH(79,'كشف الحساب'!$N$4:$N$203,0),0)=0,"",INDEX('كشف الحساب'!$J$4:$J$203,IFERROR(MATCH(79,'كشف الحساب'!$N$4:$N$203,0),0))),"")</f>
        <v/>
      </c>
      <c r="K83" s="89">
        <f>IFERROR(IF(IFERROR(MATCH(79,'كشف الحساب'!$N$4:$N$203,0),0)=0,"",INDEX('كشف الحساب'!$K$4:$K$203,IFERROR(MATCH(79,'كشف الحساب'!$N$4:$N$203,0),0))),"")</f>
        <v/>
      </c>
    </row>
    <row r="84" ht="15" customHeight="1" s="67">
      <c r="A84" s="94">
        <f>IFERROR(IF(IFERROR(MATCH(80,'كشف الحساب'!$N$4:$N$203,0),0)=0,"",INDEX('كشف الحساب'!$A$4:$A$203,IFERROR(MATCH(80,'كشف الحساب'!$N$4:$N$203,0),0))),"")</f>
        <v/>
      </c>
      <c r="B84" s="95">
        <f>IFERROR(IF(IFERROR(MATCH(80,'كشف الحساب'!$N$4:$N$203,0),0)=0,"",INDEX('كشف الحساب'!$B$4:$B$203,IFERROR(MATCH(80,'كشف الحساب'!$N$4:$N$203,0),0))),"")</f>
        <v/>
      </c>
      <c r="C84" s="96">
        <f>IFERROR(IF(IFERROR(MATCH(80,'كشف الحساب'!$N$4:$N$203,0),0)=0,"",INDEX('كشف الحساب'!$C$4:$C$203,IFERROR(MATCH(80,'كشف الحساب'!$N$4:$N$203,0),0))),"")</f>
        <v/>
      </c>
      <c r="D84" s="97">
        <f>IFERROR(IF(IFERROR(MATCH(80,'كشف الحساب'!$N$4:$N$203,0),0)=0,"",INDEX('كشف الحساب'!$D$4:$D$203,IFERROR(MATCH(80,'كشف الحساب'!$N$4:$N$203,0),0))),"")</f>
        <v/>
      </c>
      <c r="E84" s="98">
        <f>IFERROR(IF(IFERROR(MATCH(80,'كشف الحساب'!$N$4:$N$203,0),0)=0,"",INDEX('كشف الحساب'!$E$4:$E$203,IFERROR(MATCH(80,'كشف الحساب'!$N$4:$N$203,0),0))),"")</f>
        <v/>
      </c>
      <c r="F84" s="95">
        <f>IFERROR(IF(IFERROR(MATCH(80,'كشف الحساب'!$N$4:$N$203,0),0)=0,"",INDEX('كشف الحساب'!$F$4:$F$203,IFERROR(MATCH(80,'كشف الحساب'!$N$4:$N$203,0),0))),"")</f>
        <v/>
      </c>
      <c r="G84" s="95">
        <f>IFERROR(IF(IFERROR(MATCH(80,'كشف الحساب'!$N$4:$N$203,0),0)=0,"",INDEX('كشف الحساب'!$G$4:$G$203,IFERROR(MATCH(80,'كشف الحساب'!$N$4:$N$203,0),0))),"")</f>
        <v/>
      </c>
      <c r="H84" s="95">
        <f>IFERROR(IF(IFERROR(MATCH(80,'كشف الحساب'!$N$4:$N$203,0),0)=0,"",INDEX('كشف الحساب'!$H$4:$H$203,IFERROR(MATCH(80,'كشف الحساب'!$N$4:$N$203,0),0))),"")</f>
        <v/>
      </c>
      <c r="I84" s="95">
        <f>IFERROR(IF(IFERROR(MATCH(80,'كشف الحساب'!$N$4:$N$203,0),0)=0,"",INDEX('كشف الحساب'!$I$4:$I$203,IFERROR(MATCH(80,'كشف الحساب'!$N$4:$N$203,0),0))),"")</f>
        <v/>
      </c>
      <c r="J84" s="99">
        <f>IFERROR(IF(IFERROR(MATCH(80,'كشف الحساب'!$N$4:$N$203,0),0)=0,"",INDEX('كشف الحساب'!$J$4:$J$203,IFERROR(MATCH(80,'كشف الحساب'!$N$4:$N$203,0),0))),"")</f>
        <v/>
      </c>
      <c r="K84" s="95">
        <f>IFERROR(IF(IFERROR(MATCH(80,'كشف الحساب'!$N$4:$N$203,0),0)=0,"",INDEX('كشف الحساب'!$K$4:$K$203,IFERROR(MATCH(80,'كشف الحساب'!$N$4:$N$203,0),0))),"")</f>
        <v/>
      </c>
    </row>
    <row r="85" ht="15" customHeight="1" s="67">
      <c r="A85" s="88">
        <f>IFERROR(IF(IFERROR(MATCH(81,'كشف الحساب'!$N$4:$N$203,0),0)=0,"",INDEX('كشف الحساب'!$A$4:$A$203,IFERROR(MATCH(81,'كشف الحساب'!$N$4:$N$203,0),0))),"")</f>
        <v/>
      </c>
      <c r="B85" s="89">
        <f>IFERROR(IF(IFERROR(MATCH(81,'كشف الحساب'!$N$4:$N$203,0),0)=0,"",INDEX('كشف الحساب'!$B$4:$B$203,IFERROR(MATCH(81,'كشف الحساب'!$N$4:$N$203,0),0))),"")</f>
        <v/>
      </c>
      <c r="C85" s="90">
        <f>IFERROR(IF(IFERROR(MATCH(81,'كشف الحساب'!$N$4:$N$203,0),0)=0,"",INDEX('كشف الحساب'!$C$4:$C$203,IFERROR(MATCH(81,'كشف الحساب'!$N$4:$N$203,0),0))),"")</f>
        <v/>
      </c>
      <c r="D85" s="91">
        <f>IFERROR(IF(IFERROR(MATCH(81,'كشف الحساب'!$N$4:$N$203,0),0)=0,"",INDEX('كشف الحساب'!$D$4:$D$203,IFERROR(MATCH(81,'كشف الحساب'!$N$4:$N$203,0),0))),"")</f>
        <v/>
      </c>
      <c r="E85" s="92">
        <f>IFERROR(IF(IFERROR(MATCH(81,'كشف الحساب'!$N$4:$N$203,0),0)=0,"",INDEX('كشف الحساب'!$E$4:$E$203,IFERROR(MATCH(81,'كشف الحساب'!$N$4:$N$203,0),0))),"")</f>
        <v/>
      </c>
      <c r="F85" s="89">
        <f>IFERROR(IF(IFERROR(MATCH(81,'كشف الحساب'!$N$4:$N$203,0),0)=0,"",INDEX('كشف الحساب'!$F$4:$F$203,IFERROR(MATCH(81,'كشف الحساب'!$N$4:$N$203,0),0))),"")</f>
        <v/>
      </c>
      <c r="G85" s="89">
        <f>IFERROR(IF(IFERROR(MATCH(81,'كشف الحساب'!$N$4:$N$203,0),0)=0,"",INDEX('كشف الحساب'!$G$4:$G$203,IFERROR(MATCH(81,'كشف الحساب'!$N$4:$N$203,0),0))),"")</f>
        <v/>
      </c>
      <c r="H85" s="89">
        <f>IFERROR(IF(IFERROR(MATCH(81,'كشف الحساب'!$N$4:$N$203,0),0)=0,"",INDEX('كشف الحساب'!$H$4:$H$203,IFERROR(MATCH(81,'كشف الحساب'!$N$4:$N$203,0),0))),"")</f>
        <v/>
      </c>
      <c r="I85" s="89">
        <f>IFERROR(IF(IFERROR(MATCH(81,'كشف الحساب'!$N$4:$N$203,0),0)=0,"",INDEX('كشف الحساب'!$I$4:$I$203,IFERROR(MATCH(81,'كشف الحساب'!$N$4:$N$203,0),0))),"")</f>
        <v/>
      </c>
      <c r="J85" s="93">
        <f>IFERROR(IF(IFERROR(MATCH(81,'كشف الحساب'!$N$4:$N$203,0),0)=0,"",INDEX('كشف الحساب'!$J$4:$J$203,IFERROR(MATCH(81,'كشف الحساب'!$N$4:$N$203,0),0))),"")</f>
        <v/>
      </c>
      <c r="K85" s="89">
        <f>IFERROR(IF(IFERROR(MATCH(81,'كشف الحساب'!$N$4:$N$203,0),0)=0,"",INDEX('كشف الحساب'!$K$4:$K$203,IFERROR(MATCH(81,'كشف الحساب'!$N$4:$N$203,0),0))),"")</f>
        <v/>
      </c>
    </row>
    <row r="86" ht="15" customHeight="1" s="67">
      <c r="A86" s="94">
        <f>IFERROR(IF(IFERROR(MATCH(82,'كشف الحساب'!$N$4:$N$203,0),0)=0,"",INDEX('كشف الحساب'!$A$4:$A$203,IFERROR(MATCH(82,'كشف الحساب'!$N$4:$N$203,0),0))),"")</f>
        <v/>
      </c>
      <c r="B86" s="95">
        <f>IFERROR(IF(IFERROR(MATCH(82,'كشف الحساب'!$N$4:$N$203,0),0)=0,"",INDEX('كشف الحساب'!$B$4:$B$203,IFERROR(MATCH(82,'كشف الحساب'!$N$4:$N$203,0),0))),"")</f>
        <v/>
      </c>
      <c r="C86" s="96">
        <f>IFERROR(IF(IFERROR(MATCH(82,'كشف الحساب'!$N$4:$N$203,0),0)=0,"",INDEX('كشف الحساب'!$C$4:$C$203,IFERROR(MATCH(82,'كشف الحساب'!$N$4:$N$203,0),0))),"")</f>
        <v/>
      </c>
      <c r="D86" s="97">
        <f>IFERROR(IF(IFERROR(MATCH(82,'كشف الحساب'!$N$4:$N$203,0),0)=0,"",INDEX('كشف الحساب'!$D$4:$D$203,IFERROR(MATCH(82,'كشف الحساب'!$N$4:$N$203,0),0))),"")</f>
        <v/>
      </c>
      <c r="E86" s="98">
        <f>IFERROR(IF(IFERROR(MATCH(82,'كشف الحساب'!$N$4:$N$203,0),0)=0,"",INDEX('كشف الحساب'!$E$4:$E$203,IFERROR(MATCH(82,'كشف الحساب'!$N$4:$N$203,0),0))),"")</f>
        <v/>
      </c>
      <c r="F86" s="95">
        <f>IFERROR(IF(IFERROR(MATCH(82,'كشف الحساب'!$N$4:$N$203,0),0)=0,"",INDEX('كشف الحساب'!$F$4:$F$203,IFERROR(MATCH(82,'كشف الحساب'!$N$4:$N$203,0),0))),"")</f>
        <v/>
      </c>
      <c r="G86" s="95">
        <f>IFERROR(IF(IFERROR(MATCH(82,'كشف الحساب'!$N$4:$N$203,0),0)=0,"",INDEX('كشف الحساب'!$G$4:$G$203,IFERROR(MATCH(82,'كشف الحساب'!$N$4:$N$203,0),0))),"")</f>
        <v/>
      </c>
      <c r="H86" s="95">
        <f>IFERROR(IF(IFERROR(MATCH(82,'كشف الحساب'!$N$4:$N$203,0),0)=0,"",INDEX('كشف الحساب'!$H$4:$H$203,IFERROR(MATCH(82,'كشف الحساب'!$N$4:$N$203,0),0))),"")</f>
        <v/>
      </c>
      <c r="I86" s="95">
        <f>IFERROR(IF(IFERROR(MATCH(82,'كشف الحساب'!$N$4:$N$203,0),0)=0,"",INDEX('كشف الحساب'!$I$4:$I$203,IFERROR(MATCH(82,'كشف الحساب'!$N$4:$N$203,0),0))),"")</f>
        <v/>
      </c>
      <c r="J86" s="99">
        <f>IFERROR(IF(IFERROR(MATCH(82,'كشف الحساب'!$N$4:$N$203,0),0)=0,"",INDEX('كشف الحساب'!$J$4:$J$203,IFERROR(MATCH(82,'كشف الحساب'!$N$4:$N$203,0),0))),"")</f>
        <v/>
      </c>
      <c r="K86" s="95">
        <f>IFERROR(IF(IFERROR(MATCH(82,'كشف الحساب'!$N$4:$N$203,0),0)=0,"",INDEX('كشف الحساب'!$K$4:$K$203,IFERROR(MATCH(82,'كشف الحساب'!$N$4:$N$203,0),0))),"")</f>
        <v/>
      </c>
    </row>
    <row r="87" ht="15" customHeight="1" s="67">
      <c r="A87" s="88">
        <f>IFERROR(IF(IFERROR(MATCH(83,'كشف الحساب'!$N$4:$N$203,0),0)=0,"",INDEX('كشف الحساب'!$A$4:$A$203,IFERROR(MATCH(83,'كشف الحساب'!$N$4:$N$203,0),0))),"")</f>
        <v/>
      </c>
      <c r="B87" s="89">
        <f>IFERROR(IF(IFERROR(MATCH(83,'كشف الحساب'!$N$4:$N$203,0),0)=0,"",INDEX('كشف الحساب'!$B$4:$B$203,IFERROR(MATCH(83,'كشف الحساب'!$N$4:$N$203,0),0))),"")</f>
        <v/>
      </c>
      <c r="C87" s="90">
        <f>IFERROR(IF(IFERROR(MATCH(83,'كشف الحساب'!$N$4:$N$203,0),0)=0,"",INDEX('كشف الحساب'!$C$4:$C$203,IFERROR(MATCH(83,'كشف الحساب'!$N$4:$N$203,0),0))),"")</f>
        <v/>
      </c>
      <c r="D87" s="91">
        <f>IFERROR(IF(IFERROR(MATCH(83,'كشف الحساب'!$N$4:$N$203,0),0)=0,"",INDEX('كشف الحساب'!$D$4:$D$203,IFERROR(MATCH(83,'كشف الحساب'!$N$4:$N$203,0),0))),"")</f>
        <v/>
      </c>
      <c r="E87" s="92">
        <f>IFERROR(IF(IFERROR(MATCH(83,'كشف الحساب'!$N$4:$N$203,0),0)=0,"",INDEX('كشف الحساب'!$E$4:$E$203,IFERROR(MATCH(83,'كشف الحساب'!$N$4:$N$203,0),0))),"")</f>
        <v/>
      </c>
      <c r="F87" s="89">
        <f>IFERROR(IF(IFERROR(MATCH(83,'كشف الحساب'!$N$4:$N$203,0),0)=0,"",INDEX('كشف الحساب'!$F$4:$F$203,IFERROR(MATCH(83,'كشف الحساب'!$N$4:$N$203,0),0))),"")</f>
        <v/>
      </c>
      <c r="G87" s="89">
        <f>IFERROR(IF(IFERROR(MATCH(83,'كشف الحساب'!$N$4:$N$203,0),0)=0,"",INDEX('كشف الحساب'!$G$4:$G$203,IFERROR(MATCH(83,'كشف الحساب'!$N$4:$N$203,0),0))),"")</f>
        <v/>
      </c>
      <c r="H87" s="89">
        <f>IFERROR(IF(IFERROR(MATCH(83,'كشف الحساب'!$N$4:$N$203,0),0)=0,"",INDEX('كشف الحساب'!$H$4:$H$203,IFERROR(MATCH(83,'كشف الحساب'!$N$4:$N$203,0),0))),"")</f>
        <v/>
      </c>
      <c r="I87" s="89">
        <f>IFERROR(IF(IFERROR(MATCH(83,'كشف الحساب'!$N$4:$N$203,0),0)=0,"",INDEX('كشف الحساب'!$I$4:$I$203,IFERROR(MATCH(83,'كشف الحساب'!$N$4:$N$203,0),0))),"")</f>
        <v/>
      </c>
      <c r="J87" s="93">
        <f>IFERROR(IF(IFERROR(MATCH(83,'كشف الحساب'!$N$4:$N$203,0),0)=0,"",INDEX('كشف الحساب'!$J$4:$J$203,IFERROR(MATCH(83,'كشف الحساب'!$N$4:$N$203,0),0))),"")</f>
        <v/>
      </c>
      <c r="K87" s="89">
        <f>IFERROR(IF(IFERROR(MATCH(83,'كشف الحساب'!$N$4:$N$203,0),0)=0,"",INDEX('كشف الحساب'!$K$4:$K$203,IFERROR(MATCH(83,'كشف الحساب'!$N$4:$N$203,0),0))),"")</f>
        <v/>
      </c>
    </row>
    <row r="88" ht="15" customHeight="1" s="67">
      <c r="A88" s="94">
        <f>IFERROR(IF(IFERROR(MATCH(84,'كشف الحساب'!$N$4:$N$203,0),0)=0,"",INDEX('كشف الحساب'!$A$4:$A$203,IFERROR(MATCH(84,'كشف الحساب'!$N$4:$N$203,0),0))),"")</f>
        <v/>
      </c>
      <c r="B88" s="95">
        <f>IFERROR(IF(IFERROR(MATCH(84,'كشف الحساب'!$N$4:$N$203,0),0)=0,"",INDEX('كشف الحساب'!$B$4:$B$203,IFERROR(MATCH(84,'كشف الحساب'!$N$4:$N$203,0),0))),"")</f>
        <v/>
      </c>
      <c r="C88" s="96">
        <f>IFERROR(IF(IFERROR(MATCH(84,'كشف الحساب'!$N$4:$N$203,0),0)=0,"",INDEX('كشف الحساب'!$C$4:$C$203,IFERROR(MATCH(84,'كشف الحساب'!$N$4:$N$203,0),0))),"")</f>
        <v/>
      </c>
      <c r="D88" s="97">
        <f>IFERROR(IF(IFERROR(MATCH(84,'كشف الحساب'!$N$4:$N$203,0),0)=0,"",INDEX('كشف الحساب'!$D$4:$D$203,IFERROR(MATCH(84,'كشف الحساب'!$N$4:$N$203,0),0))),"")</f>
        <v/>
      </c>
      <c r="E88" s="98">
        <f>IFERROR(IF(IFERROR(MATCH(84,'كشف الحساب'!$N$4:$N$203,0),0)=0,"",INDEX('كشف الحساب'!$E$4:$E$203,IFERROR(MATCH(84,'كشف الحساب'!$N$4:$N$203,0),0))),"")</f>
        <v/>
      </c>
      <c r="F88" s="95">
        <f>IFERROR(IF(IFERROR(MATCH(84,'كشف الحساب'!$N$4:$N$203,0),0)=0,"",INDEX('كشف الحساب'!$F$4:$F$203,IFERROR(MATCH(84,'كشف الحساب'!$N$4:$N$203,0),0))),"")</f>
        <v/>
      </c>
      <c r="G88" s="95">
        <f>IFERROR(IF(IFERROR(MATCH(84,'كشف الحساب'!$N$4:$N$203,0),0)=0,"",INDEX('كشف الحساب'!$G$4:$G$203,IFERROR(MATCH(84,'كشف الحساب'!$N$4:$N$203,0),0))),"")</f>
        <v/>
      </c>
      <c r="H88" s="95">
        <f>IFERROR(IF(IFERROR(MATCH(84,'كشف الحساب'!$N$4:$N$203,0),0)=0,"",INDEX('كشف الحساب'!$H$4:$H$203,IFERROR(MATCH(84,'كشف الحساب'!$N$4:$N$203,0),0))),"")</f>
        <v/>
      </c>
      <c r="I88" s="95">
        <f>IFERROR(IF(IFERROR(MATCH(84,'كشف الحساب'!$N$4:$N$203,0),0)=0,"",INDEX('كشف الحساب'!$I$4:$I$203,IFERROR(MATCH(84,'كشف الحساب'!$N$4:$N$203,0),0))),"")</f>
        <v/>
      </c>
      <c r="J88" s="99">
        <f>IFERROR(IF(IFERROR(MATCH(84,'كشف الحساب'!$N$4:$N$203,0),0)=0,"",INDEX('كشف الحساب'!$J$4:$J$203,IFERROR(MATCH(84,'كشف الحساب'!$N$4:$N$203,0),0))),"")</f>
        <v/>
      </c>
      <c r="K88" s="95">
        <f>IFERROR(IF(IFERROR(MATCH(84,'كشف الحساب'!$N$4:$N$203,0),0)=0,"",INDEX('كشف الحساب'!$K$4:$K$203,IFERROR(MATCH(84,'كشف الحساب'!$N$4:$N$203,0),0))),"")</f>
        <v/>
      </c>
    </row>
    <row r="89" ht="15" customHeight="1" s="67">
      <c r="A89" s="88">
        <f>IFERROR(IF(IFERROR(MATCH(85,'كشف الحساب'!$N$4:$N$203,0),0)=0,"",INDEX('كشف الحساب'!$A$4:$A$203,IFERROR(MATCH(85,'كشف الحساب'!$N$4:$N$203,0),0))),"")</f>
        <v/>
      </c>
      <c r="B89" s="89">
        <f>IFERROR(IF(IFERROR(MATCH(85,'كشف الحساب'!$N$4:$N$203,0),0)=0,"",INDEX('كشف الحساب'!$B$4:$B$203,IFERROR(MATCH(85,'كشف الحساب'!$N$4:$N$203,0),0))),"")</f>
        <v/>
      </c>
      <c r="C89" s="90">
        <f>IFERROR(IF(IFERROR(MATCH(85,'كشف الحساب'!$N$4:$N$203,0),0)=0,"",INDEX('كشف الحساب'!$C$4:$C$203,IFERROR(MATCH(85,'كشف الحساب'!$N$4:$N$203,0),0))),"")</f>
        <v/>
      </c>
      <c r="D89" s="91">
        <f>IFERROR(IF(IFERROR(MATCH(85,'كشف الحساب'!$N$4:$N$203,0),0)=0,"",INDEX('كشف الحساب'!$D$4:$D$203,IFERROR(MATCH(85,'كشف الحساب'!$N$4:$N$203,0),0))),"")</f>
        <v/>
      </c>
      <c r="E89" s="92">
        <f>IFERROR(IF(IFERROR(MATCH(85,'كشف الحساب'!$N$4:$N$203,0),0)=0,"",INDEX('كشف الحساب'!$E$4:$E$203,IFERROR(MATCH(85,'كشف الحساب'!$N$4:$N$203,0),0))),"")</f>
        <v/>
      </c>
      <c r="F89" s="89">
        <f>IFERROR(IF(IFERROR(MATCH(85,'كشف الحساب'!$N$4:$N$203,0),0)=0,"",INDEX('كشف الحساب'!$F$4:$F$203,IFERROR(MATCH(85,'كشف الحساب'!$N$4:$N$203,0),0))),"")</f>
        <v/>
      </c>
      <c r="G89" s="89">
        <f>IFERROR(IF(IFERROR(MATCH(85,'كشف الحساب'!$N$4:$N$203,0),0)=0,"",INDEX('كشف الحساب'!$G$4:$G$203,IFERROR(MATCH(85,'كشف الحساب'!$N$4:$N$203,0),0))),"")</f>
        <v/>
      </c>
      <c r="H89" s="89">
        <f>IFERROR(IF(IFERROR(MATCH(85,'كشف الحساب'!$N$4:$N$203,0),0)=0,"",INDEX('كشف الحساب'!$H$4:$H$203,IFERROR(MATCH(85,'كشف الحساب'!$N$4:$N$203,0),0))),"")</f>
        <v/>
      </c>
      <c r="I89" s="89">
        <f>IFERROR(IF(IFERROR(MATCH(85,'كشف الحساب'!$N$4:$N$203,0),0)=0,"",INDEX('كشف الحساب'!$I$4:$I$203,IFERROR(MATCH(85,'كشف الحساب'!$N$4:$N$203,0),0))),"")</f>
        <v/>
      </c>
      <c r="J89" s="93">
        <f>IFERROR(IF(IFERROR(MATCH(85,'كشف الحساب'!$N$4:$N$203,0),0)=0,"",INDEX('كشف الحساب'!$J$4:$J$203,IFERROR(MATCH(85,'كشف الحساب'!$N$4:$N$203,0),0))),"")</f>
        <v/>
      </c>
      <c r="K89" s="89">
        <f>IFERROR(IF(IFERROR(MATCH(85,'كشف الحساب'!$N$4:$N$203,0),0)=0,"",INDEX('كشف الحساب'!$K$4:$K$203,IFERROR(MATCH(85,'كشف الحساب'!$N$4:$N$203,0),0))),"")</f>
        <v/>
      </c>
    </row>
    <row r="90" ht="15" customHeight="1" s="67">
      <c r="A90" s="94">
        <f>IFERROR(IF(IFERROR(MATCH(86,'كشف الحساب'!$N$4:$N$203,0),0)=0,"",INDEX('كشف الحساب'!$A$4:$A$203,IFERROR(MATCH(86,'كشف الحساب'!$N$4:$N$203,0),0))),"")</f>
        <v/>
      </c>
      <c r="B90" s="95">
        <f>IFERROR(IF(IFERROR(MATCH(86,'كشف الحساب'!$N$4:$N$203,0),0)=0,"",INDEX('كشف الحساب'!$B$4:$B$203,IFERROR(MATCH(86,'كشف الحساب'!$N$4:$N$203,0),0))),"")</f>
        <v/>
      </c>
      <c r="C90" s="96">
        <f>IFERROR(IF(IFERROR(MATCH(86,'كشف الحساب'!$N$4:$N$203,0),0)=0,"",INDEX('كشف الحساب'!$C$4:$C$203,IFERROR(MATCH(86,'كشف الحساب'!$N$4:$N$203,0),0))),"")</f>
        <v/>
      </c>
      <c r="D90" s="97">
        <f>IFERROR(IF(IFERROR(MATCH(86,'كشف الحساب'!$N$4:$N$203,0),0)=0,"",INDEX('كشف الحساب'!$D$4:$D$203,IFERROR(MATCH(86,'كشف الحساب'!$N$4:$N$203,0),0))),"")</f>
        <v/>
      </c>
      <c r="E90" s="98">
        <f>IFERROR(IF(IFERROR(MATCH(86,'كشف الحساب'!$N$4:$N$203,0),0)=0,"",INDEX('كشف الحساب'!$E$4:$E$203,IFERROR(MATCH(86,'كشف الحساب'!$N$4:$N$203,0),0))),"")</f>
        <v/>
      </c>
      <c r="F90" s="95">
        <f>IFERROR(IF(IFERROR(MATCH(86,'كشف الحساب'!$N$4:$N$203,0),0)=0,"",INDEX('كشف الحساب'!$F$4:$F$203,IFERROR(MATCH(86,'كشف الحساب'!$N$4:$N$203,0),0))),"")</f>
        <v/>
      </c>
      <c r="G90" s="95">
        <f>IFERROR(IF(IFERROR(MATCH(86,'كشف الحساب'!$N$4:$N$203,0),0)=0,"",INDEX('كشف الحساب'!$G$4:$G$203,IFERROR(MATCH(86,'كشف الحساب'!$N$4:$N$203,0),0))),"")</f>
        <v/>
      </c>
      <c r="H90" s="95">
        <f>IFERROR(IF(IFERROR(MATCH(86,'كشف الحساب'!$N$4:$N$203,0),0)=0,"",INDEX('كشف الحساب'!$H$4:$H$203,IFERROR(MATCH(86,'كشف الحساب'!$N$4:$N$203,0),0))),"")</f>
        <v/>
      </c>
      <c r="I90" s="95">
        <f>IFERROR(IF(IFERROR(MATCH(86,'كشف الحساب'!$N$4:$N$203,0),0)=0,"",INDEX('كشف الحساب'!$I$4:$I$203,IFERROR(MATCH(86,'كشف الحساب'!$N$4:$N$203,0),0))),"")</f>
        <v/>
      </c>
      <c r="J90" s="99">
        <f>IFERROR(IF(IFERROR(MATCH(86,'كشف الحساب'!$N$4:$N$203,0),0)=0,"",INDEX('كشف الحساب'!$J$4:$J$203,IFERROR(MATCH(86,'كشف الحساب'!$N$4:$N$203,0),0))),"")</f>
        <v/>
      </c>
      <c r="K90" s="95">
        <f>IFERROR(IF(IFERROR(MATCH(86,'كشف الحساب'!$N$4:$N$203,0),0)=0,"",INDEX('كشف الحساب'!$K$4:$K$203,IFERROR(MATCH(86,'كشف الحساب'!$N$4:$N$203,0),0))),"")</f>
        <v/>
      </c>
    </row>
    <row r="91" ht="15" customHeight="1" s="67">
      <c r="A91" s="88">
        <f>IFERROR(IF(IFERROR(MATCH(87,'كشف الحساب'!$N$4:$N$203,0),0)=0,"",INDEX('كشف الحساب'!$A$4:$A$203,IFERROR(MATCH(87,'كشف الحساب'!$N$4:$N$203,0),0))),"")</f>
        <v/>
      </c>
      <c r="B91" s="89">
        <f>IFERROR(IF(IFERROR(MATCH(87,'كشف الحساب'!$N$4:$N$203,0),0)=0,"",INDEX('كشف الحساب'!$B$4:$B$203,IFERROR(MATCH(87,'كشف الحساب'!$N$4:$N$203,0),0))),"")</f>
        <v/>
      </c>
      <c r="C91" s="90">
        <f>IFERROR(IF(IFERROR(MATCH(87,'كشف الحساب'!$N$4:$N$203,0),0)=0,"",INDEX('كشف الحساب'!$C$4:$C$203,IFERROR(MATCH(87,'كشف الحساب'!$N$4:$N$203,0),0))),"")</f>
        <v/>
      </c>
      <c r="D91" s="91">
        <f>IFERROR(IF(IFERROR(MATCH(87,'كشف الحساب'!$N$4:$N$203,0),0)=0,"",INDEX('كشف الحساب'!$D$4:$D$203,IFERROR(MATCH(87,'كشف الحساب'!$N$4:$N$203,0),0))),"")</f>
        <v/>
      </c>
      <c r="E91" s="92">
        <f>IFERROR(IF(IFERROR(MATCH(87,'كشف الحساب'!$N$4:$N$203,0),0)=0,"",INDEX('كشف الحساب'!$E$4:$E$203,IFERROR(MATCH(87,'كشف الحساب'!$N$4:$N$203,0),0))),"")</f>
        <v/>
      </c>
      <c r="F91" s="89">
        <f>IFERROR(IF(IFERROR(MATCH(87,'كشف الحساب'!$N$4:$N$203,0),0)=0,"",INDEX('كشف الحساب'!$F$4:$F$203,IFERROR(MATCH(87,'كشف الحساب'!$N$4:$N$203,0),0))),"")</f>
        <v/>
      </c>
      <c r="G91" s="89">
        <f>IFERROR(IF(IFERROR(MATCH(87,'كشف الحساب'!$N$4:$N$203,0),0)=0,"",INDEX('كشف الحساب'!$G$4:$G$203,IFERROR(MATCH(87,'كشف الحساب'!$N$4:$N$203,0),0))),"")</f>
        <v/>
      </c>
      <c r="H91" s="89">
        <f>IFERROR(IF(IFERROR(MATCH(87,'كشف الحساب'!$N$4:$N$203,0),0)=0,"",INDEX('كشف الحساب'!$H$4:$H$203,IFERROR(MATCH(87,'كشف الحساب'!$N$4:$N$203,0),0))),"")</f>
        <v/>
      </c>
      <c r="I91" s="89">
        <f>IFERROR(IF(IFERROR(MATCH(87,'كشف الحساب'!$N$4:$N$203,0),0)=0,"",INDEX('كشف الحساب'!$I$4:$I$203,IFERROR(MATCH(87,'كشف الحساب'!$N$4:$N$203,0),0))),"")</f>
        <v/>
      </c>
      <c r="J91" s="93">
        <f>IFERROR(IF(IFERROR(MATCH(87,'كشف الحساب'!$N$4:$N$203,0),0)=0,"",INDEX('كشف الحساب'!$J$4:$J$203,IFERROR(MATCH(87,'كشف الحساب'!$N$4:$N$203,0),0))),"")</f>
        <v/>
      </c>
      <c r="K91" s="89">
        <f>IFERROR(IF(IFERROR(MATCH(87,'كشف الحساب'!$N$4:$N$203,0),0)=0,"",INDEX('كشف الحساب'!$K$4:$K$203,IFERROR(MATCH(87,'كشف الحساب'!$N$4:$N$203,0),0))),"")</f>
        <v/>
      </c>
    </row>
    <row r="92" ht="15" customHeight="1" s="67">
      <c r="A92" s="94">
        <f>IFERROR(IF(IFERROR(MATCH(88,'كشف الحساب'!$N$4:$N$203,0),0)=0,"",INDEX('كشف الحساب'!$A$4:$A$203,IFERROR(MATCH(88,'كشف الحساب'!$N$4:$N$203,0),0))),"")</f>
        <v/>
      </c>
      <c r="B92" s="95">
        <f>IFERROR(IF(IFERROR(MATCH(88,'كشف الحساب'!$N$4:$N$203,0),0)=0,"",INDEX('كشف الحساب'!$B$4:$B$203,IFERROR(MATCH(88,'كشف الحساب'!$N$4:$N$203,0),0))),"")</f>
        <v/>
      </c>
      <c r="C92" s="96">
        <f>IFERROR(IF(IFERROR(MATCH(88,'كشف الحساب'!$N$4:$N$203,0),0)=0,"",INDEX('كشف الحساب'!$C$4:$C$203,IFERROR(MATCH(88,'كشف الحساب'!$N$4:$N$203,0),0))),"")</f>
        <v/>
      </c>
      <c r="D92" s="97">
        <f>IFERROR(IF(IFERROR(MATCH(88,'كشف الحساب'!$N$4:$N$203,0),0)=0,"",INDEX('كشف الحساب'!$D$4:$D$203,IFERROR(MATCH(88,'كشف الحساب'!$N$4:$N$203,0),0))),"")</f>
        <v/>
      </c>
      <c r="E92" s="98">
        <f>IFERROR(IF(IFERROR(MATCH(88,'كشف الحساب'!$N$4:$N$203,0),0)=0,"",INDEX('كشف الحساب'!$E$4:$E$203,IFERROR(MATCH(88,'كشف الحساب'!$N$4:$N$203,0),0))),"")</f>
        <v/>
      </c>
      <c r="F92" s="95">
        <f>IFERROR(IF(IFERROR(MATCH(88,'كشف الحساب'!$N$4:$N$203,0),0)=0,"",INDEX('كشف الحساب'!$F$4:$F$203,IFERROR(MATCH(88,'كشف الحساب'!$N$4:$N$203,0),0))),"")</f>
        <v/>
      </c>
      <c r="G92" s="95">
        <f>IFERROR(IF(IFERROR(MATCH(88,'كشف الحساب'!$N$4:$N$203,0),0)=0,"",INDEX('كشف الحساب'!$G$4:$G$203,IFERROR(MATCH(88,'كشف الحساب'!$N$4:$N$203,0),0))),"")</f>
        <v/>
      </c>
      <c r="H92" s="95">
        <f>IFERROR(IF(IFERROR(MATCH(88,'كشف الحساب'!$N$4:$N$203,0),0)=0,"",INDEX('كشف الحساب'!$H$4:$H$203,IFERROR(MATCH(88,'كشف الحساب'!$N$4:$N$203,0),0))),"")</f>
        <v/>
      </c>
      <c r="I92" s="95">
        <f>IFERROR(IF(IFERROR(MATCH(88,'كشف الحساب'!$N$4:$N$203,0),0)=0,"",INDEX('كشف الحساب'!$I$4:$I$203,IFERROR(MATCH(88,'كشف الحساب'!$N$4:$N$203,0),0))),"")</f>
        <v/>
      </c>
      <c r="J92" s="99">
        <f>IFERROR(IF(IFERROR(MATCH(88,'كشف الحساب'!$N$4:$N$203,0),0)=0,"",INDEX('كشف الحساب'!$J$4:$J$203,IFERROR(MATCH(88,'كشف الحساب'!$N$4:$N$203,0),0))),"")</f>
        <v/>
      </c>
      <c r="K92" s="95">
        <f>IFERROR(IF(IFERROR(MATCH(88,'كشف الحساب'!$N$4:$N$203,0),0)=0,"",INDEX('كشف الحساب'!$K$4:$K$203,IFERROR(MATCH(88,'كشف الحساب'!$N$4:$N$203,0),0))),"")</f>
        <v/>
      </c>
    </row>
    <row r="93" ht="15" customHeight="1" s="67">
      <c r="A93" s="88">
        <f>IFERROR(IF(IFERROR(MATCH(89,'كشف الحساب'!$N$4:$N$203,0),0)=0,"",INDEX('كشف الحساب'!$A$4:$A$203,IFERROR(MATCH(89,'كشف الحساب'!$N$4:$N$203,0),0))),"")</f>
        <v/>
      </c>
      <c r="B93" s="89">
        <f>IFERROR(IF(IFERROR(MATCH(89,'كشف الحساب'!$N$4:$N$203,0),0)=0,"",INDEX('كشف الحساب'!$B$4:$B$203,IFERROR(MATCH(89,'كشف الحساب'!$N$4:$N$203,0),0))),"")</f>
        <v/>
      </c>
      <c r="C93" s="90">
        <f>IFERROR(IF(IFERROR(MATCH(89,'كشف الحساب'!$N$4:$N$203,0),0)=0,"",INDEX('كشف الحساب'!$C$4:$C$203,IFERROR(MATCH(89,'كشف الحساب'!$N$4:$N$203,0),0))),"")</f>
        <v/>
      </c>
      <c r="D93" s="91">
        <f>IFERROR(IF(IFERROR(MATCH(89,'كشف الحساب'!$N$4:$N$203,0),0)=0,"",INDEX('كشف الحساب'!$D$4:$D$203,IFERROR(MATCH(89,'كشف الحساب'!$N$4:$N$203,0),0))),"")</f>
        <v/>
      </c>
      <c r="E93" s="92">
        <f>IFERROR(IF(IFERROR(MATCH(89,'كشف الحساب'!$N$4:$N$203,0),0)=0,"",INDEX('كشف الحساب'!$E$4:$E$203,IFERROR(MATCH(89,'كشف الحساب'!$N$4:$N$203,0),0))),"")</f>
        <v/>
      </c>
      <c r="F93" s="89">
        <f>IFERROR(IF(IFERROR(MATCH(89,'كشف الحساب'!$N$4:$N$203,0),0)=0,"",INDEX('كشف الحساب'!$F$4:$F$203,IFERROR(MATCH(89,'كشف الحساب'!$N$4:$N$203,0),0))),"")</f>
        <v/>
      </c>
      <c r="G93" s="89">
        <f>IFERROR(IF(IFERROR(MATCH(89,'كشف الحساب'!$N$4:$N$203,0),0)=0,"",INDEX('كشف الحساب'!$G$4:$G$203,IFERROR(MATCH(89,'كشف الحساب'!$N$4:$N$203,0),0))),"")</f>
        <v/>
      </c>
      <c r="H93" s="89">
        <f>IFERROR(IF(IFERROR(MATCH(89,'كشف الحساب'!$N$4:$N$203,0),0)=0,"",INDEX('كشف الحساب'!$H$4:$H$203,IFERROR(MATCH(89,'كشف الحساب'!$N$4:$N$203,0),0))),"")</f>
        <v/>
      </c>
      <c r="I93" s="89">
        <f>IFERROR(IF(IFERROR(MATCH(89,'كشف الحساب'!$N$4:$N$203,0),0)=0,"",INDEX('كشف الحساب'!$I$4:$I$203,IFERROR(MATCH(89,'كشف الحساب'!$N$4:$N$203,0),0))),"")</f>
        <v/>
      </c>
      <c r="J93" s="93">
        <f>IFERROR(IF(IFERROR(MATCH(89,'كشف الحساب'!$N$4:$N$203,0),0)=0,"",INDEX('كشف الحساب'!$J$4:$J$203,IFERROR(MATCH(89,'كشف الحساب'!$N$4:$N$203,0),0))),"")</f>
        <v/>
      </c>
      <c r="K93" s="89">
        <f>IFERROR(IF(IFERROR(MATCH(89,'كشف الحساب'!$N$4:$N$203,0),0)=0,"",INDEX('كشف الحساب'!$K$4:$K$203,IFERROR(MATCH(89,'كشف الحساب'!$N$4:$N$203,0),0))),"")</f>
        <v/>
      </c>
    </row>
    <row r="94" ht="15" customHeight="1" s="67">
      <c r="A94" s="94">
        <f>IFERROR(IF(IFERROR(MATCH(90,'كشف الحساب'!$N$4:$N$203,0),0)=0,"",INDEX('كشف الحساب'!$A$4:$A$203,IFERROR(MATCH(90,'كشف الحساب'!$N$4:$N$203,0),0))),"")</f>
        <v/>
      </c>
      <c r="B94" s="95">
        <f>IFERROR(IF(IFERROR(MATCH(90,'كشف الحساب'!$N$4:$N$203,0),0)=0,"",INDEX('كشف الحساب'!$B$4:$B$203,IFERROR(MATCH(90,'كشف الحساب'!$N$4:$N$203,0),0))),"")</f>
        <v/>
      </c>
      <c r="C94" s="96">
        <f>IFERROR(IF(IFERROR(MATCH(90,'كشف الحساب'!$N$4:$N$203,0),0)=0,"",INDEX('كشف الحساب'!$C$4:$C$203,IFERROR(MATCH(90,'كشف الحساب'!$N$4:$N$203,0),0))),"")</f>
        <v/>
      </c>
      <c r="D94" s="97">
        <f>IFERROR(IF(IFERROR(MATCH(90,'كشف الحساب'!$N$4:$N$203,0),0)=0,"",INDEX('كشف الحساب'!$D$4:$D$203,IFERROR(MATCH(90,'كشف الحساب'!$N$4:$N$203,0),0))),"")</f>
        <v/>
      </c>
      <c r="E94" s="98">
        <f>IFERROR(IF(IFERROR(MATCH(90,'كشف الحساب'!$N$4:$N$203,0),0)=0,"",INDEX('كشف الحساب'!$E$4:$E$203,IFERROR(MATCH(90,'كشف الحساب'!$N$4:$N$203,0),0))),"")</f>
        <v/>
      </c>
      <c r="F94" s="95">
        <f>IFERROR(IF(IFERROR(MATCH(90,'كشف الحساب'!$N$4:$N$203,0),0)=0,"",INDEX('كشف الحساب'!$F$4:$F$203,IFERROR(MATCH(90,'كشف الحساب'!$N$4:$N$203,0),0))),"")</f>
        <v/>
      </c>
      <c r="G94" s="95">
        <f>IFERROR(IF(IFERROR(MATCH(90,'كشف الحساب'!$N$4:$N$203,0),0)=0,"",INDEX('كشف الحساب'!$G$4:$G$203,IFERROR(MATCH(90,'كشف الحساب'!$N$4:$N$203,0),0))),"")</f>
        <v/>
      </c>
      <c r="H94" s="95">
        <f>IFERROR(IF(IFERROR(MATCH(90,'كشف الحساب'!$N$4:$N$203,0),0)=0,"",INDEX('كشف الحساب'!$H$4:$H$203,IFERROR(MATCH(90,'كشف الحساب'!$N$4:$N$203,0),0))),"")</f>
        <v/>
      </c>
      <c r="I94" s="95">
        <f>IFERROR(IF(IFERROR(MATCH(90,'كشف الحساب'!$N$4:$N$203,0),0)=0,"",INDEX('كشف الحساب'!$I$4:$I$203,IFERROR(MATCH(90,'كشف الحساب'!$N$4:$N$203,0),0))),"")</f>
        <v/>
      </c>
      <c r="J94" s="99">
        <f>IFERROR(IF(IFERROR(MATCH(90,'كشف الحساب'!$N$4:$N$203,0),0)=0,"",INDEX('كشف الحساب'!$J$4:$J$203,IFERROR(MATCH(90,'كشف الحساب'!$N$4:$N$203,0),0))),"")</f>
        <v/>
      </c>
      <c r="K94" s="95">
        <f>IFERROR(IF(IFERROR(MATCH(90,'كشف الحساب'!$N$4:$N$203,0),0)=0,"",INDEX('كشف الحساب'!$K$4:$K$203,IFERROR(MATCH(90,'كشف الحساب'!$N$4:$N$203,0),0))),"")</f>
        <v/>
      </c>
    </row>
    <row r="95" ht="15" customHeight="1" s="67">
      <c r="A95" s="88">
        <f>IFERROR(IF(IFERROR(MATCH(91,'كشف الحساب'!$N$4:$N$203,0),0)=0,"",INDEX('كشف الحساب'!$A$4:$A$203,IFERROR(MATCH(91,'كشف الحساب'!$N$4:$N$203,0),0))),"")</f>
        <v/>
      </c>
      <c r="B95" s="89">
        <f>IFERROR(IF(IFERROR(MATCH(91,'كشف الحساب'!$N$4:$N$203,0),0)=0,"",INDEX('كشف الحساب'!$B$4:$B$203,IFERROR(MATCH(91,'كشف الحساب'!$N$4:$N$203,0),0))),"")</f>
        <v/>
      </c>
      <c r="C95" s="90">
        <f>IFERROR(IF(IFERROR(MATCH(91,'كشف الحساب'!$N$4:$N$203,0),0)=0,"",INDEX('كشف الحساب'!$C$4:$C$203,IFERROR(MATCH(91,'كشف الحساب'!$N$4:$N$203,0),0))),"")</f>
        <v/>
      </c>
      <c r="D95" s="91">
        <f>IFERROR(IF(IFERROR(MATCH(91,'كشف الحساب'!$N$4:$N$203,0),0)=0,"",INDEX('كشف الحساب'!$D$4:$D$203,IFERROR(MATCH(91,'كشف الحساب'!$N$4:$N$203,0),0))),"")</f>
        <v/>
      </c>
      <c r="E95" s="92">
        <f>IFERROR(IF(IFERROR(MATCH(91,'كشف الحساب'!$N$4:$N$203,0),0)=0,"",INDEX('كشف الحساب'!$E$4:$E$203,IFERROR(MATCH(91,'كشف الحساب'!$N$4:$N$203,0),0))),"")</f>
        <v/>
      </c>
      <c r="F95" s="89">
        <f>IFERROR(IF(IFERROR(MATCH(91,'كشف الحساب'!$N$4:$N$203,0),0)=0,"",INDEX('كشف الحساب'!$F$4:$F$203,IFERROR(MATCH(91,'كشف الحساب'!$N$4:$N$203,0),0))),"")</f>
        <v/>
      </c>
      <c r="G95" s="89">
        <f>IFERROR(IF(IFERROR(MATCH(91,'كشف الحساب'!$N$4:$N$203,0),0)=0,"",INDEX('كشف الحساب'!$G$4:$G$203,IFERROR(MATCH(91,'كشف الحساب'!$N$4:$N$203,0),0))),"")</f>
        <v/>
      </c>
      <c r="H95" s="89">
        <f>IFERROR(IF(IFERROR(MATCH(91,'كشف الحساب'!$N$4:$N$203,0),0)=0,"",INDEX('كشف الحساب'!$H$4:$H$203,IFERROR(MATCH(91,'كشف الحساب'!$N$4:$N$203,0),0))),"")</f>
        <v/>
      </c>
      <c r="I95" s="89">
        <f>IFERROR(IF(IFERROR(MATCH(91,'كشف الحساب'!$N$4:$N$203,0),0)=0,"",INDEX('كشف الحساب'!$I$4:$I$203,IFERROR(MATCH(91,'كشف الحساب'!$N$4:$N$203,0),0))),"")</f>
        <v/>
      </c>
      <c r="J95" s="93">
        <f>IFERROR(IF(IFERROR(MATCH(91,'كشف الحساب'!$N$4:$N$203,0),0)=0,"",INDEX('كشف الحساب'!$J$4:$J$203,IFERROR(MATCH(91,'كشف الحساب'!$N$4:$N$203,0),0))),"")</f>
        <v/>
      </c>
      <c r="K95" s="89">
        <f>IFERROR(IF(IFERROR(MATCH(91,'كشف الحساب'!$N$4:$N$203,0),0)=0,"",INDEX('كشف الحساب'!$K$4:$K$203,IFERROR(MATCH(91,'كشف الحساب'!$N$4:$N$203,0),0))),"")</f>
        <v/>
      </c>
    </row>
    <row r="96" ht="15" customHeight="1" s="67">
      <c r="A96" s="94">
        <f>IFERROR(IF(IFERROR(MATCH(92,'كشف الحساب'!$N$4:$N$203,0),0)=0,"",INDEX('كشف الحساب'!$A$4:$A$203,IFERROR(MATCH(92,'كشف الحساب'!$N$4:$N$203,0),0))),"")</f>
        <v/>
      </c>
      <c r="B96" s="95">
        <f>IFERROR(IF(IFERROR(MATCH(92,'كشف الحساب'!$N$4:$N$203,0),0)=0,"",INDEX('كشف الحساب'!$B$4:$B$203,IFERROR(MATCH(92,'كشف الحساب'!$N$4:$N$203,0),0))),"")</f>
        <v/>
      </c>
      <c r="C96" s="96">
        <f>IFERROR(IF(IFERROR(MATCH(92,'كشف الحساب'!$N$4:$N$203,0),0)=0,"",INDEX('كشف الحساب'!$C$4:$C$203,IFERROR(MATCH(92,'كشف الحساب'!$N$4:$N$203,0),0))),"")</f>
        <v/>
      </c>
      <c r="D96" s="97">
        <f>IFERROR(IF(IFERROR(MATCH(92,'كشف الحساب'!$N$4:$N$203,0),0)=0,"",INDEX('كشف الحساب'!$D$4:$D$203,IFERROR(MATCH(92,'كشف الحساب'!$N$4:$N$203,0),0))),"")</f>
        <v/>
      </c>
      <c r="E96" s="98">
        <f>IFERROR(IF(IFERROR(MATCH(92,'كشف الحساب'!$N$4:$N$203,0),0)=0,"",INDEX('كشف الحساب'!$E$4:$E$203,IFERROR(MATCH(92,'كشف الحساب'!$N$4:$N$203,0),0))),"")</f>
        <v/>
      </c>
      <c r="F96" s="95">
        <f>IFERROR(IF(IFERROR(MATCH(92,'كشف الحساب'!$N$4:$N$203,0),0)=0,"",INDEX('كشف الحساب'!$F$4:$F$203,IFERROR(MATCH(92,'كشف الحساب'!$N$4:$N$203,0),0))),"")</f>
        <v/>
      </c>
      <c r="G96" s="95">
        <f>IFERROR(IF(IFERROR(MATCH(92,'كشف الحساب'!$N$4:$N$203,0),0)=0,"",INDEX('كشف الحساب'!$G$4:$G$203,IFERROR(MATCH(92,'كشف الحساب'!$N$4:$N$203,0),0))),"")</f>
        <v/>
      </c>
      <c r="H96" s="95">
        <f>IFERROR(IF(IFERROR(MATCH(92,'كشف الحساب'!$N$4:$N$203,0),0)=0,"",INDEX('كشف الحساب'!$H$4:$H$203,IFERROR(MATCH(92,'كشف الحساب'!$N$4:$N$203,0),0))),"")</f>
        <v/>
      </c>
      <c r="I96" s="95">
        <f>IFERROR(IF(IFERROR(MATCH(92,'كشف الحساب'!$N$4:$N$203,0),0)=0,"",INDEX('كشف الحساب'!$I$4:$I$203,IFERROR(MATCH(92,'كشف الحساب'!$N$4:$N$203,0),0))),"")</f>
        <v/>
      </c>
      <c r="J96" s="99">
        <f>IFERROR(IF(IFERROR(MATCH(92,'كشف الحساب'!$N$4:$N$203,0),0)=0,"",INDEX('كشف الحساب'!$J$4:$J$203,IFERROR(MATCH(92,'كشف الحساب'!$N$4:$N$203,0),0))),"")</f>
        <v/>
      </c>
      <c r="K96" s="95">
        <f>IFERROR(IF(IFERROR(MATCH(92,'كشف الحساب'!$N$4:$N$203,0),0)=0,"",INDEX('كشف الحساب'!$K$4:$K$203,IFERROR(MATCH(92,'كشف الحساب'!$N$4:$N$203,0),0))),"")</f>
        <v/>
      </c>
    </row>
    <row r="97" ht="15" customHeight="1" s="67">
      <c r="A97" s="88">
        <f>IFERROR(IF(IFERROR(MATCH(93,'كشف الحساب'!$N$4:$N$203,0),0)=0,"",INDEX('كشف الحساب'!$A$4:$A$203,IFERROR(MATCH(93,'كشف الحساب'!$N$4:$N$203,0),0))),"")</f>
        <v/>
      </c>
      <c r="B97" s="89">
        <f>IFERROR(IF(IFERROR(MATCH(93,'كشف الحساب'!$N$4:$N$203,0),0)=0,"",INDEX('كشف الحساب'!$B$4:$B$203,IFERROR(MATCH(93,'كشف الحساب'!$N$4:$N$203,0),0))),"")</f>
        <v/>
      </c>
      <c r="C97" s="90">
        <f>IFERROR(IF(IFERROR(MATCH(93,'كشف الحساب'!$N$4:$N$203,0),0)=0,"",INDEX('كشف الحساب'!$C$4:$C$203,IFERROR(MATCH(93,'كشف الحساب'!$N$4:$N$203,0),0))),"")</f>
        <v/>
      </c>
      <c r="D97" s="91">
        <f>IFERROR(IF(IFERROR(MATCH(93,'كشف الحساب'!$N$4:$N$203,0),0)=0,"",INDEX('كشف الحساب'!$D$4:$D$203,IFERROR(MATCH(93,'كشف الحساب'!$N$4:$N$203,0),0))),"")</f>
        <v/>
      </c>
      <c r="E97" s="92">
        <f>IFERROR(IF(IFERROR(MATCH(93,'كشف الحساب'!$N$4:$N$203,0),0)=0,"",INDEX('كشف الحساب'!$E$4:$E$203,IFERROR(MATCH(93,'كشف الحساب'!$N$4:$N$203,0),0))),"")</f>
        <v/>
      </c>
      <c r="F97" s="89">
        <f>IFERROR(IF(IFERROR(MATCH(93,'كشف الحساب'!$N$4:$N$203,0),0)=0,"",INDEX('كشف الحساب'!$F$4:$F$203,IFERROR(MATCH(93,'كشف الحساب'!$N$4:$N$203,0),0))),"")</f>
        <v/>
      </c>
      <c r="G97" s="89">
        <f>IFERROR(IF(IFERROR(MATCH(93,'كشف الحساب'!$N$4:$N$203,0),0)=0,"",INDEX('كشف الحساب'!$G$4:$G$203,IFERROR(MATCH(93,'كشف الحساب'!$N$4:$N$203,0),0))),"")</f>
        <v/>
      </c>
      <c r="H97" s="89">
        <f>IFERROR(IF(IFERROR(MATCH(93,'كشف الحساب'!$N$4:$N$203,0),0)=0,"",INDEX('كشف الحساب'!$H$4:$H$203,IFERROR(MATCH(93,'كشف الحساب'!$N$4:$N$203,0),0))),"")</f>
        <v/>
      </c>
      <c r="I97" s="89">
        <f>IFERROR(IF(IFERROR(MATCH(93,'كشف الحساب'!$N$4:$N$203,0),0)=0,"",INDEX('كشف الحساب'!$I$4:$I$203,IFERROR(MATCH(93,'كشف الحساب'!$N$4:$N$203,0),0))),"")</f>
        <v/>
      </c>
      <c r="J97" s="93">
        <f>IFERROR(IF(IFERROR(MATCH(93,'كشف الحساب'!$N$4:$N$203,0),0)=0,"",INDEX('كشف الحساب'!$J$4:$J$203,IFERROR(MATCH(93,'كشف الحساب'!$N$4:$N$203,0),0))),"")</f>
        <v/>
      </c>
      <c r="K97" s="89">
        <f>IFERROR(IF(IFERROR(MATCH(93,'كشف الحساب'!$N$4:$N$203,0),0)=0,"",INDEX('كشف الحساب'!$K$4:$K$203,IFERROR(MATCH(93,'كشف الحساب'!$N$4:$N$203,0),0))),"")</f>
        <v/>
      </c>
    </row>
    <row r="98" ht="15" customHeight="1" s="67">
      <c r="A98" s="94">
        <f>IFERROR(IF(IFERROR(MATCH(94,'كشف الحساب'!$N$4:$N$203,0),0)=0,"",INDEX('كشف الحساب'!$A$4:$A$203,IFERROR(MATCH(94,'كشف الحساب'!$N$4:$N$203,0),0))),"")</f>
        <v/>
      </c>
      <c r="B98" s="95">
        <f>IFERROR(IF(IFERROR(MATCH(94,'كشف الحساب'!$N$4:$N$203,0),0)=0,"",INDEX('كشف الحساب'!$B$4:$B$203,IFERROR(MATCH(94,'كشف الحساب'!$N$4:$N$203,0),0))),"")</f>
        <v/>
      </c>
      <c r="C98" s="96">
        <f>IFERROR(IF(IFERROR(MATCH(94,'كشف الحساب'!$N$4:$N$203,0),0)=0,"",INDEX('كشف الحساب'!$C$4:$C$203,IFERROR(MATCH(94,'كشف الحساب'!$N$4:$N$203,0),0))),"")</f>
        <v/>
      </c>
      <c r="D98" s="97">
        <f>IFERROR(IF(IFERROR(MATCH(94,'كشف الحساب'!$N$4:$N$203,0),0)=0,"",INDEX('كشف الحساب'!$D$4:$D$203,IFERROR(MATCH(94,'كشف الحساب'!$N$4:$N$203,0),0))),"")</f>
        <v/>
      </c>
      <c r="E98" s="98">
        <f>IFERROR(IF(IFERROR(MATCH(94,'كشف الحساب'!$N$4:$N$203,0),0)=0,"",INDEX('كشف الحساب'!$E$4:$E$203,IFERROR(MATCH(94,'كشف الحساب'!$N$4:$N$203,0),0))),"")</f>
        <v/>
      </c>
      <c r="F98" s="95">
        <f>IFERROR(IF(IFERROR(MATCH(94,'كشف الحساب'!$N$4:$N$203,0),0)=0,"",INDEX('كشف الحساب'!$F$4:$F$203,IFERROR(MATCH(94,'كشف الحساب'!$N$4:$N$203,0),0))),"")</f>
        <v/>
      </c>
      <c r="G98" s="95">
        <f>IFERROR(IF(IFERROR(MATCH(94,'كشف الحساب'!$N$4:$N$203,0),0)=0,"",INDEX('كشف الحساب'!$G$4:$G$203,IFERROR(MATCH(94,'كشف الحساب'!$N$4:$N$203,0),0))),"")</f>
        <v/>
      </c>
      <c r="H98" s="95">
        <f>IFERROR(IF(IFERROR(MATCH(94,'كشف الحساب'!$N$4:$N$203,0),0)=0,"",INDEX('كشف الحساب'!$H$4:$H$203,IFERROR(MATCH(94,'كشف الحساب'!$N$4:$N$203,0),0))),"")</f>
        <v/>
      </c>
      <c r="I98" s="95">
        <f>IFERROR(IF(IFERROR(MATCH(94,'كشف الحساب'!$N$4:$N$203,0),0)=0,"",INDEX('كشف الحساب'!$I$4:$I$203,IFERROR(MATCH(94,'كشف الحساب'!$N$4:$N$203,0),0))),"")</f>
        <v/>
      </c>
      <c r="J98" s="99">
        <f>IFERROR(IF(IFERROR(MATCH(94,'كشف الحساب'!$N$4:$N$203,0),0)=0,"",INDEX('كشف الحساب'!$J$4:$J$203,IFERROR(MATCH(94,'كشف الحساب'!$N$4:$N$203,0),0))),"")</f>
        <v/>
      </c>
      <c r="K98" s="95">
        <f>IFERROR(IF(IFERROR(MATCH(94,'كشف الحساب'!$N$4:$N$203,0),0)=0,"",INDEX('كشف الحساب'!$K$4:$K$203,IFERROR(MATCH(94,'كشف الحساب'!$N$4:$N$203,0),0))),"")</f>
        <v/>
      </c>
    </row>
    <row r="99" ht="15" customHeight="1" s="67">
      <c r="A99" s="88">
        <f>IFERROR(IF(IFERROR(MATCH(95,'كشف الحساب'!$N$4:$N$203,0),0)=0,"",INDEX('كشف الحساب'!$A$4:$A$203,IFERROR(MATCH(95,'كشف الحساب'!$N$4:$N$203,0),0))),"")</f>
        <v/>
      </c>
      <c r="B99" s="89">
        <f>IFERROR(IF(IFERROR(MATCH(95,'كشف الحساب'!$N$4:$N$203,0),0)=0,"",INDEX('كشف الحساب'!$B$4:$B$203,IFERROR(MATCH(95,'كشف الحساب'!$N$4:$N$203,0),0))),"")</f>
        <v/>
      </c>
      <c r="C99" s="90">
        <f>IFERROR(IF(IFERROR(MATCH(95,'كشف الحساب'!$N$4:$N$203,0),0)=0,"",INDEX('كشف الحساب'!$C$4:$C$203,IFERROR(MATCH(95,'كشف الحساب'!$N$4:$N$203,0),0))),"")</f>
        <v/>
      </c>
      <c r="D99" s="91">
        <f>IFERROR(IF(IFERROR(MATCH(95,'كشف الحساب'!$N$4:$N$203,0),0)=0,"",INDEX('كشف الحساب'!$D$4:$D$203,IFERROR(MATCH(95,'كشف الحساب'!$N$4:$N$203,0),0))),"")</f>
        <v/>
      </c>
      <c r="E99" s="92">
        <f>IFERROR(IF(IFERROR(MATCH(95,'كشف الحساب'!$N$4:$N$203,0),0)=0,"",INDEX('كشف الحساب'!$E$4:$E$203,IFERROR(MATCH(95,'كشف الحساب'!$N$4:$N$203,0),0))),"")</f>
        <v/>
      </c>
      <c r="F99" s="89">
        <f>IFERROR(IF(IFERROR(MATCH(95,'كشف الحساب'!$N$4:$N$203,0),0)=0,"",INDEX('كشف الحساب'!$F$4:$F$203,IFERROR(MATCH(95,'كشف الحساب'!$N$4:$N$203,0),0))),"")</f>
        <v/>
      </c>
      <c r="G99" s="89">
        <f>IFERROR(IF(IFERROR(MATCH(95,'كشف الحساب'!$N$4:$N$203,0),0)=0,"",INDEX('كشف الحساب'!$G$4:$G$203,IFERROR(MATCH(95,'كشف الحساب'!$N$4:$N$203,0),0))),"")</f>
        <v/>
      </c>
      <c r="H99" s="89">
        <f>IFERROR(IF(IFERROR(MATCH(95,'كشف الحساب'!$N$4:$N$203,0),0)=0,"",INDEX('كشف الحساب'!$H$4:$H$203,IFERROR(MATCH(95,'كشف الحساب'!$N$4:$N$203,0),0))),"")</f>
        <v/>
      </c>
      <c r="I99" s="89">
        <f>IFERROR(IF(IFERROR(MATCH(95,'كشف الحساب'!$N$4:$N$203,0),0)=0,"",INDEX('كشف الحساب'!$I$4:$I$203,IFERROR(MATCH(95,'كشف الحساب'!$N$4:$N$203,0),0))),"")</f>
        <v/>
      </c>
      <c r="J99" s="93">
        <f>IFERROR(IF(IFERROR(MATCH(95,'كشف الحساب'!$N$4:$N$203,0),0)=0,"",INDEX('كشف الحساب'!$J$4:$J$203,IFERROR(MATCH(95,'كشف الحساب'!$N$4:$N$203,0),0))),"")</f>
        <v/>
      </c>
      <c r="K99" s="89">
        <f>IFERROR(IF(IFERROR(MATCH(95,'كشف الحساب'!$N$4:$N$203,0),0)=0,"",INDEX('كشف الحساب'!$K$4:$K$203,IFERROR(MATCH(95,'كشف الحساب'!$N$4:$N$203,0),0))),"")</f>
        <v/>
      </c>
    </row>
    <row r="100" ht="15" customHeight="1" s="67">
      <c r="A100" s="94">
        <f>IFERROR(IF(IFERROR(MATCH(96,'كشف الحساب'!$N$4:$N$203,0),0)=0,"",INDEX('كشف الحساب'!$A$4:$A$203,IFERROR(MATCH(96,'كشف الحساب'!$N$4:$N$203,0),0))),"")</f>
        <v/>
      </c>
      <c r="B100" s="95">
        <f>IFERROR(IF(IFERROR(MATCH(96,'كشف الحساب'!$N$4:$N$203,0),0)=0,"",INDEX('كشف الحساب'!$B$4:$B$203,IFERROR(MATCH(96,'كشف الحساب'!$N$4:$N$203,0),0))),"")</f>
        <v/>
      </c>
      <c r="C100" s="96">
        <f>IFERROR(IF(IFERROR(MATCH(96,'كشف الحساب'!$N$4:$N$203,0),0)=0,"",INDEX('كشف الحساب'!$C$4:$C$203,IFERROR(MATCH(96,'كشف الحساب'!$N$4:$N$203,0),0))),"")</f>
        <v/>
      </c>
      <c r="D100" s="97">
        <f>IFERROR(IF(IFERROR(MATCH(96,'كشف الحساب'!$N$4:$N$203,0),0)=0,"",INDEX('كشف الحساب'!$D$4:$D$203,IFERROR(MATCH(96,'كشف الحساب'!$N$4:$N$203,0),0))),"")</f>
        <v/>
      </c>
      <c r="E100" s="98">
        <f>IFERROR(IF(IFERROR(MATCH(96,'كشف الحساب'!$N$4:$N$203,0),0)=0,"",INDEX('كشف الحساب'!$E$4:$E$203,IFERROR(MATCH(96,'كشف الحساب'!$N$4:$N$203,0),0))),"")</f>
        <v/>
      </c>
      <c r="F100" s="95">
        <f>IFERROR(IF(IFERROR(MATCH(96,'كشف الحساب'!$N$4:$N$203,0),0)=0,"",INDEX('كشف الحساب'!$F$4:$F$203,IFERROR(MATCH(96,'كشف الحساب'!$N$4:$N$203,0),0))),"")</f>
        <v/>
      </c>
      <c r="G100" s="95">
        <f>IFERROR(IF(IFERROR(MATCH(96,'كشف الحساب'!$N$4:$N$203,0),0)=0,"",INDEX('كشف الحساب'!$G$4:$G$203,IFERROR(MATCH(96,'كشف الحساب'!$N$4:$N$203,0),0))),"")</f>
        <v/>
      </c>
      <c r="H100" s="95">
        <f>IFERROR(IF(IFERROR(MATCH(96,'كشف الحساب'!$N$4:$N$203,0),0)=0,"",INDEX('كشف الحساب'!$H$4:$H$203,IFERROR(MATCH(96,'كشف الحساب'!$N$4:$N$203,0),0))),"")</f>
        <v/>
      </c>
      <c r="I100" s="95">
        <f>IFERROR(IF(IFERROR(MATCH(96,'كشف الحساب'!$N$4:$N$203,0),0)=0,"",INDEX('كشف الحساب'!$I$4:$I$203,IFERROR(MATCH(96,'كشف الحساب'!$N$4:$N$203,0),0))),"")</f>
        <v/>
      </c>
      <c r="J100" s="99">
        <f>IFERROR(IF(IFERROR(MATCH(96,'كشف الحساب'!$N$4:$N$203,0),0)=0,"",INDEX('كشف الحساب'!$J$4:$J$203,IFERROR(MATCH(96,'كشف الحساب'!$N$4:$N$203,0),0))),"")</f>
        <v/>
      </c>
      <c r="K100" s="95">
        <f>IFERROR(IF(IFERROR(MATCH(96,'كشف الحساب'!$N$4:$N$203,0),0)=0,"",INDEX('كشف الحساب'!$K$4:$K$203,IFERROR(MATCH(96,'كشف الحساب'!$N$4:$N$203,0),0))),"")</f>
        <v/>
      </c>
    </row>
    <row r="101" ht="15" customHeight="1" s="67">
      <c r="A101" s="88">
        <f>IFERROR(IF(IFERROR(MATCH(97,'كشف الحساب'!$N$4:$N$203,0),0)=0,"",INDEX('كشف الحساب'!$A$4:$A$203,IFERROR(MATCH(97,'كشف الحساب'!$N$4:$N$203,0),0))),"")</f>
        <v/>
      </c>
      <c r="B101" s="89">
        <f>IFERROR(IF(IFERROR(MATCH(97,'كشف الحساب'!$N$4:$N$203,0),0)=0,"",INDEX('كشف الحساب'!$B$4:$B$203,IFERROR(MATCH(97,'كشف الحساب'!$N$4:$N$203,0),0))),"")</f>
        <v/>
      </c>
      <c r="C101" s="90">
        <f>IFERROR(IF(IFERROR(MATCH(97,'كشف الحساب'!$N$4:$N$203,0),0)=0,"",INDEX('كشف الحساب'!$C$4:$C$203,IFERROR(MATCH(97,'كشف الحساب'!$N$4:$N$203,0),0))),"")</f>
        <v/>
      </c>
      <c r="D101" s="91">
        <f>IFERROR(IF(IFERROR(MATCH(97,'كشف الحساب'!$N$4:$N$203,0),0)=0,"",INDEX('كشف الحساب'!$D$4:$D$203,IFERROR(MATCH(97,'كشف الحساب'!$N$4:$N$203,0),0))),"")</f>
        <v/>
      </c>
      <c r="E101" s="92">
        <f>IFERROR(IF(IFERROR(MATCH(97,'كشف الحساب'!$N$4:$N$203,0),0)=0,"",INDEX('كشف الحساب'!$E$4:$E$203,IFERROR(MATCH(97,'كشف الحساب'!$N$4:$N$203,0),0))),"")</f>
        <v/>
      </c>
      <c r="F101" s="89">
        <f>IFERROR(IF(IFERROR(MATCH(97,'كشف الحساب'!$N$4:$N$203,0),0)=0,"",INDEX('كشف الحساب'!$F$4:$F$203,IFERROR(MATCH(97,'كشف الحساب'!$N$4:$N$203,0),0))),"")</f>
        <v/>
      </c>
      <c r="G101" s="89">
        <f>IFERROR(IF(IFERROR(MATCH(97,'كشف الحساب'!$N$4:$N$203,0),0)=0,"",INDEX('كشف الحساب'!$G$4:$G$203,IFERROR(MATCH(97,'كشف الحساب'!$N$4:$N$203,0),0))),"")</f>
        <v/>
      </c>
      <c r="H101" s="89">
        <f>IFERROR(IF(IFERROR(MATCH(97,'كشف الحساب'!$N$4:$N$203,0),0)=0,"",INDEX('كشف الحساب'!$H$4:$H$203,IFERROR(MATCH(97,'كشف الحساب'!$N$4:$N$203,0),0))),"")</f>
        <v/>
      </c>
      <c r="I101" s="89">
        <f>IFERROR(IF(IFERROR(MATCH(97,'كشف الحساب'!$N$4:$N$203,0),0)=0,"",INDEX('كشف الحساب'!$I$4:$I$203,IFERROR(MATCH(97,'كشف الحساب'!$N$4:$N$203,0),0))),"")</f>
        <v/>
      </c>
      <c r="J101" s="93">
        <f>IFERROR(IF(IFERROR(MATCH(97,'كشف الحساب'!$N$4:$N$203,0),0)=0,"",INDEX('كشف الحساب'!$J$4:$J$203,IFERROR(MATCH(97,'كشف الحساب'!$N$4:$N$203,0),0))),"")</f>
        <v/>
      </c>
      <c r="K101" s="89">
        <f>IFERROR(IF(IFERROR(MATCH(97,'كشف الحساب'!$N$4:$N$203,0),0)=0,"",INDEX('كشف الحساب'!$K$4:$K$203,IFERROR(MATCH(97,'كشف الحساب'!$N$4:$N$203,0),0))),"")</f>
        <v/>
      </c>
    </row>
    <row r="102" ht="15" customHeight="1" s="67">
      <c r="A102" s="94">
        <f>IFERROR(IF(IFERROR(MATCH(98,'كشف الحساب'!$N$4:$N$203,0),0)=0,"",INDEX('كشف الحساب'!$A$4:$A$203,IFERROR(MATCH(98,'كشف الحساب'!$N$4:$N$203,0),0))),"")</f>
        <v/>
      </c>
      <c r="B102" s="95">
        <f>IFERROR(IF(IFERROR(MATCH(98,'كشف الحساب'!$N$4:$N$203,0),0)=0,"",INDEX('كشف الحساب'!$B$4:$B$203,IFERROR(MATCH(98,'كشف الحساب'!$N$4:$N$203,0),0))),"")</f>
        <v/>
      </c>
      <c r="C102" s="96">
        <f>IFERROR(IF(IFERROR(MATCH(98,'كشف الحساب'!$N$4:$N$203,0),0)=0,"",INDEX('كشف الحساب'!$C$4:$C$203,IFERROR(MATCH(98,'كشف الحساب'!$N$4:$N$203,0),0))),"")</f>
        <v/>
      </c>
      <c r="D102" s="97">
        <f>IFERROR(IF(IFERROR(MATCH(98,'كشف الحساب'!$N$4:$N$203,0),0)=0,"",INDEX('كشف الحساب'!$D$4:$D$203,IFERROR(MATCH(98,'كشف الحساب'!$N$4:$N$203,0),0))),"")</f>
        <v/>
      </c>
      <c r="E102" s="98">
        <f>IFERROR(IF(IFERROR(MATCH(98,'كشف الحساب'!$N$4:$N$203,0),0)=0,"",INDEX('كشف الحساب'!$E$4:$E$203,IFERROR(MATCH(98,'كشف الحساب'!$N$4:$N$203,0),0))),"")</f>
        <v/>
      </c>
      <c r="F102" s="95">
        <f>IFERROR(IF(IFERROR(MATCH(98,'كشف الحساب'!$N$4:$N$203,0),0)=0,"",INDEX('كشف الحساب'!$F$4:$F$203,IFERROR(MATCH(98,'كشف الحساب'!$N$4:$N$203,0),0))),"")</f>
        <v/>
      </c>
      <c r="G102" s="95">
        <f>IFERROR(IF(IFERROR(MATCH(98,'كشف الحساب'!$N$4:$N$203,0),0)=0,"",INDEX('كشف الحساب'!$G$4:$G$203,IFERROR(MATCH(98,'كشف الحساب'!$N$4:$N$203,0),0))),"")</f>
        <v/>
      </c>
      <c r="H102" s="95">
        <f>IFERROR(IF(IFERROR(MATCH(98,'كشف الحساب'!$N$4:$N$203,0),0)=0,"",INDEX('كشف الحساب'!$H$4:$H$203,IFERROR(MATCH(98,'كشف الحساب'!$N$4:$N$203,0),0))),"")</f>
        <v/>
      </c>
      <c r="I102" s="95">
        <f>IFERROR(IF(IFERROR(MATCH(98,'كشف الحساب'!$N$4:$N$203,0),0)=0,"",INDEX('كشف الحساب'!$I$4:$I$203,IFERROR(MATCH(98,'كشف الحساب'!$N$4:$N$203,0),0))),"")</f>
        <v/>
      </c>
      <c r="J102" s="99">
        <f>IFERROR(IF(IFERROR(MATCH(98,'كشف الحساب'!$N$4:$N$203,0),0)=0,"",INDEX('كشف الحساب'!$J$4:$J$203,IFERROR(MATCH(98,'كشف الحساب'!$N$4:$N$203,0),0))),"")</f>
        <v/>
      </c>
      <c r="K102" s="95">
        <f>IFERROR(IF(IFERROR(MATCH(98,'كشف الحساب'!$N$4:$N$203,0),0)=0,"",INDEX('كشف الحساب'!$K$4:$K$203,IFERROR(MATCH(98,'كشف الحساب'!$N$4:$N$203,0),0))),"")</f>
        <v/>
      </c>
    </row>
    <row r="103" ht="15" customHeight="1" s="67">
      <c r="A103" s="88">
        <f>IFERROR(IF(IFERROR(MATCH(99,'كشف الحساب'!$N$4:$N$203,0),0)=0,"",INDEX('كشف الحساب'!$A$4:$A$203,IFERROR(MATCH(99,'كشف الحساب'!$N$4:$N$203,0),0))),"")</f>
        <v/>
      </c>
      <c r="B103" s="89">
        <f>IFERROR(IF(IFERROR(MATCH(99,'كشف الحساب'!$N$4:$N$203,0),0)=0,"",INDEX('كشف الحساب'!$B$4:$B$203,IFERROR(MATCH(99,'كشف الحساب'!$N$4:$N$203,0),0))),"")</f>
        <v/>
      </c>
      <c r="C103" s="90">
        <f>IFERROR(IF(IFERROR(MATCH(99,'كشف الحساب'!$N$4:$N$203,0),0)=0,"",INDEX('كشف الحساب'!$C$4:$C$203,IFERROR(MATCH(99,'كشف الحساب'!$N$4:$N$203,0),0))),"")</f>
        <v/>
      </c>
      <c r="D103" s="91">
        <f>IFERROR(IF(IFERROR(MATCH(99,'كشف الحساب'!$N$4:$N$203,0),0)=0,"",INDEX('كشف الحساب'!$D$4:$D$203,IFERROR(MATCH(99,'كشف الحساب'!$N$4:$N$203,0),0))),"")</f>
        <v/>
      </c>
      <c r="E103" s="92">
        <f>IFERROR(IF(IFERROR(MATCH(99,'كشف الحساب'!$N$4:$N$203,0),0)=0,"",INDEX('كشف الحساب'!$E$4:$E$203,IFERROR(MATCH(99,'كشف الحساب'!$N$4:$N$203,0),0))),"")</f>
        <v/>
      </c>
      <c r="F103" s="89">
        <f>IFERROR(IF(IFERROR(MATCH(99,'كشف الحساب'!$N$4:$N$203,0),0)=0,"",INDEX('كشف الحساب'!$F$4:$F$203,IFERROR(MATCH(99,'كشف الحساب'!$N$4:$N$203,0),0))),"")</f>
        <v/>
      </c>
      <c r="G103" s="89">
        <f>IFERROR(IF(IFERROR(MATCH(99,'كشف الحساب'!$N$4:$N$203,0),0)=0,"",INDEX('كشف الحساب'!$G$4:$G$203,IFERROR(MATCH(99,'كشف الحساب'!$N$4:$N$203,0),0))),"")</f>
        <v/>
      </c>
      <c r="H103" s="89">
        <f>IFERROR(IF(IFERROR(MATCH(99,'كشف الحساب'!$N$4:$N$203,0),0)=0,"",INDEX('كشف الحساب'!$H$4:$H$203,IFERROR(MATCH(99,'كشف الحساب'!$N$4:$N$203,0),0))),"")</f>
        <v/>
      </c>
      <c r="I103" s="89">
        <f>IFERROR(IF(IFERROR(MATCH(99,'كشف الحساب'!$N$4:$N$203,0),0)=0,"",INDEX('كشف الحساب'!$I$4:$I$203,IFERROR(MATCH(99,'كشف الحساب'!$N$4:$N$203,0),0))),"")</f>
        <v/>
      </c>
      <c r="J103" s="93">
        <f>IFERROR(IF(IFERROR(MATCH(99,'كشف الحساب'!$N$4:$N$203,0),0)=0,"",INDEX('كشف الحساب'!$J$4:$J$203,IFERROR(MATCH(99,'كشف الحساب'!$N$4:$N$203,0),0))),"")</f>
        <v/>
      </c>
      <c r="K103" s="89">
        <f>IFERROR(IF(IFERROR(MATCH(99,'كشف الحساب'!$N$4:$N$203,0),0)=0,"",INDEX('كشف الحساب'!$K$4:$K$203,IFERROR(MATCH(99,'كشف الحساب'!$N$4:$N$203,0),0))),"")</f>
        <v/>
      </c>
    </row>
    <row r="104" ht="15" customHeight="1" s="67">
      <c r="A104" s="94">
        <f>IFERROR(IF(IFERROR(MATCH(100,'كشف الحساب'!$N$4:$N$203,0),0)=0,"",INDEX('كشف الحساب'!$A$4:$A$203,IFERROR(MATCH(100,'كشف الحساب'!$N$4:$N$203,0),0))),"")</f>
        <v/>
      </c>
      <c r="B104" s="95">
        <f>IFERROR(IF(IFERROR(MATCH(100,'كشف الحساب'!$N$4:$N$203,0),0)=0,"",INDEX('كشف الحساب'!$B$4:$B$203,IFERROR(MATCH(100,'كشف الحساب'!$N$4:$N$203,0),0))),"")</f>
        <v/>
      </c>
      <c r="C104" s="96">
        <f>IFERROR(IF(IFERROR(MATCH(100,'كشف الحساب'!$N$4:$N$203,0),0)=0,"",INDEX('كشف الحساب'!$C$4:$C$203,IFERROR(MATCH(100,'كشف الحساب'!$N$4:$N$203,0),0))),"")</f>
        <v/>
      </c>
      <c r="D104" s="97">
        <f>IFERROR(IF(IFERROR(MATCH(100,'كشف الحساب'!$N$4:$N$203,0),0)=0,"",INDEX('كشف الحساب'!$D$4:$D$203,IFERROR(MATCH(100,'كشف الحساب'!$N$4:$N$203,0),0))),"")</f>
        <v/>
      </c>
      <c r="E104" s="98">
        <f>IFERROR(IF(IFERROR(MATCH(100,'كشف الحساب'!$N$4:$N$203,0),0)=0,"",INDEX('كشف الحساب'!$E$4:$E$203,IFERROR(MATCH(100,'كشف الحساب'!$N$4:$N$203,0),0))),"")</f>
        <v/>
      </c>
      <c r="F104" s="95">
        <f>IFERROR(IF(IFERROR(MATCH(100,'كشف الحساب'!$N$4:$N$203,0),0)=0,"",INDEX('كشف الحساب'!$F$4:$F$203,IFERROR(MATCH(100,'كشف الحساب'!$N$4:$N$203,0),0))),"")</f>
        <v/>
      </c>
      <c r="G104" s="95">
        <f>IFERROR(IF(IFERROR(MATCH(100,'كشف الحساب'!$N$4:$N$203,0),0)=0,"",INDEX('كشف الحساب'!$G$4:$G$203,IFERROR(MATCH(100,'كشف الحساب'!$N$4:$N$203,0),0))),"")</f>
        <v/>
      </c>
      <c r="H104" s="95">
        <f>IFERROR(IF(IFERROR(MATCH(100,'كشف الحساب'!$N$4:$N$203,0),0)=0,"",INDEX('كشف الحساب'!$H$4:$H$203,IFERROR(MATCH(100,'كشف الحساب'!$N$4:$N$203,0),0))),"")</f>
        <v/>
      </c>
      <c r="I104" s="95">
        <f>IFERROR(IF(IFERROR(MATCH(100,'كشف الحساب'!$N$4:$N$203,0),0)=0,"",INDEX('كشف الحساب'!$I$4:$I$203,IFERROR(MATCH(100,'كشف الحساب'!$N$4:$N$203,0),0))),"")</f>
        <v/>
      </c>
      <c r="J104" s="99">
        <f>IFERROR(IF(IFERROR(MATCH(100,'كشف الحساب'!$N$4:$N$203,0),0)=0,"",INDEX('كشف الحساب'!$J$4:$J$203,IFERROR(MATCH(100,'كشف الحساب'!$N$4:$N$203,0),0))),"")</f>
        <v/>
      </c>
      <c r="K104" s="95">
        <f>IFERROR(IF(IFERROR(MATCH(100,'كشف الحساب'!$N$4:$N$203,0),0)=0,"",INDEX('كشف الحساب'!$K$4:$K$203,IFERROR(MATCH(100,'كشف الحساب'!$N$4:$N$203,0),0))),"")</f>
        <v/>
      </c>
    </row>
    <row r="105" ht="15" customHeight="1" s="67">
      <c r="A105" s="88">
        <f>IFERROR(IF(IFERROR(MATCH(101,'كشف الحساب'!$N$4:$N$203,0),0)=0,"",INDEX('كشف الحساب'!$A$4:$A$203,IFERROR(MATCH(101,'كشف الحساب'!$N$4:$N$203,0),0))),"")</f>
        <v/>
      </c>
      <c r="B105" s="89">
        <f>IFERROR(IF(IFERROR(MATCH(101,'كشف الحساب'!$N$4:$N$203,0),0)=0,"",INDEX('كشف الحساب'!$B$4:$B$203,IFERROR(MATCH(101,'كشف الحساب'!$N$4:$N$203,0),0))),"")</f>
        <v/>
      </c>
      <c r="C105" s="90">
        <f>IFERROR(IF(IFERROR(MATCH(101,'كشف الحساب'!$N$4:$N$203,0),0)=0,"",INDEX('كشف الحساب'!$C$4:$C$203,IFERROR(MATCH(101,'كشف الحساب'!$N$4:$N$203,0),0))),"")</f>
        <v/>
      </c>
      <c r="D105" s="91">
        <f>IFERROR(IF(IFERROR(MATCH(101,'كشف الحساب'!$N$4:$N$203,0),0)=0,"",INDEX('كشف الحساب'!$D$4:$D$203,IFERROR(MATCH(101,'كشف الحساب'!$N$4:$N$203,0),0))),"")</f>
        <v/>
      </c>
      <c r="E105" s="92">
        <f>IFERROR(IF(IFERROR(MATCH(101,'كشف الحساب'!$N$4:$N$203,0),0)=0,"",INDEX('كشف الحساب'!$E$4:$E$203,IFERROR(MATCH(101,'كشف الحساب'!$N$4:$N$203,0),0))),"")</f>
        <v/>
      </c>
      <c r="F105" s="89">
        <f>IFERROR(IF(IFERROR(MATCH(101,'كشف الحساب'!$N$4:$N$203,0),0)=0,"",INDEX('كشف الحساب'!$F$4:$F$203,IFERROR(MATCH(101,'كشف الحساب'!$N$4:$N$203,0),0))),"")</f>
        <v/>
      </c>
      <c r="G105" s="89">
        <f>IFERROR(IF(IFERROR(MATCH(101,'كشف الحساب'!$N$4:$N$203,0),0)=0,"",INDEX('كشف الحساب'!$G$4:$G$203,IFERROR(MATCH(101,'كشف الحساب'!$N$4:$N$203,0),0))),"")</f>
        <v/>
      </c>
      <c r="H105" s="89">
        <f>IFERROR(IF(IFERROR(MATCH(101,'كشف الحساب'!$N$4:$N$203,0),0)=0,"",INDEX('كشف الحساب'!$H$4:$H$203,IFERROR(MATCH(101,'كشف الحساب'!$N$4:$N$203,0),0))),"")</f>
        <v/>
      </c>
      <c r="I105" s="89">
        <f>IFERROR(IF(IFERROR(MATCH(101,'كشف الحساب'!$N$4:$N$203,0),0)=0,"",INDEX('كشف الحساب'!$I$4:$I$203,IFERROR(MATCH(101,'كشف الحساب'!$N$4:$N$203,0),0))),"")</f>
        <v/>
      </c>
      <c r="J105" s="93">
        <f>IFERROR(IF(IFERROR(MATCH(101,'كشف الحساب'!$N$4:$N$203,0),0)=0,"",INDEX('كشف الحساب'!$J$4:$J$203,IFERROR(MATCH(101,'كشف الحساب'!$N$4:$N$203,0),0))),"")</f>
        <v/>
      </c>
      <c r="K105" s="89">
        <f>IFERROR(IF(IFERROR(MATCH(101,'كشف الحساب'!$N$4:$N$203,0),0)=0,"",INDEX('كشف الحساب'!$K$4:$K$203,IFERROR(MATCH(101,'كشف الحساب'!$N$4:$N$203,0),0))),"")</f>
        <v/>
      </c>
    </row>
    <row r="106" ht="15" customHeight="1" s="67">
      <c r="A106" s="94">
        <f>IFERROR(IF(IFERROR(MATCH(102,'كشف الحساب'!$N$4:$N$203,0),0)=0,"",INDEX('كشف الحساب'!$A$4:$A$203,IFERROR(MATCH(102,'كشف الحساب'!$N$4:$N$203,0),0))),"")</f>
        <v/>
      </c>
      <c r="B106" s="95">
        <f>IFERROR(IF(IFERROR(MATCH(102,'كشف الحساب'!$N$4:$N$203,0),0)=0,"",INDEX('كشف الحساب'!$B$4:$B$203,IFERROR(MATCH(102,'كشف الحساب'!$N$4:$N$203,0),0))),"")</f>
        <v/>
      </c>
      <c r="C106" s="96">
        <f>IFERROR(IF(IFERROR(MATCH(102,'كشف الحساب'!$N$4:$N$203,0),0)=0,"",INDEX('كشف الحساب'!$C$4:$C$203,IFERROR(MATCH(102,'كشف الحساب'!$N$4:$N$203,0),0))),"")</f>
        <v/>
      </c>
      <c r="D106" s="97">
        <f>IFERROR(IF(IFERROR(MATCH(102,'كشف الحساب'!$N$4:$N$203,0),0)=0,"",INDEX('كشف الحساب'!$D$4:$D$203,IFERROR(MATCH(102,'كشف الحساب'!$N$4:$N$203,0),0))),"")</f>
        <v/>
      </c>
      <c r="E106" s="98">
        <f>IFERROR(IF(IFERROR(MATCH(102,'كشف الحساب'!$N$4:$N$203,0),0)=0,"",INDEX('كشف الحساب'!$E$4:$E$203,IFERROR(MATCH(102,'كشف الحساب'!$N$4:$N$203,0),0))),"")</f>
        <v/>
      </c>
      <c r="F106" s="95">
        <f>IFERROR(IF(IFERROR(MATCH(102,'كشف الحساب'!$N$4:$N$203,0),0)=0,"",INDEX('كشف الحساب'!$F$4:$F$203,IFERROR(MATCH(102,'كشف الحساب'!$N$4:$N$203,0),0))),"")</f>
        <v/>
      </c>
      <c r="G106" s="95">
        <f>IFERROR(IF(IFERROR(MATCH(102,'كشف الحساب'!$N$4:$N$203,0),0)=0,"",INDEX('كشف الحساب'!$G$4:$G$203,IFERROR(MATCH(102,'كشف الحساب'!$N$4:$N$203,0),0))),"")</f>
        <v/>
      </c>
      <c r="H106" s="95">
        <f>IFERROR(IF(IFERROR(MATCH(102,'كشف الحساب'!$N$4:$N$203,0),0)=0,"",INDEX('كشف الحساب'!$H$4:$H$203,IFERROR(MATCH(102,'كشف الحساب'!$N$4:$N$203,0),0))),"")</f>
        <v/>
      </c>
      <c r="I106" s="95">
        <f>IFERROR(IF(IFERROR(MATCH(102,'كشف الحساب'!$N$4:$N$203,0),0)=0,"",INDEX('كشف الحساب'!$I$4:$I$203,IFERROR(MATCH(102,'كشف الحساب'!$N$4:$N$203,0),0))),"")</f>
        <v/>
      </c>
      <c r="J106" s="99">
        <f>IFERROR(IF(IFERROR(MATCH(102,'كشف الحساب'!$N$4:$N$203,0),0)=0,"",INDEX('كشف الحساب'!$J$4:$J$203,IFERROR(MATCH(102,'كشف الحساب'!$N$4:$N$203,0),0))),"")</f>
        <v/>
      </c>
      <c r="K106" s="95">
        <f>IFERROR(IF(IFERROR(MATCH(102,'كشف الحساب'!$N$4:$N$203,0),0)=0,"",INDEX('كشف الحساب'!$K$4:$K$203,IFERROR(MATCH(102,'كشف الحساب'!$N$4:$N$203,0),0))),"")</f>
        <v/>
      </c>
    </row>
    <row r="107" ht="15" customHeight="1" s="67">
      <c r="A107" s="88">
        <f>IFERROR(IF(IFERROR(MATCH(103,'كشف الحساب'!$N$4:$N$203,0),0)=0,"",INDEX('كشف الحساب'!$A$4:$A$203,IFERROR(MATCH(103,'كشف الحساب'!$N$4:$N$203,0),0))),"")</f>
        <v/>
      </c>
      <c r="B107" s="89">
        <f>IFERROR(IF(IFERROR(MATCH(103,'كشف الحساب'!$N$4:$N$203,0),0)=0,"",INDEX('كشف الحساب'!$B$4:$B$203,IFERROR(MATCH(103,'كشف الحساب'!$N$4:$N$203,0),0))),"")</f>
        <v/>
      </c>
      <c r="C107" s="90">
        <f>IFERROR(IF(IFERROR(MATCH(103,'كشف الحساب'!$N$4:$N$203,0),0)=0,"",INDEX('كشف الحساب'!$C$4:$C$203,IFERROR(MATCH(103,'كشف الحساب'!$N$4:$N$203,0),0))),"")</f>
        <v/>
      </c>
      <c r="D107" s="91">
        <f>IFERROR(IF(IFERROR(MATCH(103,'كشف الحساب'!$N$4:$N$203,0),0)=0,"",INDEX('كشف الحساب'!$D$4:$D$203,IFERROR(MATCH(103,'كشف الحساب'!$N$4:$N$203,0),0))),"")</f>
        <v/>
      </c>
      <c r="E107" s="92">
        <f>IFERROR(IF(IFERROR(MATCH(103,'كشف الحساب'!$N$4:$N$203,0),0)=0,"",INDEX('كشف الحساب'!$E$4:$E$203,IFERROR(MATCH(103,'كشف الحساب'!$N$4:$N$203,0),0))),"")</f>
        <v/>
      </c>
      <c r="F107" s="89">
        <f>IFERROR(IF(IFERROR(MATCH(103,'كشف الحساب'!$N$4:$N$203,0),0)=0,"",INDEX('كشف الحساب'!$F$4:$F$203,IFERROR(MATCH(103,'كشف الحساب'!$N$4:$N$203,0),0))),"")</f>
        <v/>
      </c>
      <c r="G107" s="89">
        <f>IFERROR(IF(IFERROR(MATCH(103,'كشف الحساب'!$N$4:$N$203,0),0)=0,"",INDEX('كشف الحساب'!$G$4:$G$203,IFERROR(MATCH(103,'كشف الحساب'!$N$4:$N$203,0),0))),"")</f>
        <v/>
      </c>
      <c r="H107" s="89">
        <f>IFERROR(IF(IFERROR(MATCH(103,'كشف الحساب'!$N$4:$N$203,0),0)=0,"",INDEX('كشف الحساب'!$H$4:$H$203,IFERROR(MATCH(103,'كشف الحساب'!$N$4:$N$203,0),0))),"")</f>
        <v/>
      </c>
      <c r="I107" s="89">
        <f>IFERROR(IF(IFERROR(MATCH(103,'كشف الحساب'!$N$4:$N$203,0),0)=0,"",INDEX('كشف الحساب'!$I$4:$I$203,IFERROR(MATCH(103,'كشف الحساب'!$N$4:$N$203,0),0))),"")</f>
        <v/>
      </c>
      <c r="J107" s="93">
        <f>IFERROR(IF(IFERROR(MATCH(103,'كشف الحساب'!$N$4:$N$203,0),0)=0,"",INDEX('كشف الحساب'!$J$4:$J$203,IFERROR(MATCH(103,'كشف الحساب'!$N$4:$N$203,0),0))),"")</f>
        <v/>
      </c>
      <c r="K107" s="89">
        <f>IFERROR(IF(IFERROR(MATCH(103,'كشف الحساب'!$N$4:$N$203,0),0)=0,"",INDEX('كشف الحساب'!$K$4:$K$203,IFERROR(MATCH(103,'كشف الحساب'!$N$4:$N$203,0),0))),"")</f>
        <v/>
      </c>
    </row>
    <row r="108" ht="15" customHeight="1" s="67">
      <c r="A108" s="94">
        <f>IFERROR(IF(IFERROR(MATCH(104,'كشف الحساب'!$N$4:$N$203,0),0)=0,"",INDEX('كشف الحساب'!$A$4:$A$203,IFERROR(MATCH(104,'كشف الحساب'!$N$4:$N$203,0),0))),"")</f>
        <v/>
      </c>
      <c r="B108" s="95">
        <f>IFERROR(IF(IFERROR(MATCH(104,'كشف الحساب'!$N$4:$N$203,0),0)=0,"",INDEX('كشف الحساب'!$B$4:$B$203,IFERROR(MATCH(104,'كشف الحساب'!$N$4:$N$203,0),0))),"")</f>
        <v/>
      </c>
      <c r="C108" s="96">
        <f>IFERROR(IF(IFERROR(MATCH(104,'كشف الحساب'!$N$4:$N$203,0),0)=0,"",INDEX('كشف الحساب'!$C$4:$C$203,IFERROR(MATCH(104,'كشف الحساب'!$N$4:$N$203,0),0))),"")</f>
        <v/>
      </c>
      <c r="D108" s="97">
        <f>IFERROR(IF(IFERROR(MATCH(104,'كشف الحساب'!$N$4:$N$203,0),0)=0,"",INDEX('كشف الحساب'!$D$4:$D$203,IFERROR(MATCH(104,'كشف الحساب'!$N$4:$N$203,0),0))),"")</f>
        <v/>
      </c>
      <c r="E108" s="98">
        <f>IFERROR(IF(IFERROR(MATCH(104,'كشف الحساب'!$N$4:$N$203,0),0)=0,"",INDEX('كشف الحساب'!$E$4:$E$203,IFERROR(MATCH(104,'كشف الحساب'!$N$4:$N$203,0),0))),"")</f>
        <v/>
      </c>
      <c r="F108" s="95">
        <f>IFERROR(IF(IFERROR(MATCH(104,'كشف الحساب'!$N$4:$N$203,0),0)=0,"",INDEX('كشف الحساب'!$F$4:$F$203,IFERROR(MATCH(104,'كشف الحساب'!$N$4:$N$203,0),0))),"")</f>
        <v/>
      </c>
      <c r="G108" s="95">
        <f>IFERROR(IF(IFERROR(MATCH(104,'كشف الحساب'!$N$4:$N$203,0),0)=0,"",INDEX('كشف الحساب'!$G$4:$G$203,IFERROR(MATCH(104,'كشف الحساب'!$N$4:$N$203,0),0))),"")</f>
        <v/>
      </c>
      <c r="H108" s="95">
        <f>IFERROR(IF(IFERROR(MATCH(104,'كشف الحساب'!$N$4:$N$203,0),0)=0,"",INDEX('كشف الحساب'!$H$4:$H$203,IFERROR(MATCH(104,'كشف الحساب'!$N$4:$N$203,0),0))),"")</f>
        <v/>
      </c>
      <c r="I108" s="95">
        <f>IFERROR(IF(IFERROR(MATCH(104,'كشف الحساب'!$N$4:$N$203,0),0)=0,"",INDEX('كشف الحساب'!$I$4:$I$203,IFERROR(MATCH(104,'كشف الحساب'!$N$4:$N$203,0),0))),"")</f>
        <v/>
      </c>
      <c r="J108" s="99">
        <f>IFERROR(IF(IFERROR(MATCH(104,'كشف الحساب'!$N$4:$N$203,0),0)=0,"",INDEX('كشف الحساب'!$J$4:$J$203,IFERROR(MATCH(104,'كشف الحساب'!$N$4:$N$203,0),0))),"")</f>
        <v/>
      </c>
      <c r="K108" s="95">
        <f>IFERROR(IF(IFERROR(MATCH(104,'كشف الحساب'!$N$4:$N$203,0),0)=0,"",INDEX('كشف الحساب'!$K$4:$K$203,IFERROR(MATCH(104,'كشف الحساب'!$N$4:$N$203,0),0))),"")</f>
        <v/>
      </c>
    </row>
    <row r="109" ht="15" customHeight="1" s="67">
      <c r="A109" s="88">
        <f>IFERROR(IF(IFERROR(MATCH(105,'كشف الحساب'!$N$4:$N$203,0),0)=0,"",INDEX('كشف الحساب'!$A$4:$A$203,IFERROR(MATCH(105,'كشف الحساب'!$N$4:$N$203,0),0))),"")</f>
        <v/>
      </c>
      <c r="B109" s="89">
        <f>IFERROR(IF(IFERROR(MATCH(105,'كشف الحساب'!$N$4:$N$203,0),0)=0,"",INDEX('كشف الحساب'!$B$4:$B$203,IFERROR(MATCH(105,'كشف الحساب'!$N$4:$N$203,0),0))),"")</f>
        <v/>
      </c>
      <c r="C109" s="90">
        <f>IFERROR(IF(IFERROR(MATCH(105,'كشف الحساب'!$N$4:$N$203,0),0)=0,"",INDEX('كشف الحساب'!$C$4:$C$203,IFERROR(MATCH(105,'كشف الحساب'!$N$4:$N$203,0),0))),"")</f>
        <v/>
      </c>
      <c r="D109" s="91">
        <f>IFERROR(IF(IFERROR(MATCH(105,'كشف الحساب'!$N$4:$N$203,0),0)=0,"",INDEX('كشف الحساب'!$D$4:$D$203,IFERROR(MATCH(105,'كشف الحساب'!$N$4:$N$203,0),0))),"")</f>
        <v/>
      </c>
      <c r="E109" s="92">
        <f>IFERROR(IF(IFERROR(MATCH(105,'كشف الحساب'!$N$4:$N$203,0),0)=0,"",INDEX('كشف الحساب'!$E$4:$E$203,IFERROR(MATCH(105,'كشف الحساب'!$N$4:$N$203,0),0))),"")</f>
        <v/>
      </c>
      <c r="F109" s="89">
        <f>IFERROR(IF(IFERROR(MATCH(105,'كشف الحساب'!$N$4:$N$203,0),0)=0,"",INDEX('كشف الحساب'!$F$4:$F$203,IFERROR(MATCH(105,'كشف الحساب'!$N$4:$N$203,0),0))),"")</f>
        <v/>
      </c>
      <c r="G109" s="89">
        <f>IFERROR(IF(IFERROR(MATCH(105,'كشف الحساب'!$N$4:$N$203,0),0)=0,"",INDEX('كشف الحساب'!$G$4:$G$203,IFERROR(MATCH(105,'كشف الحساب'!$N$4:$N$203,0),0))),"")</f>
        <v/>
      </c>
      <c r="H109" s="89">
        <f>IFERROR(IF(IFERROR(MATCH(105,'كشف الحساب'!$N$4:$N$203,0),0)=0,"",INDEX('كشف الحساب'!$H$4:$H$203,IFERROR(MATCH(105,'كشف الحساب'!$N$4:$N$203,0),0))),"")</f>
        <v/>
      </c>
      <c r="I109" s="89">
        <f>IFERROR(IF(IFERROR(MATCH(105,'كشف الحساب'!$N$4:$N$203,0),0)=0,"",INDEX('كشف الحساب'!$I$4:$I$203,IFERROR(MATCH(105,'كشف الحساب'!$N$4:$N$203,0),0))),"")</f>
        <v/>
      </c>
      <c r="J109" s="93">
        <f>IFERROR(IF(IFERROR(MATCH(105,'كشف الحساب'!$N$4:$N$203,0),0)=0,"",INDEX('كشف الحساب'!$J$4:$J$203,IFERROR(MATCH(105,'كشف الحساب'!$N$4:$N$203,0),0))),"")</f>
        <v/>
      </c>
      <c r="K109" s="89">
        <f>IFERROR(IF(IFERROR(MATCH(105,'كشف الحساب'!$N$4:$N$203,0),0)=0,"",INDEX('كشف الحساب'!$K$4:$K$203,IFERROR(MATCH(105,'كشف الحساب'!$N$4:$N$203,0),0))),"")</f>
        <v/>
      </c>
    </row>
    <row r="110" ht="15" customHeight="1" s="67">
      <c r="A110" s="94">
        <f>IFERROR(IF(IFERROR(MATCH(106,'كشف الحساب'!$N$4:$N$203,0),0)=0,"",INDEX('كشف الحساب'!$A$4:$A$203,IFERROR(MATCH(106,'كشف الحساب'!$N$4:$N$203,0),0))),"")</f>
        <v/>
      </c>
      <c r="B110" s="95">
        <f>IFERROR(IF(IFERROR(MATCH(106,'كشف الحساب'!$N$4:$N$203,0),0)=0,"",INDEX('كشف الحساب'!$B$4:$B$203,IFERROR(MATCH(106,'كشف الحساب'!$N$4:$N$203,0),0))),"")</f>
        <v/>
      </c>
      <c r="C110" s="96">
        <f>IFERROR(IF(IFERROR(MATCH(106,'كشف الحساب'!$N$4:$N$203,0),0)=0,"",INDEX('كشف الحساب'!$C$4:$C$203,IFERROR(MATCH(106,'كشف الحساب'!$N$4:$N$203,0),0))),"")</f>
        <v/>
      </c>
      <c r="D110" s="97">
        <f>IFERROR(IF(IFERROR(MATCH(106,'كشف الحساب'!$N$4:$N$203,0),0)=0,"",INDEX('كشف الحساب'!$D$4:$D$203,IFERROR(MATCH(106,'كشف الحساب'!$N$4:$N$203,0),0))),"")</f>
        <v/>
      </c>
      <c r="E110" s="98">
        <f>IFERROR(IF(IFERROR(MATCH(106,'كشف الحساب'!$N$4:$N$203,0),0)=0,"",INDEX('كشف الحساب'!$E$4:$E$203,IFERROR(MATCH(106,'كشف الحساب'!$N$4:$N$203,0),0))),"")</f>
        <v/>
      </c>
      <c r="F110" s="95">
        <f>IFERROR(IF(IFERROR(MATCH(106,'كشف الحساب'!$N$4:$N$203,0),0)=0,"",INDEX('كشف الحساب'!$F$4:$F$203,IFERROR(MATCH(106,'كشف الحساب'!$N$4:$N$203,0),0))),"")</f>
        <v/>
      </c>
      <c r="G110" s="95">
        <f>IFERROR(IF(IFERROR(MATCH(106,'كشف الحساب'!$N$4:$N$203,0),0)=0,"",INDEX('كشف الحساب'!$G$4:$G$203,IFERROR(MATCH(106,'كشف الحساب'!$N$4:$N$203,0),0))),"")</f>
        <v/>
      </c>
      <c r="H110" s="95">
        <f>IFERROR(IF(IFERROR(MATCH(106,'كشف الحساب'!$N$4:$N$203,0),0)=0,"",INDEX('كشف الحساب'!$H$4:$H$203,IFERROR(MATCH(106,'كشف الحساب'!$N$4:$N$203,0),0))),"")</f>
        <v/>
      </c>
      <c r="I110" s="95">
        <f>IFERROR(IF(IFERROR(MATCH(106,'كشف الحساب'!$N$4:$N$203,0),0)=0,"",INDEX('كشف الحساب'!$I$4:$I$203,IFERROR(MATCH(106,'كشف الحساب'!$N$4:$N$203,0),0))),"")</f>
        <v/>
      </c>
      <c r="J110" s="99">
        <f>IFERROR(IF(IFERROR(MATCH(106,'كشف الحساب'!$N$4:$N$203,0),0)=0,"",INDEX('كشف الحساب'!$J$4:$J$203,IFERROR(MATCH(106,'كشف الحساب'!$N$4:$N$203,0),0))),"")</f>
        <v/>
      </c>
      <c r="K110" s="95">
        <f>IFERROR(IF(IFERROR(MATCH(106,'كشف الحساب'!$N$4:$N$203,0),0)=0,"",INDEX('كشف الحساب'!$K$4:$K$203,IFERROR(MATCH(106,'كشف الحساب'!$N$4:$N$203,0),0))),"")</f>
        <v/>
      </c>
    </row>
    <row r="111" ht="15" customHeight="1" s="67">
      <c r="A111" s="88">
        <f>IFERROR(IF(IFERROR(MATCH(107,'كشف الحساب'!$N$4:$N$203,0),0)=0,"",INDEX('كشف الحساب'!$A$4:$A$203,IFERROR(MATCH(107,'كشف الحساب'!$N$4:$N$203,0),0))),"")</f>
        <v/>
      </c>
      <c r="B111" s="89">
        <f>IFERROR(IF(IFERROR(MATCH(107,'كشف الحساب'!$N$4:$N$203,0),0)=0,"",INDEX('كشف الحساب'!$B$4:$B$203,IFERROR(MATCH(107,'كشف الحساب'!$N$4:$N$203,0),0))),"")</f>
        <v/>
      </c>
      <c r="C111" s="90">
        <f>IFERROR(IF(IFERROR(MATCH(107,'كشف الحساب'!$N$4:$N$203,0),0)=0,"",INDEX('كشف الحساب'!$C$4:$C$203,IFERROR(MATCH(107,'كشف الحساب'!$N$4:$N$203,0),0))),"")</f>
        <v/>
      </c>
      <c r="D111" s="91">
        <f>IFERROR(IF(IFERROR(MATCH(107,'كشف الحساب'!$N$4:$N$203,0),0)=0,"",INDEX('كشف الحساب'!$D$4:$D$203,IFERROR(MATCH(107,'كشف الحساب'!$N$4:$N$203,0),0))),"")</f>
        <v/>
      </c>
      <c r="E111" s="92">
        <f>IFERROR(IF(IFERROR(MATCH(107,'كشف الحساب'!$N$4:$N$203,0),0)=0,"",INDEX('كشف الحساب'!$E$4:$E$203,IFERROR(MATCH(107,'كشف الحساب'!$N$4:$N$203,0),0))),"")</f>
        <v/>
      </c>
      <c r="F111" s="89">
        <f>IFERROR(IF(IFERROR(MATCH(107,'كشف الحساب'!$N$4:$N$203,0),0)=0,"",INDEX('كشف الحساب'!$F$4:$F$203,IFERROR(MATCH(107,'كشف الحساب'!$N$4:$N$203,0),0))),"")</f>
        <v/>
      </c>
      <c r="G111" s="89">
        <f>IFERROR(IF(IFERROR(MATCH(107,'كشف الحساب'!$N$4:$N$203,0),0)=0,"",INDEX('كشف الحساب'!$G$4:$G$203,IFERROR(MATCH(107,'كشف الحساب'!$N$4:$N$203,0),0))),"")</f>
        <v/>
      </c>
      <c r="H111" s="89">
        <f>IFERROR(IF(IFERROR(MATCH(107,'كشف الحساب'!$N$4:$N$203,0),0)=0,"",INDEX('كشف الحساب'!$H$4:$H$203,IFERROR(MATCH(107,'كشف الحساب'!$N$4:$N$203,0),0))),"")</f>
        <v/>
      </c>
      <c r="I111" s="89">
        <f>IFERROR(IF(IFERROR(MATCH(107,'كشف الحساب'!$N$4:$N$203,0),0)=0,"",INDEX('كشف الحساب'!$I$4:$I$203,IFERROR(MATCH(107,'كشف الحساب'!$N$4:$N$203,0),0))),"")</f>
        <v/>
      </c>
      <c r="J111" s="93">
        <f>IFERROR(IF(IFERROR(MATCH(107,'كشف الحساب'!$N$4:$N$203,0),0)=0,"",INDEX('كشف الحساب'!$J$4:$J$203,IFERROR(MATCH(107,'كشف الحساب'!$N$4:$N$203,0),0))),"")</f>
        <v/>
      </c>
      <c r="K111" s="89">
        <f>IFERROR(IF(IFERROR(MATCH(107,'كشف الحساب'!$N$4:$N$203,0),0)=0,"",INDEX('كشف الحساب'!$K$4:$K$203,IFERROR(MATCH(107,'كشف الحساب'!$N$4:$N$203,0),0))),"")</f>
        <v/>
      </c>
    </row>
    <row r="112" ht="15" customHeight="1" s="67">
      <c r="A112" s="94">
        <f>IFERROR(IF(IFERROR(MATCH(108,'كشف الحساب'!$N$4:$N$203,0),0)=0,"",INDEX('كشف الحساب'!$A$4:$A$203,IFERROR(MATCH(108,'كشف الحساب'!$N$4:$N$203,0),0))),"")</f>
        <v/>
      </c>
      <c r="B112" s="95">
        <f>IFERROR(IF(IFERROR(MATCH(108,'كشف الحساب'!$N$4:$N$203,0),0)=0,"",INDEX('كشف الحساب'!$B$4:$B$203,IFERROR(MATCH(108,'كشف الحساب'!$N$4:$N$203,0),0))),"")</f>
        <v/>
      </c>
      <c r="C112" s="96">
        <f>IFERROR(IF(IFERROR(MATCH(108,'كشف الحساب'!$N$4:$N$203,0),0)=0,"",INDEX('كشف الحساب'!$C$4:$C$203,IFERROR(MATCH(108,'كشف الحساب'!$N$4:$N$203,0),0))),"")</f>
        <v/>
      </c>
      <c r="D112" s="97">
        <f>IFERROR(IF(IFERROR(MATCH(108,'كشف الحساب'!$N$4:$N$203,0),0)=0,"",INDEX('كشف الحساب'!$D$4:$D$203,IFERROR(MATCH(108,'كشف الحساب'!$N$4:$N$203,0),0))),"")</f>
        <v/>
      </c>
      <c r="E112" s="98">
        <f>IFERROR(IF(IFERROR(MATCH(108,'كشف الحساب'!$N$4:$N$203,0),0)=0,"",INDEX('كشف الحساب'!$E$4:$E$203,IFERROR(MATCH(108,'كشف الحساب'!$N$4:$N$203,0),0))),"")</f>
        <v/>
      </c>
      <c r="F112" s="95">
        <f>IFERROR(IF(IFERROR(MATCH(108,'كشف الحساب'!$N$4:$N$203,0),0)=0,"",INDEX('كشف الحساب'!$F$4:$F$203,IFERROR(MATCH(108,'كشف الحساب'!$N$4:$N$203,0),0))),"")</f>
        <v/>
      </c>
      <c r="G112" s="95">
        <f>IFERROR(IF(IFERROR(MATCH(108,'كشف الحساب'!$N$4:$N$203,0),0)=0,"",INDEX('كشف الحساب'!$G$4:$G$203,IFERROR(MATCH(108,'كشف الحساب'!$N$4:$N$203,0),0))),"")</f>
        <v/>
      </c>
      <c r="H112" s="95">
        <f>IFERROR(IF(IFERROR(MATCH(108,'كشف الحساب'!$N$4:$N$203,0),0)=0,"",INDEX('كشف الحساب'!$H$4:$H$203,IFERROR(MATCH(108,'كشف الحساب'!$N$4:$N$203,0),0))),"")</f>
        <v/>
      </c>
      <c r="I112" s="95">
        <f>IFERROR(IF(IFERROR(MATCH(108,'كشف الحساب'!$N$4:$N$203,0),0)=0,"",INDEX('كشف الحساب'!$I$4:$I$203,IFERROR(MATCH(108,'كشف الحساب'!$N$4:$N$203,0),0))),"")</f>
        <v/>
      </c>
      <c r="J112" s="99">
        <f>IFERROR(IF(IFERROR(MATCH(108,'كشف الحساب'!$N$4:$N$203,0),0)=0,"",INDEX('كشف الحساب'!$J$4:$J$203,IFERROR(MATCH(108,'كشف الحساب'!$N$4:$N$203,0),0))),"")</f>
        <v/>
      </c>
      <c r="K112" s="95">
        <f>IFERROR(IF(IFERROR(MATCH(108,'كشف الحساب'!$N$4:$N$203,0),0)=0,"",INDEX('كشف الحساب'!$K$4:$K$203,IFERROR(MATCH(108,'كشف الحساب'!$N$4:$N$203,0),0))),"")</f>
        <v/>
      </c>
    </row>
    <row r="113" ht="15" customHeight="1" s="67">
      <c r="A113" s="88">
        <f>IFERROR(IF(IFERROR(MATCH(109,'كشف الحساب'!$N$4:$N$203,0),0)=0,"",INDEX('كشف الحساب'!$A$4:$A$203,IFERROR(MATCH(109,'كشف الحساب'!$N$4:$N$203,0),0))),"")</f>
        <v/>
      </c>
      <c r="B113" s="89">
        <f>IFERROR(IF(IFERROR(MATCH(109,'كشف الحساب'!$N$4:$N$203,0),0)=0,"",INDEX('كشف الحساب'!$B$4:$B$203,IFERROR(MATCH(109,'كشف الحساب'!$N$4:$N$203,0),0))),"")</f>
        <v/>
      </c>
      <c r="C113" s="90">
        <f>IFERROR(IF(IFERROR(MATCH(109,'كشف الحساب'!$N$4:$N$203,0),0)=0,"",INDEX('كشف الحساب'!$C$4:$C$203,IFERROR(MATCH(109,'كشف الحساب'!$N$4:$N$203,0),0))),"")</f>
        <v/>
      </c>
      <c r="D113" s="91">
        <f>IFERROR(IF(IFERROR(MATCH(109,'كشف الحساب'!$N$4:$N$203,0),0)=0,"",INDEX('كشف الحساب'!$D$4:$D$203,IFERROR(MATCH(109,'كشف الحساب'!$N$4:$N$203,0),0))),"")</f>
        <v/>
      </c>
      <c r="E113" s="92">
        <f>IFERROR(IF(IFERROR(MATCH(109,'كشف الحساب'!$N$4:$N$203,0),0)=0,"",INDEX('كشف الحساب'!$E$4:$E$203,IFERROR(MATCH(109,'كشف الحساب'!$N$4:$N$203,0),0))),"")</f>
        <v/>
      </c>
      <c r="F113" s="89">
        <f>IFERROR(IF(IFERROR(MATCH(109,'كشف الحساب'!$N$4:$N$203,0),0)=0,"",INDEX('كشف الحساب'!$F$4:$F$203,IFERROR(MATCH(109,'كشف الحساب'!$N$4:$N$203,0),0))),"")</f>
        <v/>
      </c>
      <c r="G113" s="89">
        <f>IFERROR(IF(IFERROR(MATCH(109,'كشف الحساب'!$N$4:$N$203,0),0)=0,"",INDEX('كشف الحساب'!$G$4:$G$203,IFERROR(MATCH(109,'كشف الحساب'!$N$4:$N$203,0),0))),"")</f>
        <v/>
      </c>
      <c r="H113" s="89">
        <f>IFERROR(IF(IFERROR(MATCH(109,'كشف الحساب'!$N$4:$N$203,0),0)=0,"",INDEX('كشف الحساب'!$H$4:$H$203,IFERROR(MATCH(109,'كشف الحساب'!$N$4:$N$203,0),0))),"")</f>
        <v/>
      </c>
      <c r="I113" s="89">
        <f>IFERROR(IF(IFERROR(MATCH(109,'كشف الحساب'!$N$4:$N$203,0),0)=0,"",INDEX('كشف الحساب'!$I$4:$I$203,IFERROR(MATCH(109,'كشف الحساب'!$N$4:$N$203,0),0))),"")</f>
        <v/>
      </c>
      <c r="J113" s="93">
        <f>IFERROR(IF(IFERROR(MATCH(109,'كشف الحساب'!$N$4:$N$203,0),0)=0,"",INDEX('كشف الحساب'!$J$4:$J$203,IFERROR(MATCH(109,'كشف الحساب'!$N$4:$N$203,0),0))),"")</f>
        <v/>
      </c>
      <c r="K113" s="89">
        <f>IFERROR(IF(IFERROR(MATCH(109,'كشف الحساب'!$N$4:$N$203,0),0)=0,"",INDEX('كشف الحساب'!$K$4:$K$203,IFERROR(MATCH(109,'كشف الحساب'!$N$4:$N$203,0),0))),"")</f>
        <v/>
      </c>
    </row>
    <row r="114" ht="15" customHeight="1" s="67">
      <c r="A114" s="94">
        <f>IFERROR(IF(IFERROR(MATCH(110,'كشف الحساب'!$N$4:$N$203,0),0)=0,"",INDEX('كشف الحساب'!$A$4:$A$203,IFERROR(MATCH(110,'كشف الحساب'!$N$4:$N$203,0),0))),"")</f>
        <v/>
      </c>
      <c r="B114" s="95">
        <f>IFERROR(IF(IFERROR(MATCH(110,'كشف الحساب'!$N$4:$N$203,0),0)=0,"",INDEX('كشف الحساب'!$B$4:$B$203,IFERROR(MATCH(110,'كشف الحساب'!$N$4:$N$203,0),0))),"")</f>
        <v/>
      </c>
      <c r="C114" s="96">
        <f>IFERROR(IF(IFERROR(MATCH(110,'كشف الحساب'!$N$4:$N$203,0),0)=0,"",INDEX('كشف الحساب'!$C$4:$C$203,IFERROR(MATCH(110,'كشف الحساب'!$N$4:$N$203,0),0))),"")</f>
        <v/>
      </c>
      <c r="D114" s="97">
        <f>IFERROR(IF(IFERROR(MATCH(110,'كشف الحساب'!$N$4:$N$203,0),0)=0,"",INDEX('كشف الحساب'!$D$4:$D$203,IFERROR(MATCH(110,'كشف الحساب'!$N$4:$N$203,0),0))),"")</f>
        <v/>
      </c>
      <c r="E114" s="98">
        <f>IFERROR(IF(IFERROR(MATCH(110,'كشف الحساب'!$N$4:$N$203,0),0)=0,"",INDEX('كشف الحساب'!$E$4:$E$203,IFERROR(MATCH(110,'كشف الحساب'!$N$4:$N$203,0),0))),"")</f>
        <v/>
      </c>
      <c r="F114" s="95">
        <f>IFERROR(IF(IFERROR(MATCH(110,'كشف الحساب'!$N$4:$N$203,0),0)=0,"",INDEX('كشف الحساب'!$F$4:$F$203,IFERROR(MATCH(110,'كشف الحساب'!$N$4:$N$203,0),0))),"")</f>
        <v/>
      </c>
      <c r="G114" s="95">
        <f>IFERROR(IF(IFERROR(MATCH(110,'كشف الحساب'!$N$4:$N$203,0),0)=0,"",INDEX('كشف الحساب'!$G$4:$G$203,IFERROR(MATCH(110,'كشف الحساب'!$N$4:$N$203,0),0))),"")</f>
        <v/>
      </c>
      <c r="H114" s="95">
        <f>IFERROR(IF(IFERROR(MATCH(110,'كشف الحساب'!$N$4:$N$203,0),0)=0,"",INDEX('كشف الحساب'!$H$4:$H$203,IFERROR(MATCH(110,'كشف الحساب'!$N$4:$N$203,0),0))),"")</f>
        <v/>
      </c>
      <c r="I114" s="95">
        <f>IFERROR(IF(IFERROR(MATCH(110,'كشف الحساب'!$N$4:$N$203,0),0)=0,"",INDEX('كشف الحساب'!$I$4:$I$203,IFERROR(MATCH(110,'كشف الحساب'!$N$4:$N$203,0),0))),"")</f>
        <v/>
      </c>
      <c r="J114" s="99">
        <f>IFERROR(IF(IFERROR(MATCH(110,'كشف الحساب'!$N$4:$N$203,0),0)=0,"",INDEX('كشف الحساب'!$J$4:$J$203,IFERROR(MATCH(110,'كشف الحساب'!$N$4:$N$203,0),0))),"")</f>
        <v/>
      </c>
      <c r="K114" s="95">
        <f>IFERROR(IF(IFERROR(MATCH(110,'كشف الحساب'!$N$4:$N$203,0),0)=0,"",INDEX('كشف الحساب'!$K$4:$K$203,IFERROR(MATCH(110,'كشف الحساب'!$N$4:$N$203,0),0))),"")</f>
        <v/>
      </c>
    </row>
    <row r="115" ht="15" customHeight="1" s="67">
      <c r="A115" s="88">
        <f>IFERROR(IF(IFERROR(MATCH(111,'كشف الحساب'!$N$4:$N$203,0),0)=0,"",INDEX('كشف الحساب'!$A$4:$A$203,IFERROR(MATCH(111,'كشف الحساب'!$N$4:$N$203,0),0))),"")</f>
        <v/>
      </c>
      <c r="B115" s="89">
        <f>IFERROR(IF(IFERROR(MATCH(111,'كشف الحساب'!$N$4:$N$203,0),0)=0,"",INDEX('كشف الحساب'!$B$4:$B$203,IFERROR(MATCH(111,'كشف الحساب'!$N$4:$N$203,0),0))),"")</f>
        <v/>
      </c>
      <c r="C115" s="90">
        <f>IFERROR(IF(IFERROR(MATCH(111,'كشف الحساب'!$N$4:$N$203,0),0)=0,"",INDEX('كشف الحساب'!$C$4:$C$203,IFERROR(MATCH(111,'كشف الحساب'!$N$4:$N$203,0),0))),"")</f>
        <v/>
      </c>
      <c r="D115" s="91">
        <f>IFERROR(IF(IFERROR(MATCH(111,'كشف الحساب'!$N$4:$N$203,0),0)=0,"",INDEX('كشف الحساب'!$D$4:$D$203,IFERROR(MATCH(111,'كشف الحساب'!$N$4:$N$203,0),0))),"")</f>
        <v/>
      </c>
      <c r="E115" s="92">
        <f>IFERROR(IF(IFERROR(MATCH(111,'كشف الحساب'!$N$4:$N$203,0),0)=0,"",INDEX('كشف الحساب'!$E$4:$E$203,IFERROR(MATCH(111,'كشف الحساب'!$N$4:$N$203,0),0))),"")</f>
        <v/>
      </c>
      <c r="F115" s="89">
        <f>IFERROR(IF(IFERROR(MATCH(111,'كشف الحساب'!$N$4:$N$203,0),0)=0,"",INDEX('كشف الحساب'!$F$4:$F$203,IFERROR(MATCH(111,'كشف الحساب'!$N$4:$N$203,0),0))),"")</f>
        <v/>
      </c>
      <c r="G115" s="89">
        <f>IFERROR(IF(IFERROR(MATCH(111,'كشف الحساب'!$N$4:$N$203,0),0)=0,"",INDEX('كشف الحساب'!$G$4:$G$203,IFERROR(MATCH(111,'كشف الحساب'!$N$4:$N$203,0),0))),"")</f>
        <v/>
      </c>
      <c r="H115" s="89">
        <f>IFERROR(IF(IFERROR(MATCH(111,'كشف الحساب'!$N$4:$N$203,0),0)=0,"",INDEX('كشف الحساب'!$H$4:$H$203,IFERROR(MATCH(111,'كشف الحساب'!$N$4:$N$203,0),0))),"")</f>
        <v/>
      </c>
      <c r="I115" s="89">
        <f>IFERROR(IF(IFERROR(MATCH(111,'كشف الحساب'!$N$4:$N$203,0),0)=0,"",INDEX('كشف الحساب'!$I$4:$I$203,IFERROR(MATCH(111,'كشف الحساب'!$N$4:$N$203,0),0))),"")</f>
        <v/>
      </c>
      <c r="J115" s="93">
        <f>IFERROR(IF(IFERROR(MATCH(111,'كشف الحساب'!$N$4:$N$203,0),0)=0,"",INDEX('كشف الحساب'!$J$4:$J$203,IFERROR(MATCH(111,'كشف الحساب'!$N$4:$N$203,0),0))),"")</f>
        <v/>
      </c>
      <c r="K115" s="89">
        <f>IFERROR(IF(IFERROR(MATCH(111,'كشف الحساب'!$N$4:$N$203,0),0)=0,"",INDEX('كشف الحساب'!$K$4:$K$203,IFERROR(MATCH(111,'كشف الحساب'!$N$4:$N$203,0),0))),"")</f>
        <v/>
      </c>
    </row>
    <row r="116" ht="15" customHeight="1" s="67">
      <c r="A116" s="94">
        <f>IFERROR(IF(IFERROR(MATCH(112,'كشف الحساب'!$N$4:$N$203,0),0)=0,"",INDEX('كشف الحساب'!$A$4:$A$203,IFERROR(MATCH(112,'كشف الحساب'!$N$4:$N$203,0),0))),"")</f>
        <v/>
      </c>
      <c r="B116" s="95">
        <f>IFERROR(IF(IFERROR(MATCH(112,'كشف الحساب'!$N$4:$N$203,0),0)=0,"",INDEX('كشف الحساب'!$B$4:$B$203,IFERROR(MATCH(112,'كشف الحساب'!$N$4:$N$203,0),0))),"")</f>
        <v/>
      </c>
      <c r="C116" s="96">
        <f>IFERROR(IF(IFERROR(MATCH(112,'كشف الحساب'!$N$4:$N$203,0),0)=0,"",INDEX('كشف الحساب'!$C$4:$C$203,IFERROR(MATCH(112,'كشف الحساب'!$N$4:$N$203,0),0))),"")</f>
        <v/>
      </c>
      <c r="D116" s="97">
        <f>IFERROR(IF(IFERROR(MATCH(112,'كشف الحساب'!$N$4:$N$203,0),0)=0,"",INDEX('كشف الحساب'!$D$4:$D$203,IFERROR(MATCH(112,'كشف الحساب'!$N$4:$N$203,0),0))),"")</f>
        <v/>
      </c>
      <c r="E116" s="98">
        <f>IFERROR(IF(IFERROR(MATCH(112,'كشف الحساب'!$N$4:$N$203,0),0)=0,"",INDEX('كشف الحساب'!$E$4:$E$203,IFERROR(MATCH(112,'كشف الحساب'!$N$4:$N$203,0),0))),"")</f>
        <v/>
      </c>
      <c r="F116" s="95">
        <f>IFERROR(IF(IFERROR(MATCH(112,'كشف الحساب'!$N$4:$N$203,0),0)=0,"",INDEX('كشف الحساب'!$F$4:$F$203,IFERROR(MATCH(112,'كشف الحساب'!$N$4:$N$203,0),0))),"")</f>
        <v/>
      </c>
      <c r="G116" s="95">
        <f>IFERROR(IF(IFERROR(MATCH(112,'كشف الحساب'!$N$4:$N$203,0),0)=0,"",INDEX('كشف الحساب'!$G$4:$G$203,IFERROR(MATCH(112,'كشف الحساب'!$N$4:$N$203,0),0))),"")</f>
        <v/>
      </c>
      <c r="H116" s="95">
        <f>IFERROR(IF(IFERROR(MATCH(112,'كشف الحساب'!$N$4:$N$203,0),0)=0,"",INDEX('كشف الحساب'!$H$4:$H$203,IFERROR(MATCH(112,'كشف الحساب'!$N$4:$N$203,0),0))),"")</f>
        <v/>
      </c>
      <c r="I116" s="95">
        <f>IFERROR(IF(IFERROR(MATCH(112,'كشف الحساب'!$N$4:$N$203,0),0)=0,"",INDEX('كشف الحساب'!$I$4:$I$203,IFERROR(MATCH(112,'كشف الحساب'!$N$4:$N$203,0),0))),"")</f>
        <v/>
      </c>
      <c r="J116" s="99">
        <f>IFERROR(IF(IFERROR(MATCH(112,'كشف الحساب'!$N$4:$N$203,0),0)=0,"",INDEX('كشف الحساب'!$J$4:$J$203,IFERROR(MATCH(112,'كشف الحساب'!$N$4:$N$203,0),0))),"")</f>
        <v/>
      </c>
      <c r="K116" s="95">
        <f>IFERROR(IF(IFERROR(MATCH(112,'كشف الحساب'!$N$4:$N$203,0),0)=0,"",INDEX('كشف الحساب'!$K$4:$K$203,IFERROR(MATCH(112,'كشف الحساب'!$N$4:$N$203,0),0))),"")</f>
        <v/>
      </c>
    </row>
    <row r="117" ht="15" customHeight="1" s="67">
      <c r="A117" s="88">
        <f>IFERROR(IF(IFERROR(MATCH(113,'كشف الحساب'!$N$4:$N$203,0),0)=0,"",INDEX('كشف الحساب'!$A$4:$A$203,IFERROR(MATCH(113,'كشف الحساب'!$N$4:$N$203,0),0))),"")</f>
        <v/>
      </c>
      <c r="B117" s="89">
        <f>IFERROR(IF(IFERROR(MATCH(113,'كشف الحساب'!$N$4:$N$203,0),0)=0,"",INDEX('كشف الحساب'!$B$4:$B$203,IFERROR(MATCH(113,'كشف الحساب'!$N$4:$N$203,0),0))),"")</f>
        <v/>
      </c>
      <c r="C117" s="90">
        <f>IFERROR(IF(IFERROR(MATCH(113,'كشف الحساب'!$N$4:$N$203,0),0)=0,"",INDEX('كشف الحساب'!$C$4:$C$203,IFERROR(MATCH(113,'كشف الحساب'!$N$4:$N$203,0),0))),"")</f>
        <v/>
      </c>
      <c r="D117" s="91">
        <f>IFERROR(IF(IFERROR(MATCH(113,'كشف الحساب'!$N$4:$N$203,0),0)=0,"",INDEX('كشف الحساب'!$D$4:$D$203,IFERROR(MATCH(113,'كشف الحساب'!$N$4:$N$203,0),0))),"")</f>
        <v/>
      </c>
      <c r="E117" s="92">
        <f>IFERROR(IF(IFERROR(MATCH(113,'كشف الحساب'!$N$4:$N$203,0),0)=0,"",INDEX('كشف الحساب'!$E$4:$E$203,IFERROR(MATCH(113,'كشف الحساب'!$N$4:$N$203,0),0))),"")</f>
        <v/>
      </c>
      <c r="F117" s="89">
        <f>IFERROR(IF(IFERROR(MATCH(113,'كشف الحساب'!$N$4:$N$203,0),0)=0,"",INDEX('كشف الحساب'!$F$4:$F$203,IFERROR(MATCH(113,'كشف الحساب'!$N$4:$N$203,0),0))),"")</f>
        <v/>
      </c>
      <c r="G117" s="89">
        <f>IFERROR(IF(IFERROR(MATCH(113,'كشف الحساب'!$N$4:$N$203,0),0)=0,"",INDEX('كشف الحساب'!$G$4:$G$203,IFERROR(MATCH(113,'كشف الحساب'!$N$4:$N$203,0),0))),"")</f>
        <v/>
      </c>
      <c r="H117" s="89">
        <f>IFERROR(IF(IFERROR(MATCH(113,'كشف الحساب'!$N$4:$N$203,0),0)=0,"",INDEX('كشف الحساب'!$H$4:$H$203,IFERROR(MATCH(113,'كشف الحساب'!$N$4:$N$203,0),0))),"")</f>
        <v/>
      </c>
      <c r="I117" s="89">
        <f>IFERROR(IF(IFERROR(MATCH(113,'كشف الحساب'!$N$4:$N$203,0),0)=0,"",INDEX('كشف الحساب'!$I$4:$I$203,IFERROR(MATCH(113,'كشف الحساب'!$N$4:$N$203,0),0))),"")</f>
        <v/>
      </c>
      <c r="J117" s="93">
        <f>IFERROR(IF(IFERROR(MATCH(113,'كشف الحساب'!$N$4:$N$203,0),0)=0,"",INDEX('كشف الحساب'!$J$4:$J$203,IFERROR(MATCH(113,'كشف الحساب'!$N$4:$N$203,0),0))),"")</f>
        <v/>
      </c>
      <c r="K117" s="89">
        <f>IFERROR(IF(IFERROR(MATCH(113,'كشف الحساب'!$N$4:$N$203,0),0)=0,"",INDEX('كشف الحساب'!$K$4:$K$203,IFERROR(MATCH(113,'كشف الحساب'!$N$4:$N$203,0),0))),"")</f>
        <v/>
      </c>
    </row>
    <row r="118" ht="15" customHeight="1" s="67">
      <c r="A118" s="94">
        <f>IFERROR(IF(IFERROR(MATCH(114,'كشف الحساب'!$N$4:$N$203,0),0)=0,"",INDEX('كشف الحساب'!$A$4:$A$203,IFERROR(MATCH(114,'كشف الحساب'!$N$4:$N$203,0),0))),"")</f>
        <v/>
      </c>
      <c r="B118" s="95">
        <f>IFERROR(IF(IFERROR(MATCH(114,'كشف الحساب'!$N$4:$N$203,0),0)=0,"",INDEX('كشف الحساب'!$B$4:$B$203,IFERROR(MATCH(114,'كشف الحساب'!$N$4:$N$203,0),0))),"")</f>
        <v/>
      </c>
      <c r="C118" s="96">
        <f>IFERROR(IF(IFERROR(MATCH(114,'كشف الحساب'!$N$4:$N$203,0),0)=0,"",INDEX('كشف الحساب'!$C$4:$C$203,IFERROR(MATCH(114,'كشف الحساب'!$N$4:$N$203,0),0))),"")</f>
        <v/>
      </c>
      <c r="D118" s="97">
        <f>IFERROR(IF(IFERROR(MATCH(114,'كشف الحساب'!$N$4:$N$203,0),0)=0,"",INDEX('كشف الحساب'!$D$4:$D$203,IFERROR(MATCH(114,'كشف الحساب'!$N$4:$N$203,0),0))),"")</f>
        <v/>
      </c>
      <c r="E118" s="98">
        <f>IFERROR(IF(IFERROR(MATCH(114,'كشف الحساب'!$N$4:$N$203,0),0)=0,"",INDEX('كشف الحساب'!$E$4:$E$203,IFERROR(MATCH(114,'كشف الحساب'!$N$4:$N$203,0),0))),"")</f>
        <v/>
      </c>
      <c r="F118" s="95">
        <f>IFERROR(IF(IFERROR(MATCH(114,'كشف الحساب'!$N$4:$N$203,0),0)=0,"",INDEX('كشف الحساب'!$F$4:$F$203,IFERROR(MATCH(114,'كشف الحساب'!$N$4:$N$203,0),0))),"")</f>
        <v/>
      </c>
      <c r="G118" s="95">
        <f>IFERROR(IF(IFERROR(MATCH(114,'كشف الحساب'!$N$4:$N$203,0),0)=0,"",INDEX('كشف الحساب'!$G$4:$G$203,IFERROR(MATCH(114,'كشف الحساب'!$N$4:$N$203,0),0))),"")</f>
        <v/>
      </c>
      <c r="H118" s="95">
        <f>IFERROR(IF(IFERROR(MATCH(114,'كشف الحساب'!$N$4:$N$203,0),0)=0,"",INDEX('كشف الحساب'!$H$4:$H$203,IFERROR(MATCH(114,'كشف الحساب'!$N$4:$N$203,0),0))),"")</f>
        <v/>
      </c>
      <c r="I118" s="95">
        <f>IFERROR(IF(IFERROR(MATCH(114,'كشف الحساب'!$N$4:$N$203,0),0)=0,"",INDEX('كشف الحساب'!$I$4:$I$203,IFERROR(MATCH(114,'كشف الحساب'!$N$4:$N$203,0),0))),"")</f>
        <v/>
      </c>
      <c r="J118" s="99">
        <f>IFERROR(IF(IFERROR(MATCH(114,'كشف الحساب'!$N$4:$N$203,0),0)=0,"",INDEX('كشف الحساب'!$J$4:$J$203,IFERROR(MATCH(114,'كشف الحساب'!$N$4:$N$203,0),0))),"")</f>
        <v/>
      </c>
      <c r="K118" s="95">
        <f>IFERROR(IF(IFERROR(MATCH(114,'كشف الحساب'!$N$4:$N$203,0),0)=0,"",INDEX('كشف الحساب'!$K$4:$K$203,IFERROR(MATCH(114,'كشف الحساب'!$N$4:$N$203,0),0))),"")</f>
        <v/>
      </c>
    </row>
    <row r="119" ht="15" customHeight="1" s="67">
      <c r="A119" s="88">
        <f>IFERROR(IF(IFERROR(MATCH(115,'كشف الحساب'!$N$4:$N$203,0),0)=0,"",INDEX('كشف الحساب'!$A$4:$A$203,IFERROR(MATCH(115,'كشف الحساب'!$N$4:$N$203,0),0))),"")</f>
        <v/>
      </c>
      <c r="B119" s="89">
        <f>IFERROR(IF(IFERROR(MATCH(115,'كشف الحساب'!$N$4:$N$203,0),0)=0,"",INDEX('كشف الحساب'!$B$4:$B$203,IFERROR(MATCH(115,'كشف الحساب'!$N$4:$N$203,0),0))),"")</f>
        <v/>
      </c>
      <c r="C119" s="90">
        <f>IFERROR(IF(IFERROR(MATCH(115,'كشف الحساب'!$N$4:$N$203,0),0)=0,"",INDEX('كشف الحساب'!$C$4:$C$203,IFERROR(MATCH(115,'كشف الحساب'!$N$4:$N$203,0),0))),"")</f>
        <v/>
      </c>
      <c r="D119" s="91">
        <f>IFERROR(IF(IFERROR(MATCH(115,'كشف الحساب'!$N$4:$N$203,0),0)=0,"",INDEX('كشف الحساب'!$D$4:$D$203,IFERROR(MATCH(115,'كشف الحساب'!$N$4:$N$203,0),0))),"")</f>
        <v/>
      </c>
      <c r="E119" s="92">
        <f>IFERROR(IF(IFERROR(MATCH(115,'كشف الحساب'!$N$4:$N$203,0),0)=0,"",INDEX('كشف الحساب'!$E$4:$E$203,IFERROR(MATCH(115,'كشف الحساب'!$N$4:$N$203,0),0))),"")</f>
        <v/>
      </c>
      <c r="F119" s="89">
        <f>IFERROR(IF(IFERROR(MATCH(115,'كشف الحساب'!$N$4:$N$203,0),0)=0,"",INDEX('كشف الحساب'!$F$4:$F$203,IFERROR(MATCH(115,'كشف الحساب'!$N$4:$N$203,0),0))),"")</f>
        <v/>
      </c>
      <c r="G119" s="89">
        <f>IFERROR(IF(IFERROR(MATCH(115,'كشف الحساب'!$N$4:$N$203,0),0)=0,"",INDEX('كشف الحساب'!$G$4:$G$203,IFERROR(MATCH(115,'كشف الحساب'!$N$4:$N$203,0),0))),"")</f>
        <v/>
      </c>
      <c r="H119" s="89">
        <f>IFERROR(IF(IFERROR(MATCH(115,'كشف الحساب'!$N$4:$N$203,0),0)=0,"",INDEX('كشف الحساب'!$H$4:$H$203,IFERROR(MATCH(115,'كشف الحساب'!$N$4:$N$203,0),0))),"")</f>
        <v/>
      </c>
      <c r="I119" s="89">
        <f>IFERROR(IF(IFERROR(MATCH(115,'كشف الحساب'!$N$4:$N$203,0),0)=0,"",INDEX('كشف الحساب'!$I$4:$I$203,IFERROR(MATCH(115,'كشف الحساب'!$N$4:$N$203,0),0))),"")</f>
        <v/>
      </c>
      <c r="J119" s="93">
        <f>IFERROR(IF(IFERROR(MATCH(115,'كشف الحساب'!$N$4:$N$203,0),0)=0,"",INDEX('كشف الحساب'!$J$4:$J$203,IFERROR(MATCH(115,'كشف الحساب'!$N$4:$N$203,0),0))),"")</f>
        <v/>
      </c>
      <c r="K119" s="89">
        <f>IFERROR(IF(IFERROR(MATCH(115,'كشف الحساب'!$N$4:$N$203,0),0)=0,"",INDEX('كشف الحساب'!$K$4:$K$203,IFERROR(MATCH(115,'كشف الحساب'!$N$4:$N$203,0),0))),"")</f>
        <v/>
      </c>
    </row>
    <row r="120" ht="15" customHeight="1" s="67">
      <c r="A120" s="94">
        <f>IFERROR(IF(IFERROR(MATCH(116,'كشف الحساب'!$N$4:$N$203,0),0)=0,"",INDEX('كشف الحساب'!$A$4:$A$203,IFERROR(MATCH(116,'كشف الحساب'!$N$4:$N$203,0),0))),"")</f>
        <v/>
      </c>
      <c r="B120" s="95">
        <f>IFERROR(IF(IFERROR(MATCH(116,'كشف الحساب'!$N$4:$N$203,0),0)=0,"",INDEX('كشف الحساب'!$B$4:$B$203,IFERROR(MATCH(116,'كشف الحساب'!$N$4:$N$203,0),0))),"")</f>
        <v/>
      </c>
      <c r="C120" s="96">
        <f>IFERROR(IF(IFERROR(MATCH(116,'كشف الحساب'!$N$4:$N$203,0),0)=0,"",INDEX('كشف الحساب'!$C$4:$C$203,IFERROR(MATCH(116,'كشف الحساب'!$N$4:$N$203,0),0))),"")</f>
        <v/>
      </c>
      <c r="D120" s="97">
        <f>IFERROR(IF(IFERROR(MATCH(116,'كشف الحساب'!$N$4:$N$203,0),0)=0,"",INDEX('كشف الحساب'!$D$4:$D$203,IFERROR(MATCH(116,'كشف الحساب'!$N$4:$N$203,0),0))),"")</f>
        <v/>
      </c>
      <c r="E120" s="98">
        <f>IFERROR(IF(IFERROR(MATCH(116,'كشف الحساب'!$N$4:$N$203,0),0)=0,"",INDEX('كشف الحساب'!$E$4:$E$203,IFERROR(MATCH(116,'كشف الحساب'!$N$4:$N$203,0),0))),"")</f>
        <v/>
      </c>
      <c r="F120" s="95">
        <f>IFERROR(IF(IFERROR(MATCH(116,'كشف الحساب'!$N$4:$N$203,0),0)=0,"",INDEX('كشف الحساب'!$F$4:$F$203,IFERROR(MATCH(116,'كشف الحساب'!$N$4:$N$203,0),0))),"")</f>
        <v/>
      </c>
      <c r="G120" s="95">
        <f>IFERROR(IF(IFERROR(MATCH(116,'كشف الحساب'!$N$4:$N$203,0),0)=0,"",INDEX('كشف الحساب'!$G$4:$G$203,IFERROR(MATCH(116,'كشف الحساب'!$N$4:$N$203,0),0))),"")</f>
        <v/>
      </c>
      <c r="H120" s="95">
        <f>IFERROR(IF(IFERROR(MATCH(116,'كشف الحساب'!$N$4:$N$203,0),0)=0,"",INDEX('كشف الحساب'!$H$4:$H$203,IFERROR(MATCH(116,'كشف الحساب'!$N$4:$N$203,0),0))),"")</f>
        <v/>
      </c>
      <c r="I120" s="95">
        <f>IFERROR(IF(IFERROR(MATCH(116,'كشف الحساب'!$N$4:$N$203,0),0)=0,"",INDEX('كشف الحساب'!$I$4:$I$203,IFERROR(MATCH(116,'كشف الحساب'!$N$4:$N$203,0),0))),"")</f>
        <v/>
      </c>
      <c r="J120" s="99">
        <f>IFERROR(IF(IFERROR(MATCH(116,'كشف الحساب'!$N$4:$N$203,0),0)=0,"",INDEX('كشف الحساب'!$J$4:$J$203,IFERROR(MATCH(116,'كشف الحساب'!$N$4:$N$203,0),0))),"")</f>
        <v/>
      </c>
      <c r="K120" s="95">
        <f>IFERROR(IF(IFERROR(MATCH(116,'كشف الحساب'!$N$4:$N$203,0),0)=0,"",INDEX('كشف الحساب'!$K$4:$K$203,IFERROR(MATCH(116,'كشف الحساب'!$N$4:$N$203,0),0))),"")</f>
        <v/>
      </c>
    </row>
    <row r="121" ht="15" customHeight="1" s="67">
      <c r="A121" s="88">
        <f>IFERROR(IF(IFERROR(MATCH(117,'كشف الحساب'!$N$4:$N$203,0),0)=0,"",INDEX('كشف الحساب'!$A$4:$A$203,IFERROR(MATCH(117,'كشف الحساب'!$N$4:$N$203,0),0))),"")</f>
        <v/>
      </c>
      <c r="B121" s="89">
        <f>IFERROR(IF(IFERROR(MATCH(117,'كشف الحساب'!$N$4:$N$203,0),0)=0,"",INDEX('كشف الحساب'!$B$4:$B$203,IFERROR(MATCH(117,'كشف الحساب'!$N$4:$N$203,0),0))),"")</f>
        <v/>
      </c>
      <c r="C121" s="90">
        <f>IFERROR(IF(IFERROR(MATCH(117,'كشف الحساب'!$N$4:$N$203,0),0)=0,"",INDEX('كشف الحساب'!$C$4:$C$203,IFERROR(MATCH(117,'كشف الحساب'!$N$4:$N$203,0),0))),"")</f>
        <v/>
      </c>
      <c r="D121" s="91">
        <f>IFERROR(IF(IFERROR(MATCH(117,'كشف الحساب'!$N$4:$N$203,0),0)=0,"",INDEX('كشف الحساب'!$D$4:$D$203,IFERROR(MATCH(117,'كشف الحساب'!$N$4:$N$203,0),0))),"")</f>
        <v/>
      </c>
      <c r="E121" s="92">
        <f>IFERROR(IF(IFERROR(MATCH(117,'كشف الحساب'!$N$4:$N$203,0),0)=0,"",INDEX('كشف الحساب'!$E$4:$E$203,IFERROR(MATCH(117,'كشف الحساب'!$N$4:$N$203,0),0))),"")</f>
        <v/>
      </c>
      <c r="F121" s="89">
        <f>IFERROR(IF(IFERROR(MATCH(117,'كشف الحساب'!$N$4:$N$203,0),0)=0,"",INDEX('كشف الحساب'!$F$4:$F$203,IFERROR(MATCH(117,'كشف الحساب'!$N$4:$N$203,0),0))),"")</f>
        <v/>
      </c>
      <c r="G121" s="89">
        <f>IFERROR(IF(IFERROR(MATCH(117,'كشف الحساب'!$N$4:$N$203,0),0)=0,"",INDEX('كشف الحساب'!$G$4:$G$203,IFERROR(MATCH(117,'كشف الحساب'!$N$4:$N$203,0),0))),"")</f>
        <v/>
      </c>
      <c r="H121" s="89">
        <f>IFERROR(IF(IFERROR(MATCH(117,'كشف الحساب'!$N$4:$N$203,0),0)=0,"",INDEX('كشف الحساب'!$H$4:$H$203,IFERROR(MATCH(117,'كشف الحساب'!$N$4:$N$203,0),0))),"")</f>
        <v/>
      </c>
      <c r="I121" s="89">
        <f>IFERROR(IF(IFERROR(MATCH(117,'كشف الحساب'!$N$4:$N$203,0),0)=0,"",INDEX('كشف الحساب'!$I$4:$I$203,IFERROR(MATCH(117,'كشف الحساب'!$N$4:$N$203,0),0))),"")</f>
        <v/>
      </c>
      <c r="J121" s="93">
        <f>IFERROR(IF(IFERROR(MATCH(117,'كشف الحساب'!$N$4:$N$203,0),0)=0,"",INDEX('كشف الحساب'!$J$4:$J$203,IFERROR(MATCH(117,'كشف الحساب'!$N$4:$N$203,0),0))),"")</f>
        <v/>
      </c>
      <c r="K121" s="89">
        <f>IFERROR(IF(IFERROR(MATCH(117,'كشف الحساب'!$N$4:$N$203,0),0)=0,"",INDEX('كشف الحساب'!$K$4:$K$203,IFERROR(MATCH(117,'كشف الحساب'!$N$4:$N$203,0),0))),"")</f>
        <v/>
      </c>
    </row>
    <row r="122" ht="15" customHeight="1" s="67">
      <c r="A122" s="94">
        <f>IFERROR(IF(IFERROR(MATCH(118,'كشف الحساب'!$N$4:$N$203,0),0)=0,"",INDEX('كشف الحساب'!$A$4:$A$203,IFERROR(MATCH(118,'كشف الحساب'!$N$4:$N$203,0),0))),"")</f>
        <v/>
      </c>
      <c r="B122" s="95">
        <f>IFERROR(IF(IFERROR(MATCH(118,'كشف الحساب'!$N$4:$N$203,0),0)=0,"",INDEX('كشف الحساب'!$B$4:$B$203,IFERROR(MATCH(118,'كشف الحساب'!$N$4:$N$203,0),0))),"")</f>
        <v/>
      </c>
      <c r="C122" s="96">
        <f>IFERROR(IF(IFERROR(MATCH(118,'كشف الحساب'!$N$4:$N$203,0),0)=0,"",INDEX('كشف الحساب'!$C$4:$C$203,IFERROR(MATCH(118,'كشف الحساب'!$N$4:$N$203,0),0))),"")</f>
        <v/>
      </c>
      <c r="D122" s="97">
        <f>IFERROR(IF(IFERROR(MATCH(118,'كشف الحساب'!$N$4:$N$203,0),0)=0,"",INDEX('كشف الحساب'!$D$4:$D$203,IFERROR(MATCH(118,'كشف الحساب'!$N$4:$N$203,0),0))),"")</f>
        <v/>
      </c>
      <c r="E122" s="98">
        <f>IFERROR(IF(IFERROR(MATCH(118,'كشف الحساب'!$N$4:$N$203,0),0)=0,"",INDEX('كشف الحساب'!$E$4:$E$203,IFERROR(MATCH(118,'كشف الحساب'!$N$4:$N$203,0),0))),"")</f>
        <v/>
      </c>
      <c r="F122" s="95">
        <f>IFERROR(IF(IFERROR(MATCH(118,'كشف الحساب'!$N$4:$N$203,0),0)=0,"",INDEX('كشف الحساب'!$F$4:$F$203,IFERROR(MATCH(118,'كشف الحساب'!$N$4:$N$203,0),0))),"")</f>
        <v/>
      </c>
      <c r="G122" s="95">
        <f>IFERROR(IF(IFERROR(MATCH(118,'كشف الحساب'!$N$4:$N$203,0),0)=0,"",INDEX('كشف الحساب'!$G$4:$G$203,IFERROR(MATCH(118,'كشف الحساب'!$N$4:$N$203,0),0))),"")</f>
        <v/>
      </c>
      <c r="H122" s="95">
        <f>IFERROR(IF(IFERROR(MATCH(118,'كشف الحساب'!$N$4:$N$203,0),0)=0,"",INDEX('كشف الحساب'!$H$4:$H$203,IFERROR(MATCH(118,'كشف الحساب'!$N$4:$N$203,0),0))),"")</f>
        <v/>
      </c>
      <c r="I122" s="95">
        <f>IFERROR(IF(IFERROR(MATCH(118,'كشف الحساب'!$N$4:$N$203,0),0)=0,"",INDEX('كشف الحساب'!$I$4:$I$203,IFERROR(MATCH(118,'كشف الحساب'!$N$4:$N$203,0),0))),"")</f>
        <v/>
      </c>
      <c r="J122" s="99">
        <f>IFERROR(IF(IFERROR(MATCH(118,'كشف الحساب'!$N$4:$N$203,0),0)=0,"",INDEX('كشف الحساب'!$J$4:$J$203,IFERROR(MATCH(118,'كشف الحساب'!$N$4:$N$203,0),0))),"")</f>
        <v/>
      </c>
      <c r="K122" s="95">
        <f>IFERROR(IF(IFERROR(MATCH(118,'كشف الحساب'!$N$4:$N$203,0),0)=0,"",INDEX('كشف الحساب'!$K$4:$K$203,IFERROR(MATCH(118,'كشف الحساب'!$N$4:$N$203,0),0))),"")</f>
        <v/>
      </c>
    </row>
    <row r="123" ht="15" customHeight="1" s="67">
      <c r="A123" s="88">
        <f>IFERROR(IF(IFERROR(MATCH(119,'كشف الحساب'!$N$4:$N$203,0),0)=0,"",INDEX('كشف الحساب'!$A$4:$A$203,IFERROR(MATCH(119,'كشف الحساب'!$N$4:$N$203,0),0))),"")</f>
        <v/>
      </c>
      <c r="B123" s="89">
        <f>IFERROR(IF(IFERROR(MATCH(119,'كشف الحساب'!$N$4:$N$203,0),0)=0,"",INDEX('كشف الحساب'!$B$4:$B$203,IFERROR(MATCH(119,'كشف الحساب'!$N$4:$N$203,0),0))),"")</f>
        <v/>
      </c>
      <c r="C123" s="90">
        <f>IFERROR(IF(IFERROR(MATCH(119,'كشف الحساب'!$N$4:$N$203,0),0)=0,"",INDEX('كشف الحساب'!$C$4:$C$203,IFERROR(MATCH(119,'كشف الحساب'!$N$4:$N$203,0),0))),"")</f>
        <v/>
      </c>
      <c r="D123" s="91">
        <f>IFERROR(IF(IFERROR(MATCH(119,'كشف الحساب'!$N$4:$N$203,0),0)=0,"",INDEX('كشف الحساب'!$D$4:$D$203,IFERROR(MATCH(119,'كشف الحساب'!$N$4:$N$203,0),0))),"")</f>
        <v/>
      </c>
      <c r="E123" s="92">
        <f>IFERROR(IF(IFERROR(MATCH(119,'كشف الحساب'!$N$4:$N$203,0),0)=0,"",INDEX('كشف الحساب'!$E$4:$E$203,IFERROR(MATCH(119,'كشف الحساب'!$N$4:$N$203,0),0))),"")</f>
        <v/>
      </c>
      <c r="F123" s="89">
        <f>IFERROR(IF(IFERROR(MATCH(119,'كشف الحساب'!$N$4:$N$203,0),0)=0,"",INDEX('كشف الحساب'!$F$4:$F$203,IFERROR(MATCH(119,'كشف الحساب'!$N$4:$N$203,0),0))),"")</f>
        <v/>
      </c>
      <c r="G123" s="89">
        <f>IFERROR(IF(IFERROR(MATCH(119,'كشف الحساب'!$N$4:$N$203,0),0)=0,"",INDEX('كشف الحساب'!$G$4:$G$203,IFERROR(MATCH(119,'كشف الحساب'!$N$4:$N$203,0),0))),"")</f>
        <v/>
      </c>
      <c r="H123" s="89">
        <f>IFERROR(IF(IFERROR(MATCH(119,'كشف الحساب'!$N$4:$N$203,0),0)=0,"",INDEX('كشف الحساب'!$H$4:$H$203,IFERROR(MATCH(119,'كشف الحساب'!$N$4:$N$203,0),0))),"")</f>
        <v/>
      </c>
      <c r="I123" s="89">
        <f>IFERROR(IF(IFERROR(MATCH(119,'كشف الحساب'!$N$4:$N$203,0),0)=0,"",INDEX('كشف الحساب'!$I$4:$I$203,IFERROR(MATCH(119,'كشف الحساب'!$N$4:$N$203,0),0))),"")</f>
        <v/>
      </c>
      <c r="J123" s="93">
        <f>IFERROR(IF(IFERROR(MATCH(119,'كشف الحساب'!$N$4:$N$203,0),0)=0,"",INDEX('كشف الحساب'!$J$4:$J$203,IFERROR(MATCH(119,'كشف الحساب'!$N$4:$N$203,0),0))),"")</f>
        <v/>
      </c>
      <c r="K123" s="89">
        <f>IFERROR(IF(IFERROR(MATCH(119,'كشف الحساب'!$N$4:$N$203,0),0)=0,"",INDEX('كشف الحساب'!$K$4:$K$203,IFERROR(MATCH(119,'كشف الحساب'!$N$4:$N$203,0),0))),"")</f>
        <v/>
      </c>
    </row>
    <row r="124" ht="15" customHeight="1" s="67">
      <c r="A124" s="94">
        <f>IFERROR(IF(IFERROR(MATCH(120,'كشف الحساب'!$N$4:$N$203,0),0)=0,"",INDEX('كشف الحساب'!$A$4:$A$203,IFERROR(MATCH(120,'كشف الحساب'!$N$4:$N$203,0),0))),"")</f>
        <v/>
      </c>
      <c r="B124" s="95">
        <f>IFERROR(IF(IFERROR(MATCH(120,'كشف الحساب'!$N$4:$N$203,0),0)=0,"",INDEX('كشف الحساب'!$B$4:$B$203,IFERROR(MATCH(120,'كشف الحساب'!$N$4:$N$203,0),0))),"")</f>
        <v/>
      </c>
      <c r="C124" s="96">
        <f>IFERROR(IF(IFERROR(MATCH(120,'كشف الحساب'!$N$4:$N$203,0),0)=0,"",INDEX('كشف الحساب'!$C$4:$C$203,IFERROR(MATCH(120,'كشف الحساب'!$N$4:$N$203,0),0))),"")</f>
        <v/>
      </c>
      <c r="D124" s="97">
        <f>IFERROR(IF(IFERROR(MATCH(120,'كشف الحساب'!$N$4:$N$203,0),0)=0,"",INDEX('كشف الحساب'!$D$4:$D$203,IFERROR(MATCH(120,'كشف الحساب'!$N$4:$N$203,0),0))),"")</f>
        <v/>
      </c>
      <c r="E124" s="98">
        <f>IFERROR(IF(IFERROR(MATCH(120,'كشف الحساب'!$N$4:$N$203,0),0)=0,"",INDEX('كشف الحساب'!$E$4:$E$203,IFERROR(MATCH(120,'كشف الحساب'!$N$4:$N$203,0),0))),"")</f>
        <v/>
      </c>
      <c r="F124" s="95">
        <f>IFERROR(IF(IFERROR(MATCH(120,'كشف الحساب'!$N$4:$N$203,0),0)=0,"",INDEX('كشف الحساب'!$F$4:$F$203,IFERROR(MATCH(120,'كشف الحساب'!$N$4:$N$203,0),0))),"")</f>
        <v/>
      </c>
      <c r="G124" s="95">
        <f>IFERROR(IF(IFERROR(MATCH(120,'كشف الحساب'!$N$4:$N$203,0),0)=0,"",INDEX('كشف الحساب'!$G$4:$G$203,IFERROR(MATCH(120,'كشف الحساب'!$N$4:$N$203,0),0))),"")</f>
        <v/>
      </c>
      <c r="H124" s="95">
        <f>IFERROR(IF(IFERROR(MATCH(120,'كشف الحساب'!$N$4:$N$203,0),0)=0,"",INDEX('كشف الحساب'!$H$4:$H$203,IFERROR(MATCH(120,'كشف الحساب'!$N$4:$N$203,0),0))),"")</f>
        <v/>
      </c>
      <c r="I124" s="95">
        <f>IFERROR(IF(IFERROR(MATCH(120,'كشف الحساب'!$N$4:$N$203,0),0)=0,"",INDEX('كشف الحساب'!$I$4:$I$203,IFERROR(MATCH(120,'كشف الحساب'!$N$4:$N$203,0),0))),"")</f>
        <v/>
      </c>
      <c r="J124" s="99">
        <f>IFERROR(IF(IFERROR(MATCH(120,'كشف الحساب'!$N$4:$N$203,0),0)=0,"",INDEX('كشف الحساب'!$J$4:$J$203,IFERROR(MATCH(120,'كشف الحساب'!$N$4:$N$203,0),0))),"")</f>
        <v/>
      </c>
      <c r="K124" s="95">
        <f>IFERROR(IF(IFERROR(MATCH(120,'كشف الحساب'!$N$4:$N$203,0),0)=0,"",INDEX('كشف الحساب'!$K$4:$K$203,IFERROR(MATCH(120,'كشف الحساب'!$N$4:$N$203,0),0))),"")</f>
        <v/>
      </c>
    </row>
    <row r="125" ht="15" customHeight="1" s="67">
      <c r="A125" s="88">
        <f>IFERROR(IF(IFERROR(MATCH(121,'كشف الحساب'!$N$4:$N$203,0),0)=0,"",INDEX('كشف الحساب'!$A$4:$A$203,IFERROR(MATCH(121,'كشف الحساب'!$N$4:$N$203,0),0))),"")</f>
        <v/>
      </c>
      <c r="B125" s="89">
        <f>IFERROR(IF(IFERROR(MATCH(121,'كشف الحساب'!$N$4:$N$203,0),0)=0,"",INDEX('كشف الحساب'!$B$4:$B$203,IFERROR(MATCH(121,'كشف الحساب'!$N$4:$N$203,0),0))),"")</f>
        <v/>
      </c>
      <c r="C125" s="90">
        <f>IFERROR(IF(IFERROR(MATCH(121,'كشف الحساب'!$N$4:$N$203,0),0)=0,"",INDEX('كشف الحساب'!$C$4:$C$203,IFERROR(MATCH(121,'كشف الحساب'!$N$4:$N$203,0),0))),"")</f>
        <v/>
      </c>
      <c r="D125" s="91">
        <f>IFERROR(IF(IFERROR(MATCH(121,'كشف الحساب'!$N$4:$N$203,0),0)=0,"",INDEX('كشف الحساب'!$D$4:$D$203,IFERROR(MATCH(121,'كشف الحساب'!$N$4:$N$203,0),0))),"")</f>
        <v/>
      </c>
      <c r="E125" s="92">
        <f>IFERROR(IF(IFERROR(MATCH(121,'كشف الحساب'!$N$4:$N$203,0),0)=0,"",INDEX('كشف الحساب'!$E$4:$E$203,IFERROR(MATCH(121,'كشف الحساب'!$N$4:$N$203,0),0))),"")</f>
        <v/>
      </c>
      <c r="F125" s="89">
        <f>IFERROR(IF(IFERROR(MATCH(121,'كشف الحساب'!$N$4:$N$203,0),0)=0,"",INDEX('كشف الحساب'!$F$4:$F$203,IFERROR(MATCH(121,'كشف الحساب'!$N$4:$N$203,0),0))),"")</f>
        <v/>
      </c>
      <c r="G125" s="89">
        <f>IFERROR(IF(IFERROR(MATCH(121,'كشف الحساب'!$N$4:$N$203,0),0)=0,"",INDEX('كشف الحساب'!$G$4:$G$203,IFERROR(MATCH(121,'كشف الحساب'!$N$4:$N$203,0),0))),"")</f>
        <v/>
      </c>
      <c r="H125" s="89">
        <f>IFERROR(IF(IFERROR(MATCH(121,'كشف الحساب'!$N$4:$N$203,0),0)=0,"",INDEX('كشف الحساب'!$H$4:$H$203,IFERROR(MATCH(121,'كشف الحساب'!$N$4:$N$203,0),0))),"")</f>
        <v/>
      </c>
      <c r="I125" s="89">
        <f>IFERROR(IF(IFERROR(MATCH(121,'كشف الحساب'!$N$4:$N$203,0),0)=0,"",INDEX('كشف الحساب'!$I$4:$I$203,IFERROR(MATCH(121,'كشف الحساب'!$N$4:$N$203,0),0))),"")</f>
        <v/>
      </c>
      <c r="J125" s="93">
        <f>IFERROR(IF(IFERROR(MATCH(121,'كشف الحساب'!$N$4:$N$203,0),0)=0,"",INDEX('كشف الحساب'!$J$4:$J$203,IFERROR(MATCH(121,'كشف الحساب'!$N$4:$N$203,0),0))),"")</f>
        <v/>
      </c>
      <c r="K125" s="89">
        <f>IFERROR(IF(IFERROR(MATCH(121,'كشف الحساب'!$N$4:$N$203,0),0)=0,"",INDEX('كشف الحساب'!$K$4:$K$203,IFERROR(MATCH(121,'كشف الحساب'!$N$4:$N$203,0),0))),"")</f>
        <v/>
      </c>
    </row>
    <row r="126" ht="15" customHeight="1" s="67">
      <c r="A126" s="94">
        <f>IFERROR(IF(IFERROR(MATCH(122,'كشف الحساب'!$N$4:$N$203,0),0)=0,"",INDEX('كشف الحساب'!$A$4:$A$203,IFERROR(MATCH(122,'كشف الحساب'!$N$4:$N$203,0),0))),"")</f>
        <v/>
      </c>
      <c r="B126" s="95">
        <f>IFERROR(IF(IFERROR(MATCH(122,'كشف الحساب'!$N$4:$N$203,0),0)=0,"",INDEX('كشف الحساب'!$B$4:$B$203,IFERROR(MATCH(122,'كشف الحساب'!$N$4:$N$203,0),0))),"")</f>
        <v/>
      </c>
      <c r="C126" s="96">
        <f>IFERROR(IF(IFERROR(MATCH(122,'كشف الحساب'!$N$4:$N$203,0),0)=0,"",INDEX('كشف الحساب'!$C$4:$C$203,IFERROR(MATCH(122,'كشف الحساب'!$N$4:$N$203,0),0))),"")</f>
        <v/>
      </c>
      <c r="D126" s="97">
        <f>IFERROR(IF(IFERROR(MATCH(122,'كشف الحساب'!$N$4:$N$203,0),0)=0,"",INDEX('كشف الحساب'!$D$4:$D$203,IFERROR(MATCH(122,'كشف الحساب'!$N$4:$N$203,0),0))),"")</f>
        <v/>
      </c>
      <c r="E126" s="98">
        <f>IFERROR(IF(IFERROR(MATCH(122,'كشف الحساب'!$N$4:$N$203,0),0)=0,"",INDEX('كشف الحساب'!$E$4:$E$203,IFERROR(MATCH(122,'كشف الحساب'!$N$4:$N$203,0),0))),"")</f>
        <v/>
      </c>
      <c r="F126" s="95">
        <f>IFERROR(IF(IFERROR(MATCH(122,'كشف الحساب'!$N$4:$N$203,0),0)=0,"",INDEX('كشف الحساب'!$F$4:$F$203,IFERROR(MATCH(122,'كشف الحساب'!$N$4:$N$203,0),0))),"")</f>
        <v/>
      </c>
      <c r="G126" s="95">
        <f>IFERROR(IF(IFERROR(MATCH(122,'كشف الحساب'!$N$4:$N$203,0),0)=0,"",INDEX('كشف الحساب'!$G$4:$G$203,IFERROR(MATCH(122,'كشف الحساب'!$N$4:$N$203,0),0))),"")</f>
        <v/>
      </c>
      <c r="H126" s="95">
        <f>IFERROR(IF(IFERROR(MATCH(122,'كشف الحساب'!$N$4:$N$203,0),0)=0,"",INDEX('كشف الحساب'!$H$4:$H$203,IFERROR(MATCH(122,'كشف الحساب'!$N$4:$N$203,0),0))),"")</f>
        <v/>
      </c>
      <c r="I126" s="95">
        <f>IFERROR(IF(IFERROR(MATCH(122,'كشف الحساب'!$N$4:$N$203,0),0)=0,"",INDEX('كشف الحساب'!$I$4:$I$203,IFERROR(MATCH(122,'كشف الحساب'!$N$4:$N$203,0),0))),"")</f>
        <v/>
      </c>
      <c r="J126" s="99">
        <f>IFERROR(IF(IFERROR(MATCH(122,'كشف الحساب'!$N$4:$N$203,0),0)=0,"",INDEX('كشف الحساب'!$J$4:$J$203,IFERROR(MATCH(122,'كشف الحساب'!$N$4:$N$203,0),0))),"")</f>
        <v/>
      </c>
      <c r="K126" s="95">
        <f>IFERROR(IF(IFERROR(MATCH(122,'كشف الحساب'!$N$4:$N$203,0),0)=0,"",INDEX('كشف الحساب'!$K$4:$K$203,IFERROR(MATCH(122,'كشف الحساب'!$N$4:$N$203,0),0))),"")</f>
        <v/>
      </c>
    </row>
    <row r="127" ht="15" customHeight="1" s="67">
      <c r="A127" s="88">
        <f>IFERROR(IF(IFERROR(MATCH(123,'كشف الحساب'!$N$4:$N$203,0),0)=0,"",INDEX('كشف الحساب'!$A$4:$A$203,IFERROR(MATCH(123,'كشف الحساب'!$N$4:$N$203,0),0))),"")</f>
        <v/>
      </c>
      <c r="B127" s="89">
        <f>IFERROR(IF(IFERROR(MATCH(123,'كشف الحساب'!$N$4:$N$203,0),0)=0,"",INDEX('كشف الحساب'!$B$4:$B$203,IFERROR(MATCH(123,'كشف الحساب'!$N$4:$N$203,0),0))),"")</f>
        <v/>
      </c>
      <c r="C127" s="90">
        <f>IFERROR(IF(IFERROR(MATCH(123,'كشف الحساب'!$N$4:$N$203,0),0)=0,"",INDEX('كشف الحساب'!$C$4:$C$203,IFERROR(MATCH(123,'كشف الحساب'!$N$4:$N$203,0),0))),"")</f>
        <v/>
      </c>
      <c r="D127" s="91">
        <f>IFERROR(IF(IFERROR(MATCH(123,'كشف الحساب'!$N$4:$N$203,0),0)=0,"",INDEX('كشف الحساب'!$D$4:$D$203,IFERROR(MATCH(123,'كشف الحساب'!$N$4:$N$203,0),0))),"")</f>
        <v/>
      </c>
      <c r="E127" s="92">
        <f>IFERROR(IF(IFERROR(MATCH(123,'كشف الحساب'!$N$4:$N$203,0),0)=0,"",INDEX('كشف الحساب'!$E$4:$E$203,IFERROR(MATCH(123,'كشف الحساب'!$N$4:$N$203,0),0))),"")</f>
        <v/>
      </c>
      <c r="F127" s="89">
        <f>IFERROR(IF(IFERROR(MATCH(123,'كشف الحساب'!$N$4:$N$203,0),0)=0,"",INDEX('كشف الحساب'!$F$4:$F$203,IFERROR(MATCH(123,'كشف الحساب'!$N$4:$N$203,0),0))),"")</f>
        <v/>
      </c>
      <c r="G127" s="89">
        <f>IFERROR(IF(IFERROR(MATCH(123,'كشف الحساب'!$N$4:$N$203,0),0)=0,"",INDEX('كشف الحساب'!$G$4:$G$203,IFERROR(MATCH(123,'كشف الحساب'!$N$4:$N$203,0),0))),"")</f>
        <v/>
      </c>
      <c r="H127" s="89">
        <f>IFERROR(IF(IFERROR(MATCH(123,'كشف الحساب'!$N$4:$N$203,0),0)=0,"",INDEX('كشف الحساب'!$H$4:$H$203,IFERROR(MATCH(123,'كشف الحساب'!$N$4:$N$203,0),0))),"")</f>
        <v/>
      </c>
      <c r="I127" s="89">
        <f>IFERROR(IF(IFERROR(MATCH(123,'كشف الحساب'!$N$4:$N$203,0),0)=0,"",INDEX('كشف الحساب'!$I$4:$I$203,IFERROR(MATCH(123,'كشف الحساب'!$N$4:$N$203,0),0))),"")</f>
        <v/>
      </c>
      <c r="J127" s="93">
        <f>IFERROR(IF(IFERROR(MATCH(123,'كشف الحساب'!$N$4:$N$203,0),0)=0,"",INDEX('كشف الحساب'!$J$4:$J$203,IFERROR(MATCH(123,'كشف الحساب'!$N$4:$N$203,0),0))),"")</f>
        <v/>
      </c>
      <c r="K127" s="89">
        <f>IFERROR(IF(IFERROR(MATCH(123,'كشف الحساب'!$N$4:$N$203,0),0)=0,"",INDEX('كشف الحساب'!$K$4:$K$203,IFERROR(MATCH(123,'كشف الحساب'!$N$4:$N$203,0),0))),"")</f>
        <v/>
      </c>
    </row>
    <row r="128" ht="15" customHeight="1" s="67">
      <c r="A128" s="94">
        <f>IFERROR(IF(IFERROR(MATCH(124,'كشف الحساب'!$N$4:$N$203,0),0)=0,"",INDEX('كشف الحساب'!$A$4:$A$203,IFERROR(MATCH(124,'كشف الحساب'!$N$4:$N$203,0),0))),"")</f>
        <v/>
      </c>
      <c r="B128" s="95">
        <f>IFERROR(IF(IFERROR(MATCH(124,'كشف الحساب'!$N$4:$N$203,0),0)=0,"",INDEX('كشف الحساب'!$B$4:$B$203,IFERROR(MATCH(124,'كشف الحساب'!$N$4:$N$203,0),0))),"")</f>
        <v/>
      </c>
      <c r="C128" s="96">
        <f>IFERROR(IF(IFERROR(MATCH(124,'كشف الحساب'!$N$4:$N$203,0),0)=0,"",INDEX('كشف الحساب'!$C$4:$C$203,IFERROR(MATCH(124,'كشف الحساب'!$N$4:$N$203,0),0))),"")</f>
        <v/>
      </c>
      <c r="D128" s="97">
        <f>IFERROR(IF(IFERROR(MATCH(124,'كشف الحساب'!$N$4:$N$203,0),0)=0,"",INDEX('كشف الحساب'!$D$4:$D$203,IFERROR(MATCH(124,'كشف الحساب'!$N$4:$N$203,0),0))),"")</f>
        <v/>
      </c>
      <c r="E128" s="98">
        <f>IFERROR(IF(IFERROR(MATCH(124,'كشف الحساب'!$N$4:$N$203,0),0)=0,"",INDEX('كشف الحساب'!$E$4:$E$203,IFERROR(MATCH(124,'كشف الحساب'!$N$4:$N$203,0),0))),"")</f>
        <v/>
      </c>
      <c r="F128" s="95">
        <f>IFERROR(IF(IFERROR(MATCH(124,'كشف الحساب'!$N$4:$N$203,0),0)=0,"",INDEX('كشف الحساب'!$F$4:$F$203,IFERROR(MATCH(124,'كشف الحساب'!$N$4:$N$203,0),0))),"")</f>
        <v/>
      </c>
      <c r="G128" s="95">
        <f>IFERROR(IF(IFERROR(MATCH(124,'كشف الحساب'!$N$4:$N$203,0),0)=0,"",INDEX('كشف الحساب'!$G$4:$G$203,IFERROR(MATCH(124,'كشف الحساب'!$N$4:$N$203,0),0))),"")</f>
        <v/>
      </c>
      <c r="H128" s="95">
        <f>IFERROR(IF(IFERROR(MATCH(124,'كشف الحساب'!$N$4:$N$203,0),0)=0,"",INDEX('كشف الحساب'!$H$4:$H$203,IFERROR(MATCH(124,'كشف الحساب'!$N$4:$N$203,0),0))),"")</f>
        <v/>
      </c>
      <c r="I128" s="95">
        <f>IFERROR(IF(IFERROR(MATCH(124,'كشف الحساب'!$N$4:$N$203,0),0)=0,"",INDEX('كشف الحساب'!$I$4:$I$203,IFERROR(MATCH(124,'كشف الحساب'!$N$4:$N$203,0),0))),"")</f>
        <v/>
      </c>
      <c r="J128" s="99">
        <f>IFERROR(IF(IFERROR(MATCH(124,'كشف الحساب'!$N$4:$N$203,0),0)=0,"",INDEX('كشف الحساب'!$J$4:$J$203,IFERROR(MATCH(124,'كشف الحساب'!$N$4:$N$203,0),0))),"")</f>
        <v/>
      </c>
      <c r="K128" s="95">
        <f>IFERROR(IF(IFERROR(MATCH(124,'كشف الحساب'!$N$4:$N$203,0),0)=0,"",INDEX('كشف الحساب'!$K$4:$K$203,IFERROR(MATCH(124,'كشف الحساب'!$N$4:$N$203,0),0))),"")</f>
        <v/>
      </c>
    </row>
    <row r="129" ht="15" customHeight="1" s="67">
      <c r="A129" s="88">
        <f>IFERROR(IF(IFERROR(MATCH(125,'كشف الحساب'!$N$4:$N$203,0),0)=0,"",INDEX('كشف الحساب'!$A$4:$A$203,IFERROR(MATCH(125,'كشف الحساب'!$N$4:$N$203,0),0))),"")</f>
        <v/>
      </c>
      <c r="B129" s="89">
        <f>IFERROR(IF(IFERROR(MATCH(125,'كشف الحساب'!$N$4:$N$203,0),0)=0,"",INDEX('كشف الحساب'!$B$4:$B$203,IFERROR(MATCH(125,'كشف الحساب'!$N$4:$N$203,0),0))),"")</f>
        <v/>
      </c>
      <c r="C129" s="90">
        <f>IFERROR(IF(IFERROR(MATCH(125,'كشف الحساب'!$N$4:$N$203,0),0)=0,"",INDEX('كشف الحساب'!$C$4:$C$203,IFERROR(MATCH(125,'كشف الحساب'!$N$4:$N$203,0),0))),"")</f>
        <v/>
      </c>
      <c r="D129" s="91">
        <f>IFERROR(IF(IFERROR(MATCH(125,'كشف الحساب'!$N$4:$N$203,0),0)=0,"",INDEX('كشف الحساب'!$D$4:$D$203,IFERROR(MATCH(125,'كشف الحساب'!$N$4:$N$203,0),0))),"")</f>
        <v/>
      </c>
      <c r="E129" s="92">
        <f>IFERROR(IF(IFERROR(MATCH(125,'كشف الحساب'!$N$4:$N$203,0),0)=0,"",INDEX('كشف الحساب'!$E$4:$E$203,IFERROR(MATCH(125,'كشف الحساب'!$N$4:$N$203,0),0))),"")</f>
        <v/>
      </c>
      <c r="F129" s="89">
        <f>IFERROR(IF(IFERROR(MATCH(125,'كشف الحساب'!$N$4:$N$203,0),0)=0,"",INDEX('كشف الحساب'!$F$4:$F$203,IFERROR(MATCH(125,'كشف الحساب'!$N$4:$N$203,0),0))),"")</f>
        <v/>
      </c>
      <c r="G129" s="89">
        <f>IFERROR(IF(IFERROR(MATCH(125,'كشف الحساب'!$N$4:$N$203,0),0)=0,"",INDEX('كشف الحساب'!$G$4:$G$203,IFERROR(MATCH(125,'كشف الحساب'!$N$4:$N$203,0),0))),"")</f>
        <v/>
      </c>
      <c r="H129" s="89">
        <f>IFERROR(IF(IFERROR(MATCH(125,'كشف الحساب'!$N$4:$N$203,0),0)=0,"",INDEX('كشف الحساب'!$H$4:$H$203,IFERROR(MATCH(125,'كشف الحساب'!$N$4:$N$203,0),0))),"")</f>
        <v/>
      </c>
      <c r="I129" s="89">
        <f>IFERROR(IF(IFERROR(MATCH(125,'كشف الحساب'!$N$4:$N$203,0),0)=0,"",INDEX('كشف الحساب'!$I$4:$I$203,IFERROR(MATCH(125,'كشف الحساب'!$N$4:$N$203,0),0))),"")</f>
        <v/>
      </c>
      <c r="J129" s="93">
        <f>IFERROR(IF(IFERROR(MATCH(125,'كشف الحساب'!$N$4:$N$203,0),0)=0,"",INDEX('كشف الحساب'!$J$4:$J$203,IFERROR(MATCH(125,'كشف الحساب'!$N$4:$N$203,0),0))),"")</f>
        <v/>
      </c>
      <c r="K129" s="89">
        <f>IFERROR(IF(IFERROR(MATCH(125,'كشف الحساب'!$N$4:$N$203,0),0)=0,"",INDEX('كشف الحساب'!$K$4:$K$203,IFERROR(MATCH(125,'كشف الحساب'!$N$4:$N$203,0),0))),"")</f>
        <v/>
      </c>
    </row>
    <row r="130" ht="15" customHeight="1" s="67">
      <c r="A130" s="94">
        <f>IFERROR(IF(IFERROR(MATCH(126,'كشف الحساب'!$N$4:$N$203,0),0)=0,"",INDEX('كشف الحساب'!$A$4:$A$203,IFERROR(MATCH(126,'كشف الحساب'!$N$4:$N$203,0),0))),"")</f>
        <v/>
      </c>
      <c r="B130" s="95">
        <f>IFERROR(IF(IFERROR(MATCH(126,'كشف الحساب'!$N$4:$N$203,0),0)=0,"",INDEX('كشف الحساب'!$B$4:$B$203,IFERROR(MATCH(126,'كشف الحساب'!$N$4:$N$203,0),0))),"")</f>
        <v/>
      </c>
      <c r="C130" s="96">
        <f>IFERROR(IF(IFERROR(MATCH(126,'كشف الحساب'!$N$4:$N$203,0),0)=0,"",INDEX('كشف الحساب'!$C$4:$C$203,IFERROR(MATCH(126,'كشف الحساب'!$N$4:$N$203,0),0))),"")</f>
        <v/>
      </c>
      <c r="D130" s="97">
        <f>IFERROR(IF(IFERROR(MATCH(126,'كشف الحساب'!$N$4:$N$203,0),0)=0,"",INDEX('كشف الحساب'!$D$4:$D$203,IFERROR(MATCH(126,'كشف الحساب'!$N$4:$N$203,0),0))),"")</f>
        <v/>
      </c>
      <c r="E130" s="98">
        <f>IFERROR(IF(IFERROR(MATCH(126,'كشف الحساب'!$N$4:$N$203,0),0)=0,"",INDEX('كشف الحساب'!$E$4:$E$203,IFERROR(MATCH(126,'كشف الحساب'!$N$4:$N$203,0),0))),"")</f>
        <v/>
      </c>
      <c r="F130" s="95">
        <f>IFERROR(IF(IFERROR(MATCH(126,'كشف الحساب'!$N$4:$N$203,0),0)=0,"",INDEX('كشف الحساب'!$F$4:$F$203,IFERROR(MATCH(126,'كشف الحساب'!$N$4:$N$203,0),0))),"")</f>
        <v/>
      </c>
      <c r="G130" s="95">
        <f>IFERROR(IF(IFERROR(MATCH(126,'كشف الحساب'!$N$4:$N$203,0),0)=0,"",INDEX('كشف الحساب'!$G$4:$G$203,IFERROR(MATCH(126,'كشف الحساب'!$N$4:$N$203,0),0))),"")</f>
        <v/>
      </c>
      <c r="H130" s="95">
        <f>IFERROR(IF(IFERROR(MATCH(126,'كشف الحساب'!$N$4:$N$203,0),0)=0,"",INDEX('كشف الحساب'!$H$4:$H$203,IFERROR(MATCH(126,'كشف الحساب'!$N$4:$N$203,0),0))),"")</f>
        <v/>
      </c>
      <c r="I130" s="95">
        <f>IFERROR(IF(IFERROR(MATCH(126,'كشف الحساب'!$N$4:$N$203,0),0)=0,"",INDEX('كشف الحساب'!$I$4:$I$203,IFERROR(MATCH(126,'كشف الحساب'!$N$4:$N$203,0),0))),"")</f>
        <v/>
      </c>
      <c r="J130" s="99">
        <f>IFERROR(IF(IFERROR(MATCH(126,'كشف الحساب'!$N$4:$N$203,0),0)=0,"",INDEX('كشف الحساب'!$J$4:$J$203,IFERROR(MATCH(126,'كشف الحساب'!$N$4:$N$203,0),0))),"")</f>
        <v/>
      </c>
      <c r="K130" s="95">
        <f>IFERROR(IF(IFERROR(MATCH(126,'كشف الحساب'!$N$4:$N$203,0),0)=0,"",INDEX('كشف الحساب'!$K$4:$K$203,IFERROR(MATCH(126,'كشف الحساب'!$N$4:$N$203,0),0))),"")</f>
        <v/>
      </c>
    </row>
    <row r="131" ht="15" customHeight="1" s="67">
      <c r="A131" s="88">
        <f>IFERROR(IF(IFERROR(MATCH(127,'كشف الحساب'!$N$4:$N$203,0),0)=0,"",INDEX('كشف الحساب'!$A$4:$A$203,IFERROR(MATCH(127,'كشف الحساب'!$N$4:$N$203,0),0))),"")</f>
        <v/>
      </c>
      <c r="B131" s="89">
        <f>IFERROR(IF(IFERROR(MATCH(127,'كشف الحساب'!$N$4:$N$203,0),0)=0,"",INDEX('كشف الحساب'!$B$4:$B$203,IFERROR(MATCH(127,'كشف الحساب'!$N$4:$N$203,0),0))),"")</f>
        <v/>
      </c>
      <c r="C131" s="90">
        <f>IFERROR(IF(IFERROR(MATCH(127,'كشف الحساب'!$N$4:$N$203,0),0)=0,"",INDEX('كشف الحساب'!$C$4:$C$203,IFERROR(MATCH(127,'كشف الحساب'!$N$4:$N$203,0),0))),"")</f>
        <v/>
      </c>
      <c r="D131" s="91">
        <f>IFERROR(IF(IFERROR(MATCH(127,'كشف الحساب'!$N$4:$N$203,0),0)=0,"",INDEX('كشف الحساب'!$D$4:$D$203,IFERROR(MATCH(127,'كشف الحساب'!$N$4:$N$203,0),0))),"")</f>
        <v/>
      </c>
      <c r="E131" s="92">
        <f>IFERROR(IF(IFERROR(MATCH(127,'كشف الحساب'!$N$4:$N$203,0),0)=0,"",INDEX('كشف الحساب'!$E$4:$E$203,IFERROR(MATCH(127,'كشف الحساب'!$N$4:$N$203,0),0))),"")</f>
        <v/>
      </c>
      <c r="F131" s="89">
        <f>IFERROR(IF(IFERROR(MATCH(127,'كشف الحساب'!$N$4:$N$203,0),0)=0,"",INDEX('كشف الحساب'!$F$4:$F$203,IFERROR(MATCH(127,'كشف الحساب'!$N$4:$N$203,0),0))),"")</f>
        <v/>
      </c>
      <c r="G131" s="89">
        <f>IFERROR(IF(IFERROR(MATCH(127,'كشف الحساب'!$N$4:$N$203,0),0)=0,"",INDEX('كشف الحساب'!$G$4:$G$203,IFERROR(MATCH(127,'كشف الحساب'!$N$4:$N$203,0),0))),"")</f>
        <v/>
      </c>
      <c r="H131" s="89">
        <f>IFERROR(IF(IFERROR(MATCH(127,'كشف الحساب'!$N$4:$N$203,0),0)=0,"",INDEX('كشف الحساب'!$H$4:$H$203,IFERROR(MATCH(127,'كشف الحساب'!$N$4:$N$203,0),0))),"")</f>
        <v/>
      </c>
      <c r="I131" s="89">
        <f>IFERROR(IF(IFERROR(MATCH(127,'كشف الحساب'!$N$4:$N$203,0),0)=0,"",INDEX('كشف الحساب'!$I$4:$I$203,IFERROR(MATCH(127,'كشف الحساب'!$N$4:$N$203,0),0))),"")</f>
        <v/>
      </c>
      <c r="J131" s="93">
        <f>IFERROR(IF(IFERROR(MATCH(127,'كشف الحساب'!$N$4:$N$203,0),0)=0,"",INDEX('كشف الحساب'!$J$4:$J$203,IFERROR(MATCH(127,'كشف الحساب'!$N$4:$N$203,0),0))),"")</f>
        <v/>
      </c>
      <c r="K131" s="89">
        <f>IFERROR(IF(IFERROR(MATCH(127,'كشف الحساب'!$N$4:$N$203,0),0)=0,"",INDEX('كشف الحساب'!$K$4:$K$203,IFERROR(MATCH(127,'كشف الحساب'!$N$4:$N$203,0),0))),"")</f>
        <v/>
      </c>
    </row>
    <row r="132" ht="15" customHeight="1" s="67">
      <c r="A132" s="94">
        <f>IFERROR(IF(IFERROR(MATCH(128,'كشف الحساب'!$N$4:$N$203,0),0)=0,"",INDEX('كشف الحساب'!$A$4:$A$203,IFERROR(MATCH(128,'كشف الحساب'!$N$4:$N$203,0),0))),"")</f>
        <v/>
      </c>
      <c r="B132" s="95">
        <f>IFERROR(IF(IFERROR(MATCH(128,'كشف الحساب'!$N$4:$N$203,0),0)=0,"",INDEX('كشف الحساب'!$B$4:$B$203,IFERROR(MATCH(128,'كشف الحساب'!$N$4:$N$203,0),0))),"")</f>
        <v/>
      </c>
      <c r="C132" s="96">
        <f>IFERROR(IF(IFERROR(MATCH(128,'كشف الحساب'!$N$4:$N$203,0),0)=0,"",INDEX('كشف الحساب'!$C$4:$C$203,IFERROR(MATCH(128,'كشف الحساب'!$N$4:$N$203,0),0))),"")</f>
        <v/>
      </c>
      <c r="D132" s="97">
        <f>IFERROR(IF(IFERROR(MATCH(128,'كشف الحساب'!$N$4:$N$203,0),0)=0,"",INDEX('كشف الحساب'!$D$4:$D$203,IFERROR(MATCH(128,'كشف الحساب'!$N$4:$N$203,0),0))),"")</f>
        <v/>
      </c>
      <c r="E132" s="98">
        <f>IFERROR(IF(IFERROR(MATCH(128,'كشف الحساب'!$N$4:$N$203,0),0)=0,"",INDEX('كشف الحساب'!$E$4:$E$203,IFERROR(MATCH(128,'كشف الحساب'!$N$4:$N$203,0),0))),"")</f>
        <v/>
      </c>
      <c r="F132" s="95">
        <f>IFERROR(IF(IFERROR(MATCH(128,'كشف الحساب'!$N$4:$N$203,0),0)=0,"",INDEX('كشف الحساب'!$F$4:$F$203,IFERROR(MATCH(128,'كشف الحساب'!$N$4:$N$203,0),0))),"")</f>
        <v/>
      </c>
      <c r="G132" s="95">
        <f>IFERROR(IF(IFERROR(MATCH(128,'كشف الحساب'!$N$4:$N$203,0),0)=0,"",INDEX('كشف الحساب'!$G$4:$G$203,IFERROR(MATCH(128,'كشف الحساب'!$N$4:$N$203,0),0))),"")</f>
        <v/>
      </c>
      <c r="H132" s="95">
        <f>IFERROR(IF(IFERROR(MATCH(128,'كشف الحساب'!$N$4:$N$203,0),0)=0,"",INDEX('كشف الحساب'!$H$4:$H$203,IFERROR(MATCH(128,'كشف الحساب'!$N$4:$N$203,0),0))),"")</f>
        <v/>
      </c>
      <c r="I132" s="95">
        <f>IFERROR(IF(IFERROR(MATCH(128,'كشف الحساب'!$N$4:$N$203,0),0)=0,"",INDEX('كشف الحساب'!$I$4:$I$203,IFERROR(MATCH(128,'كشف الحساب'!$N$4:$N$203,0),0))),"")</f>
        <v/>
      </c>
      <c r="J132" s="99">
        <f>IFERROR(IF(IFERROR(MATCH(128,'كشف الحساب'!$N$4:$N$203,0),0)=0,"",INDEX('كشف الحساب'!$J$4:$J$203,IFERROR(MATCH(128,'كشف الحساب'!$N$4:$N$203,0),0))),"")</f>
        <v/>
      </c>
      <c r="K132" s="95">
        <f>IFERROR(IF(IFERROR(MATCH(128,'كشف الحساب'!$N$4:$N$203,0),0)=0,"",INDEX('كشف الحساب'!$K$4:$K$203,IFERROR(MATCH(128,'كشف الحساب'!$N$4:$N$203,0),0))),"")</f>
        <v/>
      </c>
    </row>
    <row r="133" ht="15" customHeight="1" s="67">
      <c r="A133" s="88">
        <f>IFERROR(IF(IFERROR(MATCH(129,'كشف الحساب'!$N$4:$N$203,0),0)=0,"",INDEX('كشف الحساب'!$A$4:$A$203,IFERROR(MATCH(129,'كشف الحساب'!$N$4:$N$203,0),0))),"")</f>
        <v/>
      </c>
      <c r="B133" s="89">
        <f>IFERROR(IF(IFERROR(MATCH(129,'كشف الحساب'!$N$4:$N$203,0),0)=0,"",INDEX('كشف الحساب'!$B$4:$B$203,IFERROR(MATCH(129,'كشف الحساب'!$N$4:$N$203,0),0))),"")</f>
        <v/>
      </c>
      <c r="C133" s="90">
        <f>IFERROR(IF(IFERROR(MATCH(129,'كشف الحساب'!$N$4:$N$203,0),0)=0,"",INDEX('كشف الحساب'!$C$4:$C$203,IFERROR(MATCH(129,'كشف الحساب'!$N$4:$N$203,0),0))),"")</f>
        <v/>
      </c>
      <c r="D133" s="91">
        <f>IFERROR(IF(IFERROR(MATCH(129,'كشف الحساب'!$N$4:$N$203,0),0)=0,"",INDEX('كشف الحساب'!$D$4:$D$203,IFERROR(MATCH(129,'كشف الحساب'!$N$4:$N$203,0),0))),"")</f>
        <v/>
      </c>
      <c r="E133" s="92">
        <f>IFERROR(IF(IFERROR(MATCH(129,'كشف الحساب'!$N$4:$N$203,0),0)=0,"",INDEX('كشف الحساب'!$E$4:$E$203,IFERROR(MATCH(129,'كشف الحساب'!$N$4:$N$203,0),0))),"")</f>
        <v/>
      </c>
      <c r="F133" s="89">
        <f>IFERROR(IF(IFERROR(MATCH(129,'كشف الحساب'!$N$4:$N$203,0),0)=0,"",INDEX('كشف الحساب'!$F$4:$F$203,IFERROR(MATCH(129,'كشف الحساب'!$N$4:$N$203,0),0))),"")</f>
        <v/>
      </c>
      <c r="G133" s="89">
        <f>IFERROR(IF(IFERROR(MATCH(129,'كشف الحساب'!$N$4:$N$203,0),0)=0,"",INDEX('كشف الحساب'!$G$4:$G$203,IFERROR(MATCH(129,'كشف الحساب'!$N$4:$N$203,0),0))),"")</f>
        <v/>
      </c>
      <c r="H133" s="89">
        <f>IFERROR(IF(IFERROR(MATCH(129,'كشف الحساب'!$N$4:$N$203,0),0)=0,"",INDEX('كشف الحساب'!$H$4:$H$203,IFERROR(MATCH(129,'كشف الحساب'!$N$4:$N$203,0),0))),"")</f>
        <v/>
      </c>
      <c r="I133" s="89">
        <f>IFERROR(IF(IFERROR(MATCH(129,'كشف الحساب'!$N$4:$N$203,0),0)=0,"",INDEX('كشف الحساب'!$I$4:$I$203,IFERROR(MATCH(129,'كشف الحساب'!$N$4:$N$203,0),0))),"")</f>
        <v/>
      </c>
      <c r="J133" s="93">
        <f>IFERROR(IF(IFERROR(MATCH(129,'كشف الحساب'!$N$4:$N$203,0),0)=0,"",INDEX('كشف الحساب'!$J$4:$J$203,IFERROR(MATCH(129,'كشف الحساب'!$N$4:$N$203,0),0))),"")</f>
        <v/>
      </c>
      <c r="K133" s="89">
        <f>IFERROR(IF(IFERROR(MATCH(129,'كشف الحساب'!$N$4:$N$203,0),0)=0,"",INDEX('كشف الحساب'!$K$4:$K$203,IFERROR(MATCH(129,'كشف الحساب'!$N$4:$N$203,0),0))),"")</f>
        <v/>
      </c>
    </row>
    <row r="134" ht="15" customHeight="1" s="67">
      <c r="A134" s="94">
        <f>IFERROR(IF(IFERROR(MATCH(130,'كشف الحساب'!$N$4:$N$203,0),0)=0,"",INDEX('كشف الحساب'!$A$4:$A$203,IFERROR(MATCH(130,'كشف الحساب'!$N$4:$N$203,0),0))),"")</f>
        <v/>
      </c>
      <c r="B134" s="95">
        <f>IFERROR(IF(IFERROR(MATCH(130,'كشف الحساب'!$N$4:$N$203,0),0)=0,"",INDEX('كشف الحساب'!$B$4:$B$203,IFERROR(MATCH(130,'كشف الحساب'!$N$4:$N$203,0),0))),"")</f>
        <v/>
      </c>
      <c r="C134" s="96">
        <f>IFERROR(IF(IFERROR(MATCH(130,'كشف الحساب'!$N$4:$N$203,0),0)=0,"",INDEX('كشف الحساب'!$C$4:$C$203,IFERROR(MATCH(130,'كشف الحساب'!$N$4:$N$203,0),0))),"")</f>
        <v/>
      </c>
      <c r="D134" s="97">
        <f>IFERROR(IF(IFERROR(MATCH(130,'كشف الحساب'!$N$4:$N$203,0),0)=0,"",INDEX('كشف الحساب'!$D$4:$D$203,IFERROR(MATCH(130,'كشف الحساب'!$N$4:$N$203,0),0))),"")</f>
        <v/>
      </c>
      <c r="E134" s="98">
        <f>IFERROR(IF(IFERROR(MATCH(130,'كشف الحساب'!$N$4:$N$203,0),0)=0,"",INDEX('كشف الحساب'!$E$4:$E$203,IFERROR(MATCH(130,'كشف الحساب'!$N$4:$N$203,0),0))),"")</f>
        <v/>
      </c>
      <c r="F134" s="95">
        <f>IFERROR(IF(IFERROR(MATCH(130,'كشف الحساب'!$N$4:$N$203,0),0)=0,"",INDEX('كشف الحساب'!$F$4:$F$203,IFERROR(MATCH(130,'كشف الحساب'!$N$4:$N$203,0),0))),"")</f>
        <v/>
      </c>
      <c r="G134" s="95">
        <f>IFERROR(IF(IFERROR(MATCH(130,'كشف الحساب'!$N$4:$N$203,0),0)=0,"",INDEX('كشف الحساب'!$G$4:$G$203,IFERROR(MATCH(130,'كشف الحساب'!$N$4:$N$203,0),0))),"")</f>
        <v/>
      </c>
      <c r="H134" s="95">
        <f>IFERROR(IF(IFERROR(MATCH(130,'كشف الحساب'!$N$4:$N$203,0),0)=0,"",INDEX('كشف الحساب'!$H$4:$H$203,IFERROR(MATCH(130,'كشف الحساب'!$N$4:$N$203,0),0))),"")</f>
        <v/>
      </c>
      <c r="I134" s="95">
        <f>IFERROR(IF(IFERROR(MATCH(130,'كشف الحساب'!$N$4:$N$203,0),0)=0,"",INDEX('كشف الحساب'!$I$4:$I$203,IFERROR(MATCH(130,'كشف الحساب'!$N$4:$N$203,0),0))),"")</f>
        <v/>
      </c>
      <c r="J134" s="99">
        <f>IFERROR(IF(IFERROR(MATCH(130,'كشف الحساب'!$N$4:$N$203,0),0)=0,"",INDEX('كشف الحساب'!$J$4:$J$203,IFERROR(MATCH(130,'كشف الحساب'!$N$4:$N$203,0),0))),"")</f>
        <v/>
      </c>
      <c r="K134" s="95">
        <f>IFERROR(IF(IFERROR(MATCH(130,'كشف الحساب'!$N$4:$N$203,0),0)=0,"",INDEX('كشف الحساب'!$K$4:$K$203,IFERROR(MATCH(130,'كشف الحساب'!$N$4:$N$203,0),0))),"")</f>
        <v/>
      </c>
    </row>
    <row r="135" ht="15" customHeight="1" s="67">
      <c r="A135" s="88">
        <f>IFERROR(IF(IFERROR(MATCH(131,'كشف الحساب'!$N$4:$N$203,0),0)=0,"",INDEX('كشف الحساب'!$A$4:$A$203,IFERROR(MATCH(131,'كشف الحساب'!$N$4:$N$203,0),0))),"")</f>
        <v/>
      </c>
      <c r="B135" s="89">
        <f>IFERROR(IF(IFERROR(MATCH(131,'كشف الحساب'!$N$4:$N$203,0),0)=0,"",INDEX('كشف الحساب'!$B$4:$B$203,IFERROR(MATCH(131,'كشف الحساب'!$N$4:$N$203,0),0))),"")</f>
        <v/>
      </c>
      <c r="C135" s="90">
        <f>IFERROR(IF(IFERROR(MATCH(131,'كشف الحساب'!$N$4:$N$203,0),0)=0,"",INDEX('كشف الحساب'!$C$4:$C$203,IFERROR(MATCH(131,'كشف الحساب'!$N$4:$N$203,0),0))),"")</f>
        <v/>
      </c>
      <c r="D135" s="91">
        <f>IFERROR(IF(IFERROR(MATCH(131,'كشف الحساب'!$N$4:$N$203,0),0)=0,"",INDEX('كشف الحساب'!$D$4:$D$203,IFERROR(MATCH(131,'كشف الحساب'!$N$4:$N$203,0),0))),"")</f>
        <v/>
      </c>
      <c r="E135" s="92">
        <f>IFERROR(IF(IFERROR(MATCH(131,'كشف الحساب'!$N$4:$N$203,0),0)=0,"",INDEX('كشف الحساب'!$E$4:$E$203,IFERROR(MATCH(131,'كشف الحساب'!$N$4:$N$203,0),0))),"")</f>
        <v/>
      </c>
      <c r="F135" s="89">
        <f>IFERROR(IF(IFERROR(MATCH(131,'كشف الحساب'!$N$4:$N$203,0),0)=0,"",INDEX('كشف الحساب'!$F$4:$F$203,IFERROR(MATCH(131,'كشف الحساب'!$N$4:$N$203,0),0))),"")</f>
        <v/>
      </c>
      <c r="G135" s="89">
        <f>IFERROR(IF(IFERROR(MATCH(131,'كشف الحساب'!$N$4:$N$203,0),0)=0,"",INDEX('كشف الحساب'!$G$4:$G$203,IFERROR(MATCH(131,'كشف الحساب'!$N$4:$N$203,0),0))),"")</f>
        <v/>
      </c>
      <c r="H135" s="89">
        <f>IFERROR(IF(IFERROR(MATCH(131,'كشف الحساب'!$N$4:$N$203,0),0)=0,"",INDEX('كشف الحساب'!$H$4:$H$203,IFERROR(MATCH(131,'كشف الحساب'!$N$4:$N$203,0),0))),"")</f>
        <v/>
      </c>
      <c r="I135" s="89">
        <f>IFERROR(IF(IFERROR(MATCH(131,'كشف الحساب'!$N$4:$N$203,0),0)=0,"",INDEX('كشف الحساب'!$I$4:$I$203,IFERROR(MATCH(131,'كشف الحساب'!$N$4:$N$203,0),0))),"")</f>
        <v/>
      </c>
      <c r="J135" s="93">
        <f>IFERROR(IF(IFERROR(MATCH(131,'كشف الحساب'!$N$4:$N$203,0),0)=0,"",INDEX('كشف الحساب'!$J$4:$J$203,IFERROR(MATCH(131,'كشف الحساب'!$N$4:$N$203,0),0))),"")</f>
        <v/>
      </c>
      <c r="K135" s="89">
        <f>IFERROR(IF(IFERROR(MATCH(131,'كشف الحساب'!$N$4:$N$203,0),0)=0,"",INDEX('كشف الحساب'!$K$4:$K$203,IFERROR(MATCH(131,'كشف الحساب'!$N$4:$N$203,0),0))),"")</f>
        <v/>
      </c>
    </row>
    <row r="136" ht="15" customHeight="1" s="67">
      <c r="A136" s="94">
        <f>IFERROR(IF(IFERROR(MATCH(132,'كشف الحساب'!$N$4:$N$203,0),0)=0,"",INDEX('كشف الحساب'!$A$4:$A$203,IFERROR(MATCH(132,'كشف الحساب'!$N$4:$N$203,0),0))),"")</f>
        <v/>
      </c>
      <c r="B136" s="95">
        <f>IFERROR(IF(IFERROR(MATCH(132,'كشف الحساب'!$N$4:$N$203,0),0)=0,"",INDEX('كشف الحساب'!$B$4:$B$203,IFERROR(MATCH(132,'كشف الحساب'!$N$4:$N$203,0),0))),"")</f>
        <v/>
      </c>
      <c r="C136" s="96">
        <f>IFERROR(IF(IFERROR(MATCH(132,'كشف الحساب'!$N$4:$N$203,0),0)=0,"",INDEX('كشف الحساب'!$C$4:$C$203,IFERROR(MATCH(132,'كشف الحساب'!$N$4:$N$203,0),0))),"")</f>
        <v/>
      </c>
      <c r="D136" s="97">
        <f>IFERROR(IF(IFERROR(MATCH(132,'كشف الحساب'!$N$4:$N$203,0),0)=0,"",INDEX('كشف الحساب'!$D$4:$D$203,IFERROR(MATCH(132,'كشف الحساب'!$N$4:$N$203,0),0))),"")</f>
        <v/>
      </c>
      <c r="E136" s="98">
        <f>IFERROR(IF(IFERROR(MATCH(132,'كشف الحساب'!$N$4:$N$203,0),0)=0,"",INDEX('كشف الحساب'!$E$4:$E$203,IFERROR(MATCH(132,'كشف الحساب'!$N$4:$N$203,0),0))),"")</f>
        <v/>
      </c>
      <c r="F136" s="95">
        <f>IFERROR(IF(IFERROR(MATCH(132,'كشف الحساب'!$N$4:$N$203,0),0)=0,"",INDEX('كشف الحساب'!$F$4:$F$203,IFERROR(MATCH(132,'كشف الحساب'!$N$4:$N$203,0),0))),"")</f>
        <v/>
      </c>
      <c r="G136" s="95">
        <f>IFERROR(IF(IFERROR(MATCH(132,'كشف الحساب'!$N$4:$N$203,0),0)=0,"",INDEX('كشف الحساب'!$G$4:$G$203,IFERROR(MATCH(132,'كشف الحساب'!$N$4:$N$203,0),0))),"")</f>
        <v/>
      </c>
      <c r="H136" s="95">
        <f>IFERROR(IF(IFERROR(MATCH(132,'كشف الحساب'!$N$4:$N$203,0),0)=0,"",INDEX('كشف الحساب'!$H$4:$H$203,IFERROR(MATCH(132,'كشف الحساب'!$N$4:$N$203,0),0))),"")</f>
        <v/>
      </c>
      <c r="I136" s="95">
        <f>IFERROR(IF(IFERROR(MATCH(132,'كشف الحساب'!$N$4:$N$203,0),0)=0,"",INDEX('كشف الحساب'!$I$4:$I$203,IFERROR(MATCH(132,'كشف الحساب'!$N$4:$N$203,0),0))),"")</f>
        <v/>
      </c>
      <c r="J136" s="99">
        <f>IFERROR(IF(IFERROR(MATCH(132,'كشف الحساب'!$N$4:$N$203,0),0)=0,"",INDEX('كشف الحساب'!$J$4:$J$203,IFERROR(MATCH(132,'كشف الحساب'!$N$4:$N$203,0),0))),"")</f>
        <v/>
      </c>
      <c r="K136" s="95">
        <f>IFERROR(IF(IFERROR(MATCH(132,'كشف الحساب'!$N$4:$N$203,0),0)=0,"",INDEX('كشف الحساب'!$K$4:$K$203,IFERROR(MATCH(132,'كشف الحساب'!$N$4:$N$203,0),0))),"")</f>
        <v/>
      </c>
    </row>
    <row r="137" ht="15" customHeight="1" s="67">
      <c r="A137" s="88">
        <f>IFERROR(IF(IFERROR(MATCH(133,'كشف الحساب'!$N$4:$N$203,0),0)=0,"",INDEX('كشف الحساب'!$A$4:$A$203,IFERROR(MATCH(133,'كشف الحساب'!$N$4:$N$203,0),0))),"")</f>
        <v/>
      </c>
      <c r="B137" s="89">
        <f>IFERROR(IF(IFERROR(MATCH(133,'كشف الحساب'!$N$4:$N$203,0),0)=0,"",INDEX('كشف الحساب'!$B$4:$B$203,IFERROR(MATCH(133,'كشف الحساب'!$N$4:$N$203,0),0))),"")</f>
        <v/>
      </c>
      <c r="C137" s="90">
        <f>IFERROR(IF(IFERROR(MATCH(133,'كشف الحساب'!$N$4:$N$203,0),0)=0,"",INDEX('كشف الحساب'!$C$4:$C$203,IFERROR(MATCH(133,'كشف الحساب'!$N$4:$N$203,0),0))),"")</f>
        <v/>
      </c>
      <c r="D137" s="91">
        <f>IFERROR(IF(IFERROR(MATCH(133,'كشف الحساب'!$N$4:$N$203,0),0)=0,"",INDEX('كشف الحساب'!$D$4:$D$203,IFERROR(MATCH(133,'كشف الحساب'!$N$4:$N$203,0),0))),"")</f>
        <v/>
      </c>
      <c r="E137" s="92">
        <f>IFERROR(IF(IFERROR(MATCH(133,'كشف الحساب'!$N$4:$N$203,0),0)=0,"",INDEX('كشف الحساب'!$E$4:$E$203,IFERROR(MATCH(133,'كشف الحساب'!$N$4:$N$203,0),0))),"")</f>
        <v/>
      </c>
      <c r="F137" s="89">
        <f>IFERROR(IF(IFERROR(MATCH(133,'كشف الحساب'!$N$4:$N$203,0),0)=0,"",INDEX('كشف الحساب'!$F$4:$F$203,IFERROR(MATCH(133,'كشف الحساب'!$N$4:$N$203,0),0))),"")</f>
        <v/>
      </c>
      <c r="G137" s="89">
        <f>IFERROR(IF(IFERROR(MATCH(133,'كشف الحساب'!$N$4:$N$203,0),0)=0,"",INDEX('كشف الحساب'!$G$4:$G$203,IFERROR(MATCH(133,'كشف الحساب'!$N$4:$N$203,0),0))),"")</f>
        <v/>
      </c>
      <c r="H137" s="89">
        <f>IFERROR(IF(IFERROR(MATCH(133,'كشف الحساب'!$N$4:$N$203,0),0)=0,"",INDEX('كشف الحساب'!$H$4:$H$203,IFERROR(MATCH(133,'كشف الحساب'!$N$4:$N$203,0),0))),"")</f>
        <v/>
      </c>
      <c r="I137" s="89">
        <f>IFERROR(IF(IFERROR(MATCH(133,'كشف الحساب'!$N$4:$N$203,0),0)=0,"",INDEX('كشف الحساب'!$I$4:$I$203,IFERROR(MATCH(133,'كشف الحساب'!$N$4:$N$203,0),0))),"")</f>
        <v/>
      </c>
      <c r="J137" s="93">
        <f>IFERROR(IF(IFERROR(MATCH(133,'كشف الحساب'!$N$4:$N$203,0),0)=0,"",INDEX('كشف الحساب'!$J$4:$J$203,IFERROR(MATCH(133,'كشف الحساب'!$N$4:$N$203,0),0))),"")</f>
        <v/>
      </c>
      <c r="K137" s="89">
        <f>IFERROR(IF(IFERROR(MATCH(133,'كشف الحساب'!$N$4:$N$203,0),0)=0,"",INDEX('كشف الحساب'!$K$4:$K$203,IFERROR(MATCH(133,'كشف الحساب'!$N$4:$N$203,0),0))),"")</f>
        <v/>
      </c>
    </row>
    <row r="138" ht="15" customHeight="1" s="67">
      <c r="A138" s="94">
        <f>IFERROR(IF(IFERROR(MATCH(134,'كشف الحساب'!$N$4:$N$203,0),0)=0,"",INDEX('كشف الحساب'!$A$4:$A$203,IFERROR(MATCH(134,'كشف الحساب'!$N$4:$N$203,0),0))),"")</f>
        <v/>
      </c>
      <c r="B138" s="95">
        <f>IFERROR(IF(IFERROR(MATCH(134,'كشف الحساب'!$N$4:$N$203,0),0)=0,"",INDEX('كشف الحساب'!$B$4:$B$203,IFERROR(MATCH(134,'كشف الحساب'!$N$4:$N$203,0),0))),"")</f>
        <v/>
      </c>
      <c r="C138" s="96">
        <f>IFERROR(IF(IFERROR(MATCH(134,'كشف الحساب'!$N$4:$N$203,0),0)=0,"",INDEX('كشف الحساب'!$C$4:$C$203,IFERROR(MATCH(134,'كشف الحساب'!$N$4:$N$203,0),0))),"")</f>
        <v/>
      </c>
      <c r="D138" s="97">
        <f>IFERROR(IF(IFERROR(MATCH(134,'كشف الحساب'!$N$4:$N$203,0),0)=0,"",INDEX('كشف الحساب'!$D$4:$D$203,IFERROR(MATCH(134,'كشف الحساب'!$N$4:$N$203,0),0))),"")</f>
        <v/>
      </c>
      <c r="E138" s="98">
        <f>IFERROR(IF(IFERROR(MATCH(134,'كشف الحساب'!$N$4:$N$203,0),0)=0,"",INDEX('كشف الحساب'!$E$4:$E$203,IFERROR(MATCH(134,'كشف الحساب'!$N$4:$N$203,0),0))),"")</f>
        <v/>
      </c>
      <c r="F138" s="95">
        <f>IFERROR(IF(IFERROR(MATCH(134,'كشف الحساب'!$N$4:$N$203,0),0)=0,"",INDEX('كشف الحساب'!$F$4:$F$203,IFERROR(MATCH(134,'كشف الحساب'!$N$4:$N$203,0),0))),"")</f>
        <v/>
      </c>
      <c r="G138" s="95">
        <f>IFERROR(IF(IFERROR(MATCH(134,'كشف الحساب'!$N$4:$N$203,0),0)=0,"",INDEX('كشف الحساب'!$G$4:$G$203,IFERROR(MATCH(134,'كشف الحساب'!$N$4:$N$203,0),0))),"")</f>
        <v/>
      </c>
      <c r="H138" s="95">
        <f>IFERROR(IF(IFERROR(MATCH(134,'كشف الحساب'!$N$4:$N$203,0),0)=0,"",INDEX('كشف الحساب'!$H$4:$H$203,IFERROR(MATCH(134,'كشف الحساب'!$N$4:$N$203,0),0))),"")</f>
        <v/>
      </c>
      <c r="I138" s="95">
        <f>IFERROR(IF(IFERROR(MATCH(134,'كشف الحساب'!$N$4:$N$203,0),0)=0,"",INDEX('كشف الحساب'!$I$4:$I$203,IFERROR(MATCH(134,'كشف الحساب'!$N$4:$N$203,0),0))),"")</f>
        <v/>
      </c>
      <c r="J138" s="99">
        <f>IFERROR(IF(IFERROR(MATCH(134,'كشف الحساب'!$N$4:$N$203,0),0)=0,"",INDEX('كشف الحساب'!$J$4:$J$203,IFERROR(MATCH(134,'كشف الحساب'!$N$4:$N$203,0),0))),"")</f>
        <v/>
      </c>
      <c r="K138" s="95">
        <f>IFERROR(IF(IFERROR(MATCH(134,'كشف الحساب'!$N$4:$N$203,0),0)=0,"",INDEX('كشف الحساب'!$K$4:$K$203,IFERROR(MATCH(134,'كشف الحساب'!$N$4:$N$203,0),0))),"")</f>
        <v/>
      </c>
    </row>
    <row r="139" ht="15" customHeight="1" s="67">
      <c r="A139" s="88">
        <f>IFERROR(IF(IFERROR(MATCH(135,'كشف الحساب'!$N$4:$N$203,0),0)=0,"",INDEX('كشف الحساب'!$A$4:$A$203,IFERROR(MATCH(135,'كشف الحساب'!$N$4:$N$203,0),0))),"")</f>
        <v/>
      </c>
      <c r="B139" s="89">
        <f>IFERROR(IF(IFERROR(MATCH(135,'كشف الحساب'!$N$4:$N$203,0),0)=0,"",INDEX('كشف الحساب'!$B$4:$B$203,IFERROR(MATCH(135,'كشف الحساب'!$N$4:$N$203,0),0))),"")</f>
        <v/>
      </c>
      <c r="C139" s="90">
        <f>IFERROR(IF(IFERROR(MATCH(135,'كشف الحساب'!$N$4:$N$203,0),0)=0,"",INDEX('كشف الحساب'!$C$4:$C$203,IFERROR(MATCH(135,'كشف الحساب'!$N$4:$N$203,0),0))),"")</f>
        <v/>
      </c>
      <c r="D139" s="91">
        <f>IFERROR(IF(IFERROR(MATCH(135,'كشف الحساب'!$N$4:$N$203,0),0)=0,"",INDEX('كشف الحساب'!$D$4:$D$203,IFERROR(MATCH(135,'كشف الحساب'!$N$4:$N$203,0),0))),"")</f>
        <v/>
      </c>
      <c r="E139" s="92">
        <f>IFERROR(IF(IFERROR(MATCH(135,'كشف الحساب'!$N$4:$N$203,0),0)=0,"",INDEX('كشف الحساب'!$E$4:$E$203,IFERROR(MATCH(135,'كشف الحساب'!$N$4:$N$203,0),0))),"")</f>
        <v/>
      </c>
      <c r="F139" s="89">
        <f>IFERROR(IF(IFERROR(MATCH(135,'كشف الحساب'!$N$4:$N$203,0),0)=0,"",INDEX('كشف الحساب'!$F$4:$F$203,IFERROR(MATCH(135,'كشف الحساب'!$N$4:$N$203,0),0))),"")</f>
        <v/>
      </c>
      <c r="G139" s="89">
        <f>IFERROR(IF(IFERROR(MATCH(135,'كشف الحساب'!$N$4:$N$203,0),0)=0,"",INDEX('كشف الحساب'!$G$4:$G$203,IFERROR(MATCH(135,'كشف الحساب'!$N$4:$N$203,0),0))),"")</f>
        <v/>
      </c>
      <c r="H139" s="89">
        <f>IFERROR(IF(IFERROR(MATCH(135,'كشف الحساب'!$N$4:$N$203,0),0)=0,"",INDEX('كشف الحساب'!$H$4:$H$203,IFERROR(MATCH(135,'كشف الحساب'!$N$4:$N$203,0),0))),"")</f>
        <v/>
      </c>
      <c r="I139" s="89">
        <f>IFERROR(IF(IFERROR(MATCH(135,'كشف الحساب'!$N$4:$N$203,0),0)=0,"",INDEX('كشف الحساب'!$I$4:$I$203,IFERROR(MATCH(135,'كشف الحساب'!$N$4:$N$203,0),0))),"")</f>
        <v/>
      </c>
      <c r="J139" s="93">
        <f>IFERROR(IF(IFERROR(MATCH(135,'كشف الحساب'!$N$4:$N$203,0),0)=0,"",INDEX('كشف الحساب'!$J$4:$J$203,IFERROR(MATCH(135,'كشف الحساب'!$N$4:$N$203,0),0))),"")</f>
        <v/>
      </c>
      <c r="K139" s="89">
        <f>IFERROR(IF(IFERROR(MATCH(135,'كشف الحساب'!$N$4:$N$203,0),0)=0,"",INDEX('كشف الحساب'!$K$4:$K$203,IFERROR(MATCH(135,'كشف الحساب'!$N$4:$N$203,0),0))),"")</f>
        <v/>
      </c>
    </row>
    <row r="140" ht="15" customHeight="1" s="67">
      <c r="A140" s="94">
        <f>IFERROR(IF(IFERROR(MATCH(136,'كشف الحساب'!$N$4:$N$203,0),0)=0,"",INDEX('كشف الحساب'!$A$4:$A$203,IFERROR(MATCH(136,'كشف الحساب'!$N$4:$N$203,0),0))),"")</f>
        <v/>
      </c>
      <c r="B140" s="95">
        <f>IFERROR(IF(IFERROR(MATCH(136,'كشف الحساب'!$N$4:$N$203,0),0)=0,"",INDEX('كشف الحساب'!$B$4:$B$203,IFERROR(MATCH(136,'كشف الحساب'!$N$4:$N$203,0),0))),"")</f>
        <v/>
      </c>
      <c r="C140" s="96">
        <f>IFERROR(IF(IFERROR(MATCH(136,'كشف الحساب'!$N$4:$N$203,0),0)=0,"",INDEX('كشف الحساب'!$C$4:$C$203,IFERROR(MATCH(136,'كشف الحساب'!$N$4:$N$203,0),0))),"")</f>
        <v/>
      </c>
      <c r="D140" s="97">
        <f>IFERROR(IF(IFERROR(MATCH(136,'كشف الحساب'!$N$4:$N$203,0),0)=0,"",INDEX('كشف الحساب'!$D$4:$D$203,IFERROR(MATCH(136,'كشف الحساب'!$N$4:$N$203,0),0))),"")</f>
        <v/>
      </c>
      <c r="E140" s="98">
        <f>IFERROR(IF(IFERROR(MATCH(136,'كشف الحساب'!$N$4:$N$203,0),0)=0,"",INDEX('كشف الحساب'!$E$4:$E$203,IFERROR(MATCH(136,'كشف الحساب'!$N$4:$N$203,0),0))),"")</f>
        <v/>
      </c>
      <c r="F140" s="95">
        <f>IFERROR(IF(IFERROR(MATCH(136,'كشف الحساب'!$N$4:$N$203,0),0)=0,"",INDEX('كشف الحساب'!$F$4:$F$203,IFERROR(MATCH(136,'كشف الحساب'!$N$4:$N$203,0),0))),"")</f>
        <v/>
      </c>
      <c r="G140" s="95">
        <f>IFERROR(IF(IFERROR(MATCH(136,'كشف الحساب'!$N$4:$N$203,0),0)=0,"",INDEX('كشف الحساب'!$G$4:$G$203,IFERROR(MATCH(136,'كشف الحساب'!$N$4:$N$203,0),0))),"")</f>
        <v/>
      </c>
      <c r="H140" s="95">
        <f>IFERROR(IF(IFERROR(MATCH(136,'كشف الحساب'!$N$4:$N$203,0),0)=0,"",INDEX('كشف الحساب'!$H$4:$H$203,IFERROR(MATCH(136,'كشف الحساب'!$N$4:$N$203,0),0))),"")</f>
        <v/>
      </c>
      <c r="I140" s="95">
        <f>IFERROR(IF(IFERROR(MATCH(136,'كشف الحساب'!$N$4:$N$203,0),0)=0,"",INDEX('كشف الحساب'!$I$4:$I$203,IFERROR(MATCH(136,'كشف الحساب'!$N$4:$N$203,0),0))),"")</f>
        <v/>
      </c>
      <c r="J140" s="99">
        <f>IFERROR(IF(IFERROR(MATCH(136,'كشف الحساب'!$N$4:$N$203,0),0)=0,"",INDEX('كشف الحساب'!$J$4:$J$203,IFERROR(MATCH(136,'كشف الحساب'!$N$4:$N$203,0),0))),"")</f>
        <v/>
      </c>
      <c r="K140" s="95">
        <f>IFERROR(IF(IFERROR(MATCH(136,'كشف الحساب'!$N$4:$N$203,0),0)=0,"",INDEX('كشف الحساب'!$K$4:$K$203,IFERROR(MATCH(136,'كشف الحساب'!$N$4:$N$203,0),0))),"")</f>
        <v/>
      </c>
    </row>
    <row r="141" ht="15" customHeight="1" s="67">
      <c r="A141" s="88">
        <f>IFERROR(IF(IFERROR(MATCH(137,'كشف الحساب'!$N$4:$N$203,0),0)=0,"",INDEX('كشف الحساب'!$A$4:$A$203,IFERROR(MATCH(137,'كشف الحساب'!$N$4:$N$203,0),0))),"")</f>
        <v/>
      </c>
      <c r="B141" s="89">
        <f>IFERROR(IF(IFERROR(MATCH(137,'كشف الحساب'!$N$4:$N$203,0),0)=0,"",INDEX('كشف الحساب'!$B$4:$B$203,IFERROR(MATCH(137,'كشف الحساب'!$N$4:$N$203,0),0))),"")</f>
        <v/>
      </c>
      <c r="C141" s="90">
        <f>IFERROR(IF(IFERROR(MATCH(137,'كشف الحساب'!$N$4:$N$203,0),0)=0,"",INDEX('كشف الحساب'!$C$4:$C$203,IFERROR(MATCH(137,'كشف الحساب'!$N$4:$N$203,0),0))),"")</f>
        <v/>
      </c>
      <c r="D141" s="91">
        <f>IFERROR(IF(IFERROR(MATCH(137,'كشف الحساب'!$N$4:$N$203,0),0)=0,"",INDEX('كشف الحساب'!$D$4:$D$203,IFERROR(MATCH(137,'كشف الحساب'!$N$4:$N$203,0),0))),"")</f>
        <v/>
      </c>
      <c r="E141" s="92">
        <f>IFERROR(IF(IFERROR(MATCH(137,'كشف الحساب'!$N$4:$N$203,0),0)=0,"",INDEX('كشف الحساب'!$E$4:$E$203,IFERROR(MATCH(137,'كشف الحساب'!$N$4:$N$203,0),0))),"")</f>
        <v/>
      </c>
      <c r="F141" s="89">
        <f>IFERROR(IF(IFERROR(MATCH(137,'كشف الحساب'!$N$4:$N$203,0),0)=0,"",INDEX('كشف الحساب'!$F$4:$F$203,IFERROR(MATCH(137,'كشف الحساب'!$N$4:$N$203,0),0))),"")</f>
        <v/>
      </c>
      <c r="G141" s="89">
        <f>IFERROR(IF(IFERROR(MATCH(137,'كشف الحساب'!$N$4:$N$203,0),0)=0,"",INDEX('كشف الحساب'!$G$4:$G$203,IFERROR(MATCH(137,'كشف الحساب'!$N$4:$N$203,0),0))),"")</f>
        <v/>
      </c>
      <c r="H141" s="89">
        <f>IFERROR(IF(IFERROR(MATCH(137,'كشف الحساب'!$N$4:$N$203,0),0)=0,"",INDEX('كشف الحساب'!$H$4:$H$203,IFERROR(MATCH(137,'كشف الحساب'!$N$4:$N$203,0),0))),"")</f>
        <v/>
      </c>
      <c r="I141" s="89">
        <f>IFERROR(IF(IFERROR(MATCH(137,'كشف الحساب'!$N$4:$N$203,0),0)=0,"",INDEX('كشف الحساب'!$I$4:$I$203,IFERROR(MATCH(137,'كشف الحساب'!$N$4:$N$203,0),0))),"")</f>
        <v/>
      </c>
      <c r="J141" s="93">
        <f>IFERROR(IF(IFERROR(MATCH(137,'كشف الحساب'!$N$4:$N$203,0),0)=0,"",INDEX('كشف الحساب'!$J$4:$J$203,IFERROR(MATCH(137,'كشف الحساب'!$N$4:$N$203,0),0))),"")</f>
        <v/>
      </c>
      <c r="K141" s="89">
        <f>IFERROR(IF(IFERROR(MATCH(137,'كشف الحساب'!$N$4:$N$203,0),0)=0,"",INDEX('كشف الحساب'!$K$4:$K$203,IFERROR(MATCH(137,'كشف الحساب'!$N$4:$N$203,0),0))),"")</f>
        <v/>
      </c>
    </row>
    <row r="142" ht="15" customHeight="1" s="67">
      <c r="A142" s="94">
        <f>IFERROR(IF(IFERROR(MATCH(138,'كشف الحساب'!$N$4:$N$203,0),0)=0,"",INDEX('كشف الحساب'!$A$4:$A$203,IFERROR(MATCH(138,'كشف الحساب'!$N$4:$N$203,0),0))),"")</f>
        <v/>
      </c>
      <c r="B142" s="95">
        <f>IFERROR(IF(IFERROR(MATCH(138,'كشف الحساب'!$N$4:$N$203,0),0)=0,"",INDEX('كشف الحساب'!$B$4:$B$203,IFERROR(MATCH(138,'كشف الحساب'!$N$4:$N$203,0),0))),"")</f>
        <v/>
      </c>
      <c r="C142" s="96">
        <f>IFERROR(IF(IFERROR(MATCH(138,'كشف الحساب'!$N$4:$N$203,0),0)=0,"",INDEX('كشف الحساب'!$C$4:$C$203,IFERROR(MATCH(138,'كشف الحساب'!$N$4:$N$203,0),0))),"")</f>
        <v/>
      </c>
      <c r="D142" s="97">
        <f>IFERROR(IF(IFERROR(MATCH(138,'كشف الحساب'!$N$4:$N$203,0),0)=0,"",INDEX('كشف الحساب'!$D$4:$D$203,IFERROR(MATCH(138,'كشف الحساب'!$N$4:$N$203,0),0))),"")</f>
        <v/>
      </c>
      <c r="E142" s="98">
        <f>IFERROR(IF(IFERROR(MATCH(138,'كشف الحساب'!$N$4:$N$203,0),0)=0,"",INDEX('كشف الحساب'!$E$4:$E$203,IFERROR(MATCH(138,'كشف الحساب'!$N$4:$N$203,0),0))),"")</f>
        <v/>
      </c>
      <c r="F142" s="95">
        <f>IFERROR(IF(IFERROR(MATCH(138,'كشف الحساب'!$N$4:$N$203,0),0)=0,"",INDEX('كشف الحساب'!$F$4:$F$203,IFERROR(MATCH(138,'كشف الحساب'!$N$4:$N$203,0),0))),"")</f>
        <v/>
      </c>
      <c r="G142" s="95">
        <f>IFERROR(IF(IFERROR(MATCH(138,'كشف الحساب'!$N$4:$N$203,0),0)=0,"",INDEX('كشف الحساب'!$G$4:$G$203,IFERROR(MATCH(138,'كشف الحساب'!$N$4:$N$203,0),0))),"")</f>
        <v/>
      </c>
      <c r="H142" s="95">
        <f>IFERROR(IF(IFERROR(MATCH(138,'كشف الحساب'!$N$4:$N$203,0),0)=0,"",INDEX('كشف الحساب'!$H$4:$H$203,IFERROR(MATCH(138,'كشف الحساب'!$N$4:$N$203,0),0))),"")</f>
        <v/>
      </c>
      <c r="I142" s="95">
        <f>IFERROR(IF(IFERROR(MATCH(138,'كشف الحساب'!$N$4:$N$203,0),0)=0,"",INDEX('كشف الحساب'!$I$4:$I$203,IFERROR(MATCH(138,'كشف الحساب'!$N$4:$N$203,0),0))),"")</f>
        <v/>
      </c>
      <c r="J142" s="99">
        <f>IFERROR(IF(IFERROR(MATCH(138,'كشف الحساب'!$N$4:$N$203,0),0)=0,"",INDEX('كشف الحساب'!$J$4:$J$203,IFERROR(MATCH(138,'كشف الحساب'!$N$4:$N$203,0),0))),"")</f>
        <v/>
      </c>
      <c r="K142" s="95">
        <f>IFERROR(IF(IFERROR(MATCH(138,'كشف الحساب'!$N$4:$N$203,0),0)=0,"",INDEX('كشف الحساب'!$K$4:$K$203,IFERROR(MATCH(138,'كشف الحساب'!$N$4:$N$203,0),0))),"")</f>
        <v/>
      </c>
    </row>
    <row r="143" ht="15" customHeight="1" s="67">
      <c r="A143" s="88">
        <f>IFERROR(IF(IFERROR(MATCH(139,'كشف الحساب'!$N$4:$N$203,0),0)=0,"",INDEX('كشف الحساب'!$A$4:$A$203,IFERROR(MATCH(139,'كشف الحساب'!$N$4:$N$203,0),0))),"")</f>
        <v/>
      </c>
      <c r="B143" s="89">
        <f>IFERROR(IF(IFERROR(MATCH(139,'كشف الحساب'!$N$4:$N$203,0),0)=0,"",INDEX('كشف الحساب'!$B$4:$B$203,IFERROR(MATCH(139,'كشف الحساب'!$N$4:$N$203,0),0))),"")</f>
        <v/>
      </c>
      <c r="C143" s="90">
        <f>IFERROR(IF(IFERROR(MATCH(139,'كشف الحساب'!$N$4:$N$203,0),0)=0,"",INDEX('كشف الحساب'!$C$4:$C$203,IFERROR(MATCH(139,'كشف الحساب'!$N$4:$N$203,0),0))),"")</f>
        <v/>
      </c>
      <c r="D143" s="91">
        <f>IFERROR(IF(IFERROR(MATCH(139,'كشف الحساب'!$N$4:$N$203,0),0)=0,"",INDEX('كشف الحساب'!$D$4:$D$203,IFERROR(MATCH(139,'كشف الحساب'!$N$4:$N$203,0),0))),"")</f>
        <v/>
      </c>
      <c r="E143" s="92">
        <f>IFERROR(IF(IFERROR(MATCH(139,'كشف الحساب'!$N$4:$N$203,0),0)=0,"",INDEX('كشف الحساب'!$E$4:$E$203,IFERROR(MATCH(139,'كشف الحساب'!$N$4:$N$203,0),0))),"")</f>
        <v/>
      </c>
      <c r="F143" s="89">
        <f>IFERROR(IF(IFERROR(MATCH(139,'كشف الحساب'!$N$4:$N$203,0),0)=0,"",INDEX('كشف الحساب'!$F$4:$F$203,IFERROR(MATCH(139,'كشف الحساب'!$N$4:$N$203,0),0))),"")</f>
        <v/>
      </c>
      <c r="G143" s="89">
        <f>IFERROR(IF(IFERROR(MATCH(139,'كشف الحساب'!$N$4:$N$203,0),0)=0,"",INDEX('كشف الحساب'!$G$4:$G$203,IFERROR(MATCH(139,'كشف الحساب'!$N$4:$N$203,0),0))),"")</f>
        <v/>
      </c>
      <c r="H143" s="89">
        <f>IFERROR(IF(IFERROR(MATCH(139,'كشف الحساب'!$N$4:$N$203,0),0)=0,"",INDEX('كشف الحساب'!$H$4:$H$203,IFERROR(MATCH(139,'كشف الحساب'!$N$4:$N$203,0),0))),"")</f>
        <v/>
      </c>
      <c r="I143" s="89">
        <f>IFERROR(IF(IFERROR(MATCH(139,'كشف الحساب'!$N$4:$N$203,0),0)=0,"",INDEX('كشف الحساب'!$I$4:$I$203,IFERROR(MATCH(139,'كشف الحساب'!$N$4:$N$203,0),0))),"")</f>
        <v/>
      </c>
      <c r="J143" s="93">
        <f>IFERROR(IF(IFERROR(MATCH(139,'كشف الحساب'!$N$4:$N$203,0),0)=0,"",INDEX('كشف الحساب'!$J$4:$J$203,IFERROR(MATCH(139,'كشف الحساب'!$N$4:$N$203,0),0))),"")</f>
        <v/>
      </c>
      <c r="K143" s="89">
        <f>IFERROR(IF(IFERROR(MATCH(139,'كشف الحساب'!$N$4:$N$203,0),0)=0,"",INDEX('كشف الحساب'!$K$4:$K$203,IFERROR(MATCH(139,'كشف الحساب'!$N$4:$N$203,0),0))),"")</f>
        <v/>
      </c>
    </row>
    <row r="144" ht="15" customHeight="1" s="67">
      <c r="A144" s="94">
        <f>IFERROR(IF(IFERROR(MATCH(140,'كشف الحساب'!$N$4:$N$203,0),0)=0,"",INDEX('كشف الحساب'!$A$4:$A$203,IFERROR(MATCH(140,'كشف الحساب'!$N$4:$N$203,0),0))),"")</f>
        <v/>
      </c>
      <c r="B144" s="95">
        <f>IFERROR(IF(IFERROR(MATCH(140,'كشف الحساب'!$N$4:$N$203,0),0)=0,"",INDEX('كشف الحساب'!$B$4:$B$203,IFERROR(MATCH(140,'كشف الحساب'!$N$4:$N$203,0),0))),"")</f>
        <v/>
      </c>
      <c r="C144" s="96">
        <f>IFERROR(IF(IFERROR(MATCH(140,'كشف الحساب'!$N$4:$N$203,0),0)=0,"",INDEX('كشف الحساب'!$C$4:$C$203,IFERROR(MATCH(140,'كشف الحساب'!$N$4:$N$203,0),0))),"")</f>
        <v/>
      </c>
      <c r="D144" s="97">
        <f>IFERROR(IF(IFERROR(MATCH(140,'كشف الحساب'!$N$4:$N$203,0),0)=0,"",INDEX('كشف الحساب'!$D$4:$D$203,IFERROR(MATCH(140,'كشف الحساب'!$N$4:$N$203,0),0))),"")</f>
        <v/>
      </c>
      <c r="E144" s="98">
        <f>IFERROR(IF(IFERROR(MATCH(140,'كشف الحساب'!$N$4:$N$203,0),0)=0,"",INDEX('كشف الحساب'!$E$4:$E$203,IFERROR(MATCH(140,'كشف الحساب'!$N$4:$N$203,0),0))),"")</f>
        <v/>
      </c>
      <c r="F144" s="95">
        <f>IFERROR(IF(IFERROR(MATCH(140,'كشف الحساب'!$N$4:$N$203,0),0)=0,"",INDEX('كشف الحساب'!$F$4:$F$203,IFERROR(MATCH(140,'كشف الحساب'!$N$4:$N$203,0),0))),"")</f>
        <v/>
      </c>
      <c r="G144" s="95">
        <f>IFERROR(IF(IFERROR(MATCH(140,'كشف الحساب'!$N$4:$N$203,0),0)=0,"",INDEX('كشف الحساب'!$G$4:$G$203,IFERROR(MATCH(140,'كشف الحساب'!$N$4:$N$203,0),0))),"")</f>
        <v/>
      </c>
      <c r="H144" s="95">
        <f>IFERROR(IF(IFERROR(MATCH(140,'كشف الحساب'!$N$4:$N$203,0),0)=0,"",INDEX('كشف الحساب'!$H$4:$H$203,IFERROR(MATCH(140,'كشف الحساب'!$N$4:$N$203,0),0))),"")</f>
        <v/>
      </c>
      <c r="I144" s="95">
        <f>IFERROR(IF(IFERROR(MATCH(140,'كشف الحساب'!$N$4:$N$203,0),0)=0,"",INDEX('كشف الحساب'!$I$4:$I$203,IFERROR(MATCH(140,'كشف الحساب'!$N$4:$N$203,0),0))),"")</f>
        <v/>
      </c>
      <c r="J144" s="99">
        <f>IFERROR(IF(IFERROR(MATCH(140,'كشف الحساب'!$N$4:$N$203,0),0)=0,"",INDEX('كشف الحساب'!$J$4:$J$203,IFERROR(MATCH(140,'كشف الحساب'!$N$4:$N$203,0),0))),"")</f>
        <v/>
      </c>
      <c r="K144" s="95">
        <f>IFERROR(IF(IFERROR(MATCH(140,'كشف الحساب'!$N$4:$N$203,0),0)=0,"",INDEX('كشف الحساب'!$K$4:$K$203,IFERROR(MATCH(140,'كشف الحساب'!$N$4:$N$203,0),0))),"")</f>
        <v/>
      </c>
    </row>
    <row r="145" ht="15" customHeight="1" s="67">
      <c r="A145" s="88">
        <f>IFERROR(IF(IFERROR(MATCH(141,'كشف الحساب'!$N$4:$N$203,0),0)=0,"",INDEX('كشف الحساب'!$A$4:$A$203,IFERROR(MATCH(141,'كشف الحساب'!$N$4:$N$203,0),0))),"")</f>
        <v/>
      </c>
      <c r="B145" s="89">
        <f>IFERROR(IF(IFERROR(MATCH(141,'كشف الحساب'!$N$4:$N$203,0),0)=0,"",INDEX('كشف الحساب'!$B$4:$B$203,IFERROR(MATCH(141,'كشف الحساب'!$N$4:$N$203,0),0))),"")</f>
        <v/>
      </c>
      <c r="C145" s="90">
        <f>IFERROR(IF(IFERROR(MATCH(141,'كشف الحساب'!$N$4:$N$203,0),0)=0,"",INDEX('كشف الحساب'!$C$4:$C$203,IFERROR(MATCH(141,'كشف الحساب'!$N$4:$N$203,0),0))),"")</f>
        <v/>
      </c>
      <c r="D145" s="91">
        <f>IFERROR(IF(IFERROR(MATCH(141,'كشف الحساب'!$N$4:$N$203,0),0)=0,"",INDEX('كشف الحساب'!$D$4:$D$203,IFERROR(MATCH(141,'كشف الحساب'!$N$4:$N$203,0),0))),"")</f>
        <v/>
      </c>
      <c r="E145" s="92">
        <f>IFERROR(IF(IFERROR(MATCH(141,'كشف الحساب'!$N$4:$N$203,0),0)=0,"",INDEX('كشف الحساب'!$E$4:$E$203,IFERROR(MATCH(141,'كشف الحساب'!$N$4:$N$203,0),0))),"")</f>
        <v/>
      </c>
      <c r="F145" s="89">
        <f>IFERROR(IF(IFERROR(MATCH(141,'كشف الحساب'!$N$4:$N$203,0),0)=0,"",INDEX('كشف الحساب'!$F$4:$F$203,IFERROR(MATCH(141,'كشف الحساب'!$N$4:$N$203,0),0))),"")</f>
        <v/>
      </c>
      <c r="G145" s="89">
        <f>IFERROR(IF(IFERROR(MATCH(141,'كشف الحساب'!$N$4:$N$203,0),0)=0,"",INDEX('كشف الحساب'!$G$4:$G$203,IFERROR(MATCH(141,'كشف الحساب'!$N$4:$N$203,0),0))),"")</f>
        <v/>
      </c>
      <c r="H145" s="89">
        <f>IFERROR(IF(IFERROR(MATCH(141,'كشف الحساب'!$N$4:$N$203,0),0)=0,"",INDEX('كشف الحساب'!$H$4:$H$203,IFERROR(MATCH(141,'كشف الحساب'!$N$4:$N$203,0),0))),"")</f>
        <v/>
      </c>
      <c r="I145" s="89">
        <f>IFERROR(IF(IFERROR(MATCH(141,'كشف الحساب'!$N$4:$N$203,0),0)=0,"",INDEX('كشف الحساب'!$I$4:$I$203,IFERROR(MATCH(141,'كشف الحساب'!$N$4:$N$203,0),0))),"")</f>
        <v/>
      </c>
      <c r="J145" s="93">
        <f>IFERROR(IF(IFERROR(MATCH(141,'كشف الحساب'!$N$4:$N$203,0),0)=0,"",INDEX('كشف الحساب'!$J$4:$J$203,IFERROR(MATCH(141,'كشف الحساب'!$N$4:$N$203,0),0))),"")</f>
        <v/>
      </c>
      <c r="K145" s="89">
        <f>IFERROR(IF(IFERROR(MATCH(141,'كشف الحساب'!$N$4:$N$203,0),0)=0,"",INDEX('كشف الحساب'!$K$4:$K$203,IFERROR(MATCH(141,'كشف الحساب'!$N$4:$N$203,0),0))),"")</f>
        <v/>
      </c>
    </row>
    <row r="146" ht="15" customHeight="1" s="67">
      <c r="A146" s="94">
        <f>IFERROR(IF(IFERROR(MATCH(142,'كشف الحساب'!$N$4:$N$203,0),0)=0,"",INDEX('كشف الحساب'!$A$4:$A$203,IFERROR(MATCH(142,'كشف الحساب'!$N$4:$N$203,0),0))),"")</f>
        <v/>
      </c>
      <c r="B146" s="95">
        <f>IFERROR(IF(IFERROR(MATCH(142,'كشف الحساب'!$N$4:$N$203,0),0)=0,"",INDEX('كشف الحساب'!$B$4:$B$203,IFERROR(MATCH(142,'كشف الحساب'!$N$4:$N$203,0),0))),"")</f>
        <v/>
      </c>
      <c r="C146" s="96">
        <f>IFERROR(IF(IFERROR(MATCH(142,'كشف الحساب'!$N$4:$N$203,0),0)=0,"",INDEX('كشف الحساب'!$C$4:$C$203,IFERROR(MATCH(142,'كشف الحساب'!$N$4:$N$203,0),0))),"")</f>
        <v/>
      </c>
      <c r="D146" s="97">
        <f>IFERROR(IF(IFERROR(MATCH(142,'كشف الحساب'!$N$4:$N$203,0),0)=0,"",INDEX('كشف الحساب'!$D$4:$D$203,IFERROR(MATCH(142,'كشف الحساب'!$N$4:$N$203,0),0))),"")</f>
        <v/>
      </c>
      <c r="E146" s="98">
        <f>IFERROR(IF(IFERROR(MATCH(142,'كشف الحساب'!$N$4:$N$203,0),0)=0,"",INDEX('كشف الحساب'!$E$4:$E$203,IFERROR(MATCH(142,'كشف الحساب'!$N$4:$N$203,0),0))),"")</f>
        <v/>
      </c>
      <c r="F146" s="95">
        <f>IFERROR(IF(IFERROR(MATCH(142,'كشف الحساب'!$N$4:$N$203,0),0)=0,"",INDEX('كشف الحساب'!$F$4:$F$203,IFERROR(MATCH(142,'كشف الحساب'!$N$4:$N$203,0),0))),"")</f>
        <v/>
      </c>
      <c r="G146" s="95">
        <f>IFERROR(IF(IFERROR(MATCH(142,'كشف الحساب'!$N$4:$N$203,0),0)=0,"",INDEX('كشف الحساب'!$G$4:$G$203,IFERROR(MATCH(142,'كشف الحساب'!$N$4:$N$203,0),0))),"")</f>
        <v/>
      </c>
      <c r="H146" s="95">
        <f>IFERROR(IF(IFERROR(MATCH(142,'كشف الحساب'!$N$4:$N$203,0),0)=0,"",INDEX('كشف الحساب'!$H$4:$H$203,IFERROR(MATCH(142,'كشف الحساب'!$N$4:$N$203,0),0))),"")</f>
        <v/>
      </c>
      <c r="I146" s="95">
        <f>IFERROR(IF(IFERROR(MATCH(142,'كشف الحساب'!$N$4:$N$203,0),0)=0,"",INDEX('كشف الحساب'!$I$4:$I$203,IFERROR(MATCH(142,'كشف الحساب'!$N$4:$N$203,0),0))),"")</f>
        <v/>
      </c>
      <c r="J146" s="99">
        <f>IFERROR(IF(IFERROR(MATCH(142,'كشف الحساب'!$N$4:$N$203,0),0)=0,"",INDEX('كشف الحساب'!$J$4:$J$203,IFERROR(MATCH(142,'كشف الحساب'!$N$4:$N$203,0),0))),"")</f>
        <v/>
      </c>
      <c r="K146" s="95">
        <f>IFERROR(IF(IFERROR(MATCH(142,'كشف الحساب'!$N$4:$N$203,0),0)=0,"",INDEX('كشف الحساب'!$K$4:$K$203,IFERROR(MATCH(142,'كشف الحساب'!$N$4:$N$203,0),0))),"")</f>
        <v/>
      </c>
    </row>
    <row r="147" ht="15" customHeight="1" s="67">
      <c r="A147" s="88">
        <f>IFERROR(IF(IFERROR(MATCH(143,'كشف الحساب'!$N$4:$N$203,0),0)=0,"",INDEX('كشف الحساب'!$A$4:$A$203,IFERROR(MATCH(143,'كشف الحساب'!$N$4:$N$203,0),0))),"")</f>
        <v/>
      </c>
      <c r="B147" s="89">
        <f>IFERROR(IF(IFERROR(MATCH(143,'كشف الحساب'!$N$4:$N$203,0),0)=0,"",INDEX('كشف الحساب'!$B$4:$B$203,IFERROR(MATCH(143,'كشف الحساب'!$N$4:$N$203,0),0))),"")</f>
        <v/>
      </c>
      <c r="C147" s="90">
        <f>IFERROR(IF(IFERROR(MATCH(143,'كشف الحساب'!$N$4:$N$203,0),0)=0,"",INDEX('كشف الحساب'!$C$4:$C$203,IFERROR(MATCH(143,'كشف الحساب'!$N$4:$N$203,0),0))),"")</f>
        <v/>
      </c>
      <c r="D147" s="91">
        <f>IFERROR(IF(IFERROR(MATCH(143,'كشف الحساب'!$N$4:$N$203,0),0)=0,"",INDEX('كشف الحساب'!$D$4:$D$203,IFERROR(MATCH(143,'كشف الحساب'!$N$4:$N$203,0),0))),"")</f>
        <v/>
      </c>
      <c r="E147" s="92">
        <f>IFERROR(IF(IFERROR(MATCH(143,'كشف الحساب'!$N$4:$N$203,0),0)=0,"",INDEX('كشف الحساب'!$E$4:$E$203,IFERROR(MATCH(143,'كشف الحساب'!$N$4:$N$203,0),0))),"")</f>
        <v/>
      </c>
      <c r="F147" s="89">
        <f>IFERROR(IF(IFERROR(MATCH(143,'كشف الحساب'!$N$4:$N$203,0),0)=0,"",INDEX('كشف الحساب'!$F$4:$F$203,IFERROR(MATCH(143,'كشف الحساب'!$N$4:$N$203,0),0))),"")</f>
        <v/>
      </c>
      <c r="G147" s="89">
        <f>IFERROR(IF(IFERROR(MATCH(143,'كشف الحساب'!$N$4:$N$203,0),0)=0,"",INDEX('كشف الحساب'!$G$4:$G$203,IFERROR(MATCH(143,'كشف الحساب'!$N$4:$N$203,0),0))),"")</f>
        <v/>
      </c>
      <c r="H147" s="89">
        <f>IFERROR(IF(IFERROR(MATCH(143,'كشف الحساب'!$N$4:$N$203,0),0)=0,"",INDEX('كشف الحساب'!$H$4:$H$203,IFERROR(MATCH(143,'كشف الحساب'!$N$4:$N$203,0),0))),"")</f>
        <v/>
      </c>
      <c r="I147" s="89">
        <f>IFERROR(IF(IFERROR(MATCH(143,'كشف الحساب'!$N$4:$N$203,0),0)=0,"",INDEX('كشف الحساب'!$I$4:$I$203,IFERROR(MATCH(143,'كشف الحساب'!$N$4:$N$203,0),0))),"")</f>
        <v/>
      </c>
      <c r="J147" s="93">
        <f>IFERROR(IF(IFERROR(MATCH(143,'كشف الحساب'!$N$4:$N$203,0),0)=0,"",INDEX('كشف الحساب'!$J$4:$J$203,IFERROR(MATCH(143,'كشف الحساب'!$N$4:$N$203,0),0))),"")</f>
        <v/>
      </c>
      <c r="K147" s="89">
        <f>IFERROR(IF(IFERROR(MATCH(143,'كشف الحساب'!$N$4:$N$203,0),0)=0,"",INDEX('كشف الحساب'!$K$4:$K$203,IFERROR(MATCH(143,'كشف الحساب'!$N$4:$N$203,0),0))),"")</f>
        <v/>
      </c>
    </row>
    <row r="148" ht="15" customHeight="1" s="67">
      <c r="A148" s="94">
        <f>IFERROR(IF(IFERROR(MATCH(144,'كشف الحساب'!$N$4:$N$203,0),0)=0,"",INDEX('كشف الحساب'!$A$4:$A$203,IFERROR(MATCH(144,'كشف الحساب'!$N$4:$N$203,0),0))),"")</f>
        <v/>
      </c>
      <c r="B148" s="95">
        <f>IFERROR(IF(IFERROR(MATCH(144,'كشف الحساب'!$N$4:$N$203,0),0)=0,"",INDEX('كشف الحساب'!$B$4:$B$203,IFERROR(MATCH(144,'كشف الحساب'!$N$4:$N$203,0),0))),"")</f>
        <v/>
      </c>
      <c r="C148" s="96">
        <f>IFERROR(IF(IFERROR(MATCH(144,'كشف الحساب'!$N$4:$N$203,0),0)=0,"",INDEX('كشف الحساب'!$C$4:$C$203,IFERROR(MATCH(144,'كشف الحساب'!$N$4:$N$203,0),0))),"")</f>
        <v/>
      </c>
      <c r="D148" s="97">
        <f>IFERROR(IF(IFERROR(MATCH(144,'كشف الحساب'!$N$4:$N$203,0),0)=0,"",INDEX('كشف الحساب'!$D$4:$D$203,IFERROR(MATCH(144,'كشف الحساب'!$N$4:$N$203,0),0))),"")</f>
        <v/>
      </c>
      <c r="E148" s="98">
        <f>IFERROR(IF(IFERROR(MATCH(144,'كشف الحساب'!$N$4:$N$203,0),0)=0,"",INDEX('كشف الحساب'!$E$4:$E$203,IFERROR(MATCH(144,'كشف الحساب'!$N$4:$N$203,0),0))),"")</f>
        <v/>
      </c>
      <c r="F148" s="95">
        <f>IFERROR(IF(IFERROR(MATCH(144,'كشف الحساب'!$N$4:$N$203,0),0)=0,"",INDEX('كشف الحساب'!$F$4:$F$203,IFERROR(MATCH(144,'كشف الحساب'!$N$4:$N$203,0),0))),"")</f>
        <v/>
      </c>
      <c r="G148" s="95">
        <f>IFERROR(IF(IFERROR(MATCH(144,'كشف الحساب'!$N$4:$N$203,0),0)=0,"",INDEX('كشف الحساب'!$G$4:$G$203,IFERROR(MATCH(144,'كشف الحساب'!$N$4:$N$203,0),0))),"")</f>
        <v/>
      </c>
      <c r="H148" s="95">
        <f>IFERROR(IF(IFERROR(MATCH(144,'كشف الحساب'!$N$4:$N$203,0),0)=0,"",INDEX('كشف الحساب'!$H$4:$H$203,IFERROR(MATCH(144,'كشف الحساب'!$N$4:$N$203,0),0))),"")</f>
        <v/>
      </c>
      <c r="I148" s="95">
        <f>IFERROR(IF(IFERROR(MATCH(144,'كشف الحساب'!$N$4:$N$203,0),0)=0,"",INDEX('كشف الحساب'!$I$4:$I$203,IFERROR(MATCH(144,'كشف الحساب'!$N$4:$N$203,0),0))),"")</f>
        <v/>
      </c>
      <c r="J148" s="99">
        <f>IFERROR(IF(IFERROR(MATCH(144,'كشف الحساب'!$N$4:$N$203,0),0)=0,"",INDEX('كشف الحساب'!$J$4:$J$203,IFERROR(MATCH(144,'كشف الحساب'!$N$4:$N$203,0),0))),"")</f>
        <v/>
      </c>
      <c r="K148" s="95">
        <f>IFERROR(IF(IFERROR(MATCH(144,'كشف الحساب'!$N$4:$N$203,0),0)=0,"",INDEX('كشف الحساب'!$K$4:$K$203,IFERROR(MATCH(144,'كشف الحساب'!$N$4:$N$203,0),0))),"")</f>
        <v/>
      </c>
    </row>
    <row r="149" ht="15" customHeight="1" s="67">
      <c r="A149" s="88">
        <f>IFERROR(IF(IFERROR(MATCH(145,'كشف الحساب'!$N$4:$N$203,0),0)=0,"",INDEX('كشف الحساب'!$A$4:$A$203,IFERROR(MATCH(145,'كشف الحساب'!$N$4:$N$203,0),0))),"")</f>
        <v/>
      </c>
      <c r="B149" s="89">
        <f>IFERROR(IF(IFERROR(MATCH(145,'كشف الحساب'!$N$4:$N$203,0),0)=0,"",INDEX('كشف الحساب'!$B$4:$B$203,IFERROR(MATCH(145,'كشف الحساب'!$N$4:$N$203,0),0))),"")</f>
        <v/>
      </c>
      <c r="C149" s="90">
        <f>IFERROR(IF(IFERROR(MATCH(145,'كشف الحساب'!$N$4:$N$203,0),0)=0,"",INDEX('كشف الحساب'!$C$4:$C$203,IFERROR(MATCH(145,'كشف الحساب'!$N$4:$N$203,0),0))),"")</f>
        <v/>
      </c>
      <c r="D149" s="91">
        <f>IFERROR(IF(IFERROR(MATCH(145,'كشف الحساب'!$N$4:$N$203,0),0)=0,"",INDEX('كشف الحساب'!$D$4:$D$203,IFERROR(MATCH(145,'كشف الحساب'!$N$4:$N$203,0),0))),"")</f>
        <v/>
      </c>
      <c r="E149" s="92">
        <f>IFERROR(IF(IFERROR(MATCH(145,'كشف الحساب'!$N$4:$N$203,0),0)=0,"",INDEX('كشف الحساب'!$E$4:$E$203,IFERROR(MATCH(145,'كشف الحساب'!$N$4:$N$203,0),0))),"")</f>
        <v/>
      </c>
      <c r="F149" s="89">
        <f>IFERROR(IF(IFERROR(MATCH(145,'كشف الحساب'!$N$4:$N$203,0),0)=0,"",INDEX('كشف الحساب'!$F$4:$F$203,IFERROR(MATCH(145,'كشف الحساب'!$N$4:$N$203,0),0))),"")</f>
        <v/>
      </c>
      <c r="G149" s="89">
        <f>IFERROR(IF(IFERROR(MATCH(145,'كشف الحساب'!$N$4:$N$203,0),0)=0,"",INDEX('كشف الحساب'!$G$4:$G$203,IFERROR(MATCH(145,'كشف الحساب'!$N$4:$N$203,0),0))),"")</f>
        <v/>
      </c>
      <c r="H149" s="89">
        <f>IFERROR(IF(IFERROR(MATCH(145,'كشف الحساب'!$N$4:$N$203,0),0)=0,"",INDEX('كشف الحساب'!$H$4:$H$203,IFERROR(MATCH(145,'كشف الحساب'!$N$4:$N$203,0),0))),"")</f>
        <v/>
      </c>
      <c r="I149" s="89">
        <f>IFERROR(IF(IFERROR(MATCH(145,'كشف الحساب'!$N$4:$N$203,0),0)=0,"",INDEX('كشف الحساب'!$I$4:$I$203,IFERROR(MATCH(145,'كشف الحساب'!$N$4:$N$203,0),0))),"")</f>
        <v/>
      </c>
      <c r="J149" s="93">
        <f>IFERROR(IF(IFERROR(MATCH(145,'كشف الحساب'!$N$4:$N$203,0),0)=0,"",INDEX('كشف الحساب'!$J$4:$J$203,IFERROR(MATCH(145,'كشف الحساب'!$N$4:$N$203,0),0))),"")</f>
        <v/>
      </c>
      <c r="K149" s="89">
        <f>IFERROR(IF(IFERROR(MATCH(145,'كشف الحساب'!$N$4:$N$203,0),0)=0,"",INDEX('كشف الحساب'!$K$4:$K$203,IFERROR(MATCH(145,'كشف الحساب'!$N$4:$N$203,0),0))),"")</f>
        <v/>
      </c>
    </row>
    <row r="150" ht="15" customHeight="1" s="67">
      <c r="A150" s="94">
        <f>IFERROR(IF(IFERROR(MATCH(146,'كشف الحساب'!$N$4:$N$203,0),0)=0,"",INDEX('كشف الحساب'!$A$4:$A$203,IFERROR(MATCH(146,'كشف الحساب'!$N$4:$N$203,0),0))),"")</f>
        <v/>
      </c>
      <c r="B150" s="95">
        <f>IFERROR(IF(IFERROR(MATCH(146,'كشف الحساب'!$N$4:$N$203,0),0)=0,"",INDEX('كشف الحساب'!$B$4:$B$203,IFERROR(MATCH(146,'كشف الحساب'!$N$4:$N$203,0),0))),"")</f>
        <v/>
      </c>
      <c r="C150" s="96">
        <f>IFERROR(IF(IFERROR(MATCH(146,'كشف الحساب'!$N$4:$N$203,0),0)=0,"",INDEX('كشف الحساب'!$C$4:$C$203,IFERROR(MATCH(146,'كشف الحساب'!$N$4:$N$203,0),0))),"")</f>
        <v/>
      </c>
      <c r="D150" s="97">
        <f>IFERROR(IF(IFERROR(MATCH(146,'كشف الحساب'!$N$4:$N$203,0),0)=0,"",INDEX('كشف الحساب'!$D$4:$D$203,IFERROR(MATCH(146,'كشف الحساب'!$N$4:$N$203,0),0))),"")</f>
        <v/>
      </c>
      <c r="E150" s="98">
        <f>IFERROR(IF(IFERROR(MATCH(146,'كشف الحساب'!$N$4:$N$203,0),0)=0,"",INDEX('كشف الحساب'!$E$4:$E$203,IFERROR(MATCH(146,'كشف الحساب'!$N$4:$N$203,0),0))),"")</f>
        <v/>
      </c>
      <c r="F150" s="95">
        <f>IFERROR(IF(IFERROR(MATCH(146,'كشف الحساب'!$N$4:$N$203,0),0)=0,"",INDEX('كشف الحساب'!$F$4:$F$203,IFERROR(MATCH(146,'كشف الحساب'!$N$4:$N$203,0),0))),"")</f>
        <v/>
      </c>
      <c r="G150" s="95">
        <f>IFERROR(IF(IFERROR(MATCH(146,'كشف الحساب'!$N$4:$N$203,0),0)=0,"",INDEX('كشف الحساب'!$G$4:$G$203,IFERROR(MATCH(146,'كشف الحساب'!$N$4:$N$203,0),0))),"")</f>
        <v/>
      </c>
      <c r="H150" s="95">
        <f>IFERROR(IF(IFERROR(MATCH(146,'كشف الحساب'!$N$4:$N$203,0),0)=0,"",INDEX('كشف الحساب'!$H$4:$H$203,IFERROR(MATCH(146,'كشف الحساب'!$N$4:$N$203,0),0))),"")</f>
        <v/>
      </c>
      <c r="I150" s="95">
        <f>IFERROR(IF(IFERROR(MATCH(146,'كشف الحساب'!$N$4:$N$203,0),0)=0,"",INDEX('كشف الحساب'!$I$4:$I$203,IFERROR(MATCH(146,'كشف الحساب'!$N$4:$N$203,0),0))),"")</f>
        <v/>
      </c>
      <c r="J150" s="99">
        <f>IFERROR(IF(IFERROR(MATCH(146,'كشف الحساب'!$N$4:$N$203,0),0)=0,"",INDEX('كشف الحساب'!$J$4:$J$203,IFERROR(MATCH(146,'كشف الحساب'!$N$4:$N$203,0),0))),"")</f>
        <v/>
      </c>
      <c r="K150" s="95">
        <f>IFERROR(IF(IFERROR(MATCH(146,'كشف الحساب'!$N$4:$N$203,0),0)=0,"",INDEX('كشف الحساب'!$K$4:$K$203,IFERROR(MATCH(146,'كشف الحساب'!$N$4:$N$203,0),0))),"")</f>
        <v/>
      </c>
    </row>
    <row r="151" ht="15" customHeight="1" s="67">
      <c r="A151" s="88">
        <f>IFERROR(IF(IFERROR(MATCH(147,'كشف الحساب'!$N$4:$N$203,0),0)=0,"",INDEX('كشف الحساب'!$A$4:$A$203,IFERROR(MATCH(147,'كشف الحساب'!$N$4:$N$203,0),0))),"")</f>
        <v/>
      </c>
      <c r="B151" s="89">
        <f>IFERROR(IF(IFERROR(MATCH(147,'كشف الحساب'!$N$4:$N$203,0),0)=0,"",INDEX('كشف الحساب'!$B$4:$B$203,IFERROR(MATCH(147,'كشف الحساب'!$N$4:$N$203,0),0))),"")</f>
        <v/>
      </c>
      <c r="C151" s="90">
        <f>IFERROR(IF(IFERROR(MATCH(147,'كشف الحساب'!$N$4:$N$203,0),0)=0,"",INDEX('كشف الحساب'!$C$4:$C$203,IFERROR(MATCH(147,'كشف الحساب'!$N$4:$N$203,0),0))),"")</f>
        <v/>
      </c>
      <c r="D151" s="91">
        <f>IFERROR(IF(IFERROR(MATCH(147,'كشف الحساب'!$N$4:$N$203,0),0)=0,"",INDEX('كشف الحساب'!$D$4:$D$203,IFERROR(MATCH(147,'كشف الحساب'!$N$4:$N$203,0),0))),"")</f>
        <v/>
      </c>
      <c r="E151" s="92">
        <f>IFERROR(IF(IFERROR(MATCH(147,'كشف الحساب'!$N$4:$N$203,0),0)=0,"",INDEX('كشف الحساب'!$E$4:$E$203,IFERROR(MATCH(147,'كشف الحساب'!$N$4:$N$203,0),0))),"")</f>
        <v/>
      </c>
      <c r="F151" s="89">
        <f>IFERROR(IF(IFERROR(MATCH(147,'كشف الحساب'!$N$4:$N$203,0),0)=0,"",INDEX('كشف الحساب'!$F$4:$F$203,IFERROR(MATCH(147,'كشف الحساب'!$N$4:$N$203,0),0))),"")</f>
        <v/>
      </c>
      <c r="G151" s="89">
        <f>IFERROR(IF(IFERROR(MATCH(147,'كشف الحساب'!$N$4:$N$203,0),0)=0,"",INDEX('كشف الحساب'!$G$4:$G$203,IFERROR(MATCH(147,'كشف الحساب'!$N$4:$N$203,0),0))),"")</f>
        <v/>
      </c>
      <c r="H151" s="89">
        <f>IFERROR(IF(IFERROR(MATCH(147,'كشف الحساب'!$N$4:$N$203,0),0)=0,"",INDEX('كشف الحساب'!$H$4:$H$203,IFERROR(MATCH(147,'كشف الحساب'!$N$4:$N$203,0),0))),"")</f>
        <v/>
      </c>
      <c r="I151" s="89">
        <f>IFERROR(IF(IFERROR(MATCH(147,'كشف الحساب'!$N$4:$N$203,0),0)=0,"",INDEX('كشف الحساب'!$I$4:$I$203,IFERROR(MATCH(147,'كشف الحساب'!$N$4:$N$203,0),0))),"")</f>
        <v/>
      </c>
      <c r="J151" s="93">
        <f>IFERROR(IF(IFERROR(MATCH(147,'كشف الحساب'!$N$4:$N$203,0),0)=0,"",INDEX('كشف الحساب'!$J$4:$J$203,IFERROR(MATCH(147,'كشف الحساب'!$N$4:$N$203,0),0))),"")</f>
        <v/>
      </c>
      <c r="K151" s="89">
        <f>IFERROR(IF(IFERROR(MATCH(147,'كشف الحساب'!$N$4:$N$203,0),0)=0,"",INDEX('كشف الحساب'!$K$4:$K$203,IFERROR(MATCH(147,'كشف الحساب'!$N$4:$N$203,0),0))),"")</f>
        <v/>
      </c>
    </row>
    <row r="152" ht="15" customHeight="1" s="67">
      <c r="A152" s="94">
        <f>IFERROR(IF(IFERROR(MATCH(148,'كشف الحساب'!$N$4:$N$203,0),0)=0,"",INDEX('كشف الحساب'!$A$4:$A$203,IFERROR(MATCH(148,'كشف الحساب'!$N$4:$N$203,0),0))),"")</f>
        <v/>
      </c>
      <c r="B152" s="95">
        <f>IFERROR(IF(IFERROR(MATCH(148,'كشف الحساب'!$N$4:$N$203,0),0)=0,"",INDEX('كشف الحساب'!$B$4:$B$203,IFERROR(MATCH(148,'كشف الحساب'!$N$4:$N$203,0),0))),"")</f>
        <v/>
      </c>
      <c r="C152" s="96">
        <f>IFERROR(IF(IFERROR(MATCH(148,'كشف الحساب'!$N$4:$N$203,0),0)=0,"",INDEX('كشف الحساب'!$C$4:$C$203,IFERROR(MATCH(148,'كشف الحساب'!$N$4:$N$203,0),0))),"")</f>
        <v/>
      </c>
      <c r="D152" s="97">
        <f>IFERROR(IF(IFERROR(MATCH(148,'كشف الحساب'!$N$4:$N$203,0),0)=0,"",INDEX('كشف الحساب'!$D$4:$D$203,IFERROR(MATCH(148,'كشف الحساب'!$N$4:$N$203,0),0))),"")</f>
        <v/>
      </c>
      <c r="E152" s="98">
        <f>IFERROR(IF(IFERROR(MATCH(148,'كشف الحساب'!$N$4:$N$203,0),0)=0,"",INDEX('كشف الحساب'!$E$4:$E$203,IFERROR(MATCH(148,'كشف الحساب'!$N$4:$N$203,0),0))),"")</f>
        <v/>
      </c>
      <c r="F152" s="95">
        <f>IFERROR(IF(IFERROR(MATCH(148,'كشف الحساب'!$N$4:$N$203,0),0)=0,"",INDEX('كشف الحساب'!$F$4:$F$203,IFERROR(MATCH(148,'كشف الحساب'!$N$4:$N$203,0),0))),"")</f>
        <v/>
      </c>
      <c r="G152" s="95">
        <f>IFERROR(IF(IFERROR(MATCH(148,'كشف الحساب'!$N$4:$N$203,0),0)=0,"",INDEX('كشف الحساب'!$G$4:$G$203,IFERROR(MATCH(148,'كشف الحساب'!$N$4:$N$203,0),0))),"")</f>
        <v/>
      </c>
      <c r="H152" s="95">
        <f>IFERROR(IF(IFERROR(MATCH(148,'كشف الحساب'!$N$4:$N$203,0),0)=0,"",INDEX('كشف الحساب'!$H$4:$H$203,IFERROR(MATCH(148,'كشف الحساب'!$N$4:$N$203,0),0))),"")</f>
        <v/>
      </c>
      <c r="I152" s="95">
        <f>IFERROR(IF(IFERROR(MATCH(148,'كشف الحساب'!$N$4:$N$203,0),0)=0,"",INDEX('كشف الحساب'!$I$4:$I$203,IFERROR(MATCH(148,'كشف الحساب'!$N$4:$N$203,0),0))),"")</f>
        <v/>
      </c>
      <c r="J152" s="99">
        <f>IFERROR(IF(IFERROR(MATCH(148,'كشف الحساب'!$N$4:$N$203,0),0)=0,"",INDEX('كشف الحساب'!$J$4:$J$203,IFERROR(MATCH(148,'كشف الحساب'!$N$4:$N$203,0),0))),"")</f>
        <v/>
      </c>
      <c r="K152" s="95">
        <f>IFERROR(IF(IFERROR(MATCH(148,'كشف الحساب'!$N$4:$N$203,0),0)=0,"",INDEX('كشف الحساب'!$K$4:$K$203,IFERROR(MATCH(148,'كشف الحساب'!$N$4:$N$203,0),0))),"")</f>
        <v/>
      </c>
    </row>
    <row r="153" ht="15" customHeight="1" s="67">
      <c r="A153" s="88">
        <f>IFERROR(IF(IFERROR(MATCH(149,'كشف الحساب'!$N$4:$N$203,0),0)=0,"",INDEX('كشف الحساب'!$A$4:$A$203,IFERROR(MATCH(149,'كشف الحساب'!$N$4:$N$203,0),0))),"")</f>
        <v/>
      </c>
      <c r="B153" s="89">
        <f>IFERROR(IF(IFERROR(MATCH(149,'كشف الحساب'!$N$4:$N$203,0),0)=0,"",INDEX('كشف الحساب'!$B$4:$B$203,IFERROR(MATCH(149,'كشف الحساب'!$N$4:$N$203,0),0))),"")</f>
        <v/>
      </c>
      <c r="C153" s="90">
        <f>IFERROR(IF(IFERROR(MATCH(149,'كشف الحساب'!$N$4:$N$203,0),0)=0,"",INDEX('كشف الحساب'!$C$4:$C$203,IFERROR(MATCH(149,'كشف الحساب'!$N$4:$N$203,0),0))),"")</f>
        <v/>
      </c>
      <c r="D153" s="91">
        <f>IFERROR(IF(IFERROR(MATCH(149,'كشف الحساب'!$N$4:$N$203,0),0)=0,"",INDEX('كشف الحساب'!$D$4:$D$203,IFERROR(MATCH(149,'كشف الحساب'!$N$4:$N$203,0),0))),"")</f>
        <v/>
      </c>
      <c r="E153" s="92">
        <f>IFERROR(IF(IFERROR(MATCH(149,'كشف الحساب'!$N$4:$N$203,0),0)=0,"",INDEX('كشف الحساب'!$E$4:$E$203,IFERROR(MATCH(149,'كشف الحساب'!$N$4:$N$203,0),0))),"")</f>
        <v/>
      </c>
      <c r="F153" s="89">
        <f>IFERROR(IF(IFERROR(MATCH(149,'كشف الحساب'!$N$4:$N$203,0),0)=0,"",INDEX('كشف الحساب'!$F$4:$F$203,IFERROR(MATCH(149,'كشف الحساب'!$N$4:$N$203,0),0))),"")</f>
        <v/>
      </c>
      <c r="G153" s="89">
        <f>IFERROR(IF(IFERROR(MATCH(149,'كشف الحساب'!$N$4:$N$203,0),0)=0,"",INDEX('كشف الحساب'!$G$4:$G$203,IFERROR(MATCH(149,'كشف الحساب'!$N$4:$N$203,0),0))),"")</f>
        <v/>
      </c>
      <c r="H153" s="89">
        <f>IFERROR(IF(IFERROR(MATCH(149,'كشف الحساب'!$N$4:$N$203,0),0)=0,"",INDEX('كشف الحساب'!$H$4:$H$203,IFERROR(MATCH(149,'كشف الحساب'!$N$4:$N$203,0),0))),"")</f>
        <v/>
      </c>
      <c r="I153" s="89">
        <f>IFERROR(IF(IFERROR(MATCH(149,'كشف الحساب'!$N$4:$N$203,0),0)=0,"",INDEX('كشف الحساب'!$I$4:$I$203,IFERROR(MATCH(149,'كشف الحساب'!$N$4:$N$203,0),0))),"")</f>
        <v/>
      </c>
      <c r="J153" s="93">
        <f>IFERROR(IF(IFERROR(MATCH(149,'كشف الحساب'!$N$4:$N$203,0),0)=0,"",INDEX('كشف الحساب'!$J$4:$J$203,IFERROR(MATCH(149,'كشف الحساب'!$N$4:$N$203,0),0))),"")</f>
        <v/>
      </c>
      <c r="K153" s="89">
        <f>IFERROR(IF(IFERROR(MATCH(149,'كشف الحساب'!$N$4:$N$203,0),0)=0,"",INDEX('كشف الحساب'!$K$4:$K$203,IFERROR(MATCH(149,'كشف الحساب'!$N$4:$N$203,0),0))),"")</f>
        <v/>
      </c>
    </row>
    <row r="154" ht="15" customHeight="1" s="67">
      <c r="A154" s="94">
        <f>IFERROR(IF(IFERROR(MATCH(150,'كشف الحساب'!$N$4:$N$203,0),0)=0,"",INDEX('كشف الحساب'!$A$4:$A$203,IFERROR(MATCH(150,'كشف الحساب'!$N$4:$N$203,0),0))),"")</f>
        <v/>
      </c>
      <c r="B154" s="95">
        <f>IFERROR(IF(IFERROR(MATCH(150,'كشف الحساب'!$N$4:$N$203,0),0)=0,"",INDEX('كشف الحساب'!$B$4:$B$203,IFERROR(MATCH(150,'كشف الحساب'!$N$4:$N$203,0),0))),"")</f>
        <v/>
      </c>
      <c r="C154" s="96">
        <f>IFERROR(IF(IFERROR(MATCH(150,'كشف الحساب'!$N$4:$N$203,0),0)=0,"",INDEX('كشف الحساب'!$C$4:$C$203,IFERROR(MATCH(150,'كشف الحساب'!$N$4:$N$203,0),0))),"")</f>
        <v/>
      </c>
      <c r="D154" s="97">
        <f>IFERROR(IF(IFERROR(MATCH(150,'كشف الحساب'!$N$4:$N$203,0),0)=0,"",INDEX('كشف الحساب'!$D$4:$D$203,IFERROR(MATCH(150,'كشف الحساب'!$N$4:$N$203,0),0))),"")</f>
        <v/>
      </c>
      <c r="E154" s="98">
        <f>IFERROR(IF(IFERROR(MATCH(150,'كشف الحساب'!$N$4:$N$203,0),0)=0,"",INDEX('كشف الحساب'!$E$4:$E$203,IFERROR(MATCH(150,'كشف الحساب'!$N$4:$N$203,0),0))),"")</f>
        <v/>
      </c>
      <c r="F154" s="95">
        <f>IFERROR(IF(IFERROR(MATCH(150,'كشف الحساب'!$N$4:$N$203,0),0)=0,"",INDEX('كشف الحساب'!$F$4:$F$203,IFERROR(MATCH(150,'كشف الحساب'!$N$4:$N$203,0),0))),"")</f>
        <v/>
      </c>
      <c r="G154" s="95">
        <f>IFERROR(IF(IFERROR(MATCH(150,'كشف الحساب'!$N$4:$N$203,0),0)=0,"",INDEX('كشف الحساب'!$G$4:$G$203,IFERROR(MATCH(150,'كشف الحساب'!$N$4:$N$203,0),0))),"")</f>
        <v/>
      </c>
      <c r="H154" s="95">
        <f>IFERROR(IF(IFERROR(MATCH(150,'كشف الحساب'!$N$4:$N$203,0),0)=0,"",INDEX('كشف الحساب'!$H$4:$H$203,IFERROR(MATCH(150,'كشف الحساب'!$N$4:$N$203,0),0))),"")</f>
        <v/>
      </c>
      <c r="I154" s="95">
        <f>IFERROR(IF(IFERROR(MATCH(150,'كشف الحساب'!$N$4:$N$203,0),0)=0,"",INDEX('كشف الحساب'!$I$4:$I$203,IFERROR(MATCH(150,'كشف الحساب'!$N$4:$N$203,0),0))),"")</f>
        <v/>
      </c>
      <c r="J154" s="99">
        <f>IFERROR(IF(IFERROR(MATCH(150,'كشف الحساب'!$N$4:$N$203,0),0)=0,"",INDEX('كشف الحساب'!$J$4:$J$203,IFERROR(MATCH(150,'كشف الحساب'!$N$4:$N$203,0),0))),"")</f>
        <v/>
      </c>
      <c r="K154" s="95">
        <f>IFERROR(IF(IFERROR(MATCH(150,'كشف الحساب'!$N$4:$N$203,0),0)=0,"",INDEX('كشف الحساب'!$K$4:$K$203,IFERROR(MATCH(150,'كشف الحساب'!$N$4:$N$203,0),0))),"")</f>
        <v/>
      </c>
    </row>
    <row r="155" ht="21.75" customHeight="1" s="67">
      <c r="A155" s="155" t="inlineStr">
        <is>
          <t>ملخص الفترة المختارة</t>
        </is>
      </c>
      <c r="B155" s="69" t="n"/>
      <c r="C155" s="69" t="n"/>
      <c r="D155" s="100">
        <f>SUM(D5:D154)</f>
        <v/>
      </c>
      <c r="E155" s="100">
        <f>SUM(E5:E154)</f>
        <v/>
      </c>
      <c r="F155" s="156">
        <f>COUNTIF(H5:H154,"معلق")</f>
        <v/>
      </c>
      <c r="G155" s="69" t="n"/>
      <c r="H155" s="69" t="n"/>
      <c r="I155" s="101" t="n"/>
      <c r="J155" s="100">
        <f>E155-D155</f>
        <v/>
      </c>
      <c r="K155" s="101" t="n"/>
    </row>
    <row r="156" ht="15.75" customHeight="1" s="67">
      <c r="A156" s="102" t="n"/>
      <c r="B156" s="102" t="n"/>
      <c r="C156" s="102" t="n"/>
      <c r="D156" s="72" t="inlineStr">
        <is>
          <t>إجمالي السحوبات</t>
        </is>
      </c>
      <c r="E156" s="73" t="inlineStr">
        <is>
          <t>إجمالي الإيرادات</t>
        </is>
      </c>
      <c r="F156" s="74" t="inlineStr">
        <is>
          <t>عدد المعلقات</t>
        </is>
      </c>
      <c r="G156" s="102" t="n"/>
      <c r="H156" s="102" t="n"/>
      <c r="I156" s="102" t="n"/>
      <c r="J156" s="75" t="inlineStr">
        <is>
          <t>صافي الفترة</t>
        </is>
      </c>
      <c r="K156" s="102" t="n"/>
    </row>
  </sheetData>
  <mergeCells count="7">
    <mergeCell ref="A2:B2"/>
    <mergeCell ref="D2:E2"/>
    <mergeCell ref="A155:C155"/>
    <mergeCell ref="F155:H155"/>
    <mergeCell ref="G2:K2"/>
    <mergeCell ref="A3:C3"/>
    <mergeCell ref="A1:K1"/>
  </mergeCells>
  <conditionalFormatting sqref="J5:J154">
    <cfRule type="cellIs" priority="2" operator="lessThan" dxfId="1">
      <formula>0</formula>
    </cfRule>
    <cfRule type="cellIs" priority="3" operator="greaterThanOrEqual" dxfId="0">
      <formula>0</formula>
    </cfRule>
  </conditionalFormatting>
  <dataValidations count="2">
    <dataValidation sqref="C2" showDropDown="0" showInputMessage="0" showErrorMessage="0" allowBlank="0" type="list">
      <formula1>"يناير,فبراير,مارس,أبريل,مايو,يونيو,يوليو,أغسطس,سبتمبر,أكتوبر,نوفمبر,ديسمبر,الكل"</formula1>
      <formula2>0</formula2>
    </dataValidation>
    <dataValidation sqref="F2" showDropDown="0" showInputMessage="0" showErrorMessage="0" allowBlank="0" type="list">
      <formula1>"2024,2025,2026,2027,2028,الكل"</formula1>
      <formula2>0</formula2>
    </dataValidation>
  </dataValidations>
  <pageMargins left="0.25" right="0.25" top="0.75" bottom="0.75" header="0.3" footer="0.3"/>
  <pageSetup orientation="landscape" paperSize="9" scale="76" fitToHeight="0" horizontalDpi="300" verticalDpi="300"/>
  <headerFooter>
    <oddHeader>&amp;C&amp;12 كشف حساب المزرعة  —  Farm Account Statement</oddHeader>
    <oddFooter>&amp;Lتاريخ الطباعة: &amp;D&amp;Cالصفحة &amp;P من &amp;N&amp;Rسري - للاستخدام الداخلي فقط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8"/>
  <sheetViews>
    <sheetView rightToLeft="1" zoomScaleNormal="100" workbookViewId="0">
      <pane ySplit="4" topLeftCell="A5" activePane="bottomLeft" state="frozen"/>
      <selection pane="bottomLeft" activeCell="C2" sqref="C2"/>
    </sheetView>
  </sheetViews>
  <sheetFormatPr baseColWidth="8" defaultColWidth="8.7109375" defaultRowHeight="15"/>
  <cols>
    <col width="12" customWidth="1" style="67" min="1" max="1"/>
    <col width="15" customWidth="1" style="67" min="2" max="2"/>
    <col width="38" customWidth="1" style="67" min="3" max="3"/>
    <col width="16" customWidth="1" style="67" min="4" max="5"/>
    <col width="20" customWidth="1" style="67" min="6" max="6"/>
    <col width="16" customWidth="1" style="67" min="7" max="7"/>
  </cols>
  <sheetData>
    <row r="1" ht="30" customHeight="1" s="67">
      <c r="A1" s="145" t="inlineStr">
        <is>
          <t>💰  المحفظة  —  Farm Wallet</t>
        </is>
      </c>
      <c r="B1" s="69" t="n"/>
      <c r="C1" s="69" t="n"/>
      <c r="D1" s="69" t="n"/>
      <c r="E1" s="69" t="n"/>
      <c r="F1" s="69" t="n"/>
      <c r="G1" s="69" t="n"/>
    </row>
    <row r="2" ht="24" customHeight="1" s="67">
      <c r="A2" s="157" t="inlineStr">
        <is>
          <t>اختر الشهر:</t>
        </is>
      </c>
      <c r="B2" s="69" t="n"/>
      <c r="C2" s="81" t="inlineStr">
        <is>
          <t>يونيو</t>
        </is>
      </c>
      <c r="D2" s="157" t="inlineStr">
        <is>
          <t>اختر السنة:</t>
        </is>
      </c>
      <c r="E2" s="69" t="n"/>
      <c r="F2" s="81" t="n">
        <v>2026</v>
      </c>
    </row>
    <row r="3" ht="21.75" customHeight="1" s="67">
      <c r="A3" s="159" t="inlineStr">
        <is>
          <t>رصيد المحفظة الافتتاحي:</t>
        </is>
      </c>
      <c r="B3" s="69" t="n"/>
      <c r="C3" s="82">
        <f>المحفظة!$D$2</f>
        <v/>
      </c>
      <c r="D3" s="159" t="inlineStr">
        <is>
          <t>رصيد المحفظة الحالي:</t>
        </is>
      </c>
      <c r="E3" s="69" t="n"/>
      <c r="F3" s="103">
        <f>المحفظة!$C$3</f>
        <v/>
      </c>
    </row>
    <row r="4" ht="21.75" customHeight="1" s="67">
      <c r="A4" s="140" t="inlineStr">
        <is>
          <t>🟢  الإيرادات</t>
        </is>
      </c>
      <c r="B4" s="69" t="n"/>
      <c r="C4" s="69" t="n"/>
      <c r="D4" s="69" t="n"/>
      <c r="E4" s="69" t="n"/>
      <c r="F4" s="69" t="n"/>
      <c r="G4" s="69" t="n"/>
    </row>
    <row r="5" ht="16.5" customHeight="1" s="67">
      <c r="A5" s="3">
        <f>IFERROR(IF(IFERROR(MATCH(1,المحفظة!$H$5:$H$104,0),0)=0,"",INDEX(المحفظة!$A$5:$A$104,IFERROR(MATCH(1,المحفظة!$H$5:$H$104,0),0))),"")</f>
        <v/>
      </c>
      <c r="B5" s="4">
        <f>IFERROR(IF(IFERROR(MATCH(1,المحفظة!$H$5:$H$104,0),0)=0,"",INDEX(المحفظة!$B$5:$B$104,IFERROR(MATCH(1,المحفظة!$H$5:$H$104,0),0))),"")</f>
        <v/>
      </c>
      <c r="C5" s="104">
        <f>IFERROR(IF(IFERROR(MATCH(1,المحفظة!$H$5:$H$104,0),0)=0,"",INDEX(المحفظة!$C$5:$C$104,IFERROR(MATCH(1,المحفظة!$H$5:$H$104,0),0))),"")</f>
        <v/>
      </c>
      <c r="D5" s="6" t="inlineStr">
        <is>
          <t>—</t>
        </is>
      </c>
      <c r="E5" s="7">
        <f>IFERROR(IF(IFERROR(MATCH(1,المحفظة!$H$5:$H$104,0),0)=0,"",INDEX(المحفظة!$E$5:$E$104,IFERROR(MATCH(1,المحفظة!$H$5:$H$104,0),0))),"")</f>
        <v/>
      </c>
      <c r="F5" s="4">
        <f>IFERROR(IF(IFERROR(MATCH(1,المحفظة!$H$5:$H$104,0),0)=0,"",INDEX(المحفظة!$F$5:$F$104,IFERROR(MATCH(1,المحفظة!$H$5:$H$104,0),0))),"")</f>
        <v/>
      </c>
      <c r="G5" s="105" t="n"/>
    </row>
    <row r="6" ht="16.5" customHeight="1" s="67">
      <c r="A6" s="10">
        <f>IFERROR(IF(IFERROR(MATCH(2,المحفظة!$H$5:$H$104,0),0)=0,"",INDEX(المحفظة!$A$5:$A$104,IFERROR(MATCH(2,المحفظة!$H$5:$H$104,0),0))),"")</f>
        <v/>
      </c>
      <c r="B6" s="11">
        <f>IFERROR(IF(IFERROR(MATCH(2,المحفظة!$H$5:$H$104,0),0)=0,"",INDEX(المحفظة!$B$5:$B$104,IFERROR(MATCH(2,المحفظة!$H$5:$H$104,0),0))),"")</f>
        <v/>
      </c>
      <c r="C6" s="106">
        <f>IFERROR(IF(IFERROR(MATCH(2,المحفظة!$H$5:$H$104,0),0)=0,"",INDEX(المحفظة!$C$5:$C$104,IFERROR(MATCH(2,المحفظة!$H$5:$H$104,0),0))),"")</f>
        <v/>
      </c>
      <c r="D6" s="13" t="inlineStr">
        <is>
          <t>—</t>
        </is>
      </c>
      <c r="E6" s="14">
        <f>IFERROR(IF(IFERROR(MATCH(2,المحفظة!$H$5:$H$104,0),0)=0,"",INDEX(المحفظة!$E$5:$E$104,IFERROR(MATCH(2,المحفظة!$H$5:$H$104,0),0))),"")</f>
        <v/>
      </c>
      <c r="F6" s="11">
        <f>IFERROR(IF(IFERROR(MATCH(2,المحفظة!$H$5:$H$104,0),0)=0,"",INDEX(المحفظة!$F$5:$F$104,IFERROR(MATCH(2,المحفظة!$H$5:$H$104,0),0))),"")</f>
        <v/>
      </c>
      <c r="G6" s="107" t="n"/>
    </row>
    <row r="7" ht="16.5" customHeight="1" s="67">
      <c r="A7" s="3">
        <f>IFERROR(IF(IFERROR(MATCH(3,المحفظة!$H$5:$H$104,0),0)=0,"",INDEX(المحفظة!$A$5:$A$104,IFERROR(MATCH(3,المحفظة!$H$5:$H$104,0),0))),"")</f>
        <v/>
      </c>
      <c r="B7" s="4">
        <f>IFERROR(IF(IFERROR(MATCH(3,المحفظة!$H$5:$H$104,0),0)=0,"",INDEX(المحفظة!$B$5:$B$104,IFERROR(MATCH(3,المحفظة!$H$5:$H$104,0),0))),"")</f>
        <v/>
      </c>
      <c r="C7" s="104">
        <f>IFERROR(IF(IFERROR(MATCH(3,المحفظة!$H$5:$H$104,0),0)=0,"",INDEX(المحفظة!$C$5:$C$104,IFERROR(MATCH(3,المحفظة!$H$5:$H$104,0),0))),"")</f>
        <v/>
      </c>
      <c r="D7" s="6" t="inlineStr">
        <is>
          <t>—</t>
        </is>
      </c>
      <c r="E7" s="7">
        <f>IFERROR(IF(IFERROR(MATCH(3,المحفظة!$H$5:$H$104,0),0)=0,"",INDEX(المحفظة!$E$5:$E$104,IFERROR(MATCH(3,المحفظة!$H$5:$H$104,0),0))),"")</f>
        <v/>
      </c>
      <c r="F7" s="4">
        <f>IFERROR(IF(IFERROR(MATCH(3,المحفظة!$H$5:$H$104,0),0)=0,"",INDEX(المحفظة!$F$5:$F$104,IFERROR(MATCH(3,المحفظة!$H$5:$H$104,0),0))),"")</f>
        <v/>
      </c>
      <c r="G7" s="105" t="n"/>
    </row>
    <row r="8" ht="16.5" customHeight="1" s="67">
      <c r="A8" s="10">
        <f>IFERROR(IF(IFERROR(MATCH(4,المحفظة!$H$5:$H$104,0),0)=0,"",INDEX(المحفظة!$A$5:$A$104,IFERROR(MATCH(4,المحفظة!$H$5:$H$104,0),0))),"")</f>
        <v/>
      </c>
      <c r="B8" s="11">
        <f>IFERROR(IF(IFERROR(MATCH(4,المحفظة!$H$5:$H$104,0),0)=0,"",INDEX(المحفظة!$B$5:$B$104,IFERROR(MATCH(4,المحفظة!$H$5:$H$104,0),0))),"")</f>
        <v/>
      </c>
      <c r="C8" s="106">
        <f>IFERROR(IF(IFERROR(MATCH(4,المحفظة!$H$5:$H$104,0),0)=0,"",INDEX(المحفظة!$C$5:$C$104,IFERROR(MATCH(4,المحفظة!$H$5:$H$104,0),0))),"")</f>
        <v/>
      </c>
      <c r="D8" s="13" t="inlineStr">
        <is>
          <t>—</t>
        </is>
      </c>
      <c r="E8" s="14">
        <f>IFERROR(IF(IFERROR(MATCH(4,المحفظة!$H$5:$H$104,0),0)=0,"",INDEX(المحفظة!$E$5:$E$104,IFERROR(MATCH(4,المحفظة!$H$5:$H$104,0),0))),"")</f>
        <v/>
      </c>
      <c r="F8" s="11">
        <f>IFERROR(IF(IFERROR(MATCH(4,المحفظة!$H$5:$H$104,0),0)=0,"",INDEX(المحفظة!$F$5:$F$104,IFERROR(MATCH(4,المحفظة!$H$5:$H$104,0),0))),"")</f>
        <v/>
      </c>
      <c r="G8" s="107" t="n"/>
    </row>
    <row r="9" ht="16.5" customHeight="1" s="67">
      <c r="A9" s="3">
        <f>IFERROR(IF(IFERROR(MATCH(5,المحفظة!$H$5:$H$104,0),0)=0,"",INDEX(المحفظة!$A$5:$A$104,IFERROR(MATCH(5,المحفظة!$H$5:$H$104,0),0))),"")</f>
        <v/>
      </c>
      <c r="B9" s="4">
        <f>IFERROR(IF(IFERROR(MATCH(5,المحفظة!$H$5:$H$104,0),0)=0,"",INDEX(المحفظة!$B$5:$B$104,IFERROR(MATCH(5,المحفظة!$H$5:$H$104,0),0))),"")</f>
        <v/>
      </c>
      <c r="C9" s="104">
        <f>IFERROR(IF(IFERROR(MATCH(5,المحفظة!$H$5:$H$104,0),0)=0,"",INDEX(المحفظة!$C$5:$C$104,IFERROR(MATCH(5,المحفظة!$H$5:$H$104,0),0))),"")</f>
        <v/>
      </c>
      <c r="D9" s="6" t="inlineStr">
        <is>
          <t>—</t>
        </is>
      </c>
      <c r="E9" s="7">
        <f>IFERROR(IF(IFERROR(MATCH(5,المحفظة!$H$5:$H$104,0),0)=0,"",INDEX(المحفظة!$E$5:$E$104,IFERROR(MATCH(5,المحفظة!$H$5:$H$104,0),0))),"")</f>
        <v/>
      </c>
      <c r="F9" s="4">
        <f>IFERROR(IF(IFERROR(MATCH(5,المحفظة!$H$5:$H$104,0),0)=0,"",INDEX(المحفظة!$F$5:$F$104,IFERROR(MATCH(5,المحفظة!$H$5:$H$104,0),0))),"")</f>
        <v/>
      </c>
      <c r="G9" s="105" t="n"/>
    </row>
    <row r="10" ht="16.5" customHeight="1" s="67">
      <c r="A10" s="10">
        <f>IFERROR(IF(IFERROR(MATCH(6,المحفظة!$H$5:$H$104,0),0)=0,"",INDEX(المحفظة!$A$5:$A$104,IFERROR(MATCH(6,المحفظة!$H$5:$H$104,0),0))),"")</f>
        <v/>
      </c>
      <c r="B10" s="11">
        <f>IFERROR(IF(IFERROR(MATCH(6,المحفظة!$H$5:$H$104,0),0)=0,"",INDEX(المحفظة!$B$5:$B$104,IFERROR(MATCH(6,المحفظة!$H$5:$H$104,0),0))),"")</f>
        <v/>
      </c>
      <c r="C10" s="106">
        <f>IFERROR(IF(IFERROR(MATCH(6,المحفظة!$H$5:$H$104,0),0)=0,"",INDEX(المحفظة!$C$5:$C$104,IFERROR(MATCH(6,المحفظة!$H$5:$H$104,0),0))),"")</f>
        <v/>
      </c>
      <c r="D10" s="13" t="inlineStr">
        <is>
          <t>—</t>
        </is>
      </c>
      <c r="E10" s="14">
        <f>IFERROR(IF(IFERROR(MATCH(6,المحفظة!$H$5:$H$104,0),0)=0,"",INDEX(المحفظة!$E$5:$E$104,IFERROR(MATCH(6,المحفظة!$H$5:$H$104,0),0))),"")</f>
        <v/>
      </c>
      <c r="F10" s="11">
        <f>IFERROR(IF(IFERROR(MATCH(6,المحفظة!$H$5:$H$104,0),0)=0,"",INDEX(المحفظة!$F$5:$F$104,IFERROR(MATCH(6,المحفظة!$H$5:$H$104,0),0))),"")</f>
        <v/>
      </c>
      <c r="G10" s="107" t="n"/>
    </row>
    <row r="11" ht="16.5" customHeight="1" s="67">
      <c r="A11" s="3">
        <f>IFERROR(IF(IFERROR(MATCH(7,المحفظة!$H$5:$H$104,0),0)=0,"",INDEX(المحفظة!$A$5:$A$104,IFERROR(MATCH(7,المحفظة!$H$5:$H$104,0),0))),"")</f>
        <v/>
      </c>
      <c r="B11" s="4">
        <f>IFERROR(IF(IFERROR(MATCH(7,المحفظة!$H$5:$H$104,0),0)=0,"",INDEX(المحفظة!$B$5:$B$104,IFERROR(MATCH(7,المحفظة!$H$5:$H$104,0),0))),"")</f>
        <v/>
      </c>
      <c r="C11" s="104">
        <f>IFERROR(IF(IFERROR(MATCH(7,المحفظة!$H$5:$H$104,0),0)=0,"",INDEX(المحفظة!$C$5:$C$104,IFERROR(MATCH(7,المحفظة!$H$5:$H$104,0),0))),"")</f>
        <v/>
      </c>
      <c r="D11" s="6" t="inlineStr">
        <is>
          <t>—</t>
        </is>
      </c>
      <c r="E11" s="7">
        <f>IFERROR(IF(IFERROR(MATCH(7,المحفظة!$H$5:$H$104,0),0)=0,"",INDEX(المحفظة!$E$5:$E$104,IFERROR(MATCH(7,المحفظة!$H$5:$H$104,0),0))),"")</f>
        <v/>
      </c>
      <c r="F11" s="4">
        <f>IFERROR(IF(IFERROR(MATCH(7,المحفظة!$H$5:$H$104,0),0)=0,"",INDEX(المحفظة!$F$5:$F$104,IFERROR(MATCH(7,المحفظة!$H$5:$H$104,0),0))),"")</f>
        <v/>
      </c>
      <c r="G11" s="105" t="n"/>
    </row>
    <row r="12" ht="16.5" customHeight="1" s="67">
      <c r="A12" s="10">
        <f>IFERROR(IF(IFERROR(MATCH(8,المحفظة!$H$5:$H$104,0),0)=0,"",INDEX(المحفظة!$A$5:$A$104,IFERROR(MATCH(8,المحفظة!$H$5:$H$104,0),0))),"")</f>
        <v/>
      </c>
      <c r="B12" s="11">
        <f>IFERROR(IF(IFERROR(MATCH(8,المحفظة!$H$5:$H$104,0),0)=0,"",INDEX(المحفظة!$B$5:$B$104,IFERROR(MATCH(8,المحفظة!$H$5:$H$104,0),0))),"")</f>
        <v/>
      </c>
      <c r="C12" s="106">
        <f>IFERROR(IF(IFERROR(MATCH(8,المحفظة!$H$5:$H$104,0),0)=0,"",INDEX(المحفظة!$C$5:$C$104,IFERROR(MATCH(8,المحفظة!$H$5:$H$104,0),0))),"")</f>
        <v/>
      </c>
      <c r="D12" s="13" t="inlineStr">
        <is>
          <t>—</t>
        </is>
      </c>
      <c r="E12" s="14">
        <f>IFERROR(IF(IFERROR(MATCH(8,المحفظة!$H$5:$H$104,0),0)=0,"",INDEX(المحفظة!$E$5:$E$104,IFERROR(MATCH(8,المحفظة!$H$5:$H$104,0),0))),"")</f>
        <v/>
      </c>
      <c r="F12" s="11">
        <f>IFERROR(IF(IFERROR(MATCH(8,المحفظة!$H$5:$H$104,0),0)=0,"",INDEX(المحفظة!$F$5:$F$104,IFERROR(MATCH(8,المحفظة!$H$5:$H$104,0),0))),"")</f>
        <v/>
      </c>
      <c r="G12" s="107" t="n"/>
    </row>
    <row r="13" ht="16.5" customHeight="1" s="67">
      <c r="A13" s="3">
        <f>IFERROR(IF(IFERROR(MATCH(9,المحفظة!$H$5:$H$104,0),0)=0,"",INDEX(المحفظة!$A$5:$A$104,IFERROR(MATCH(9,المحفظة!$H$5:$H$104,0),0))),"")</f>
        <v/>
      </c>
      <c r="B13" s="4">
        <f>IFERROR(IF(IFERROR(MATCH(9,المحفظة!$H$5:$H$104,0),0)=0,"",INDEX(المحفظة!$B$5:$B$104,IFERROR(MATCH(9,المحفظة!$H$5:$H$104,0),0))),"")</f>
        <v/>
      </c>
      <c r="C13" s="104">
        <f>IFERROR(IF(IFERROR(MATCH(9,المحفظة!$H$5:$H$104,0),0)=0,"",INDEX(المحفظة!$C$5:$C$104,IFERROR(MATCH(9,المحفظة!$H$5:$H$104,0),0))),"")</f>
        <v/>
      </c>
      <c r="D13" s="6" t="inlineStr">
        <is>
          <t>—</t>
        </is>
      </c>
      <c r="E13" s="7">
        <f>IFERROR(IF(IFERROR(MATCH(9,المحفظة!$H$5:$H$104,0),0)=0,"",INDEX(المحفظة!$E$5:$E$104,IFERROR(MATCH(9,المحفظة!$H$5:$H$104,0),0))),"")</f>
        <v/>
      </c>
      <c r="F13" s="4">
        <f>IFERROR(IF(IFERROR(MATCH(9,المحفظة!$H$5:$H$104,0),0)=0,"",INDEX(المحفظة!$F$5:$F$104,IFERROR(MATCH(9,المحفظة!$H$5:$H$104,0),0))),"")</f>
        <v/>
      </c>
      <c r="G13" s="105" t="n"/>
    </row>
    <row r="14" ht="16.5" customHeight="1" s="67">
      <c r="A14" s="10">
        <f>IFERROR(IF(IFERROR(MATCH(10,المحفظة!$H$5:$H$104,0),0)=0,"",INDEX(المحفظة!$A$5:$A$104,IFERROR(MATCH(10,المحفظة!$H$5:$H$104,0),0))),"")</f>
        <v/>
      </c>
      <c r="B14" s="11">
        <f>IFERROR(IF(IFERROR(MATCH(10,المحفظة!$H$5:$H$104,0),0)=0,"",INDEX(المحفظة!$B$5:$B$104,IFERROR(MATCH(10,المحفظة!$H$5:$H$104,0),0))),"")</f>
        <v/>
      </c>
      <c r="C14" s="106">
        <f>IFERROR(IF(IFERROR(MATCH(10,المحفظة!$H$5:$H$104,0),0)=0,"",INDEX(المحفظة!$C$5:$C$104,IFERROR(MATCH(10,المحفظة!$H$5:$H$104,0),0))),"")</f>
        <v/>
      </c>
      <c r="D14" s="13" t="inlineStr">
        <is>
          <t>—</t>
        </is>
      </c>
      <c r="E14" s="14">
        <f>IFERROR(IF(IFERROR(MATCH(10,المحفظة!$H$5:$H$104,0),0)=0,"",INDEX(المحفظة!$E$5:$E$104,IFERROR(MATCH(10,المحفظة!$H$5:$H$104,0),0))),"")</f>
        <v/>
      </c>
      <c r="F14" s="11">
        <f>IFERROR(IF(IFERROR(MATCH(10,المحفظة!$H$5:$H$104,0),0)=0,"",INDEX(المحفظة!$F$5:$F$104,IFERROR(MATCH(10,المحفظة!$H$5:$H$104,0),0))),"")</f>
        <v/>
      </c>
      <c r="G14" s="107" t="n"/>
    </row>
    <row r="15" ht="16.5" customHeight="1" s="67">
      <c r="A15" s="3">
        <f>IFERROR(IF(IFERROR(MATCH(11,المحفظة!$H$5:$H$104,0),0)=0,"",INDEX(المحفظة!$A$5:$A$104,IFERROR(MATCH(11,المحفظة!$H$5:$H$104,0),0))),"")</f>
        <v/>
      </c>
      <c r="B15" s="4">
        <f>IFERROR(IF(IFERROR(MATCH(11,المحفظة!$H$5:$H$104,0),0)=0,"",INDEX(المحفظة!$B$5:$B$104,IFERROR(MATCH(11,المحفظة!$H$5:$H$104,0),0))),"")</f>
        <v/>
      </c>
      <c r="C15" s="104">
        <f>IFERROR(IF(IFERROR(MATCH(11,المحفظة!$H$5:$H$104,0),0)=0,"",INDEX(المحفظة!$C$5:$C$104,IFERROR(MATCH(11,المحفظة!$H$5:$H$104,0),0))),"")</f>
        <v/>
      </c>
      <c r="D15" s="6" t="inlineStr">
        <is>
          <t>—</t>
        </is>
      </c>
      <c r="E15" s="7">
        <f>IFERROR(IF(IFERROR(MATCH(11,المحفظة!$H$5:$H$104,0),0)=0,"",INDEX(المحفظة!$E$5:$E$104,IFERROR(MATCH(11,المحفظة!$H$5:$H$104,0),0))),"")</f>
        <v/>
      </c>
      <c r="F15" s="4">
        <f>IFERROR(IF(IFERROR(MATCH(11,المحفظة!$H$5:$H$104,0),0)=0,"",INDEX(المحفظة!$F$5:$F$104,IFERROR(MATCH(11,المحفظة!$H$5:$H$104,0),0))),"")</f>
        <v/>
      </c>
      <c r="G15" s="105" t="n"/>
    </row>
    <row r="16" ht="16.5" customHeight="1" s="67">
      <c r="A16" s="10">
        <f>IFERROR(IF(IFERROR(MATCH(12,المحفظة!$H$5:$H$104,0),0)=0,"",INDEX(المحفظة!$A$5:$A$104,IFERROR(MATCH(12,المحفظة!$H$5:$H$104,0),0))),"")</f>
        <v/>
      </c>
      <c r="B16" s="11">
        <f>IFERROR(IF(IFERROR(MATCH(12,المحفظة!$H$5:$H$104,0),0)=0,"",INDEX(المحفظة!$B$5:$B$104,IFERROR(MATCH(12,المحفظة!$H$5:$H$104,0),0))),"")</f>
        <v/>
      </c>
      <c r="C16" s="106">
        <f>IFERROR(IF(IFERROR(MATCH(12,المحفظة!$H$5:$H$104,0),0)=0,"",INDEX(المحفظة!$C$5:$C$104,IFERROR(MATCH(12,المحفظة!$H$5:$H$104,0),0))),"")</f>
        <v/>
      </c>
      <c r="D16" s="13" t="inlineStr">
        <is>
          <t>—</t>
        </is>
      </c>
      <c r="E16" s="14">
        <f>IFERROR(IF(IFERROR(MATCH(12,المحفظة!$H$5:$H$104,0),0)=0,"",INDEX(المحفظة!$E$5:$E$104,IFERROR(MATCH(12,المحفظة!$H$5:$H$104,0),0))),"")</f>
        <v/>
      </c>
      <c r="F16" s="11">
        <f>IFERROR(IF(IFERROR(MATCH(12,المحفظة!$H$5:$H$104,0),0)=0,"",INDEX(المحفظة!$F$5:$F$104,IFERROR(MATCH(12,المحفظة!$H$5:$H$104,0),0))),"")</f>
        <v/>
      </c>
      <c r="G16" s="107" t="n"/>
    </row>
    <row r="17" ht="16.5" customHeight="1" s="67">
      <c r="A17" s="3">
        <f>IFERROR(IF(IFERROR(MATCH(13,المحفظة!$H$5:$H$104,0),0)=0,"",INDEX(المحفظة!$A$5:$A$104,IFERROR(MATCH(13,المحفظة!$H$5:$H$104,0),0))),"")</f>
        <v/>
      </c>
      <c r="B17" s="4">
        <f>IFERROR(IF(IFERROR(MATCH(13,المحفظة!$H$5:$H$104,0),0)=0,"",INDEX(المحفظة!$B$5:$B$104,IFERROR(MATCH(13,المحفظة!$H$5:$H$104,0),0))),"")</f>
        <v/>
      </c>
      <c r="C17" s="104">
        <f>IFERROR(IF(IFERROR(MATCH(13,المحفظة!$H$5:$H$104,0),0)=0,"",INDEX(المحفظة!$C$5:$C$104,IFERROR(MATCH(13,المحفظة!$H$5:$H$104,0),0))),"")</f>
        <v/>
      </c>
      <c r="D17" s="6" t="inlineStr">
        <is>
          <t>—</t>
        </is>
      </c>
      <c r="E17" s="7">
        <f>IFERROR(IF(IFERROR(MATCH(13,المحفظة!$H$5:$H$104,0),0)=0,"",INDEX(المحفظة!$E$5:$E$104,IFERROR(MATCH(13,المحفظة!$H$5:$H$104,0),0))),"")</f>
        <v/>
      </c>
      <c r="F17" s="4">
        <f>IFERROR(IF(IFERROR(MATCH(13,المحفظة!$H$5:$H$104,0),0)=0,"",INDEX(المحفظة!$F$5:$F$104,IFERROR(MATCH(13,المحفظة!$H$5:$H$104,0),0))),"")</f>
        <v/>
      </c>
      <c r="G17" s="105" t="n"/>
    </row>
    <row r="18" ht="16.5" customHeight="1" s="67">
      <c r="A18" s="10">
        <f>IFERROR(IF(IFERROR(MATCH(14,المحفظة!$H$5:$H$104,0),0)=0,"",INDEX(المحفظة!$A$5:$A$104,IFERROR(MATCH(14,المحفظة!$H$5:$H$104,0),0))),"")</f>
        <v/>
      </c>
      <c r="B18" s="11">
        <f>IFERROR(IF(IFERROR(MATCH(14,المحفظة!$H$5:$H$104,0),0)=0,"",INDEX(المحفظة!$B$5:$B$104,IFERROR(MATCH(14,المحفظة!$H$5:$H$104,0),0))),"")</f>
        <v/>
      </c>
      <c r="C18" s="106">
        <f>IFERROR(IF(IFERROR(MATCH(14,المحفظة!$H$5:$H$104,0),0)=0,"",INDEX(المحفظة!$C$5:$C$104,IFERROR(MATCH(14,المحفظة!$H$5:$H$104,0),0))),"")</f>
        <v/>
      </c>
      <c r="D18" s="13" t="inlineStr">
        <is>
          <t>—</t>
        </is>
      </c>
      <c r="E18" s="14">
        <f>IFERROR(IF(IFERROR(MATCH(14,المحفظة!$H$5:$H$104,0),0)=0,"",INDEX(المحفظة!$E$5:$E$104,IFERROR(MATCH(14,المحفظة!$H$5:$H$104,0),0))),"")</f>
        <v/>
      </c>
      <c r="F18" s="11">
        <f>IFERROR(IF(IFERROR(MATCH(14,المحفظة!$H$5:$H$104,0),0)=0,"",INDEX(المحفظة!$F$5:$F$104,IFERROR(MATCH(14,المحفظة!$H$5:$H$104,0),0))),"")</f>
        <v/>
      </c>
      <c r="G18" s="107" t="n"/>
    </row>
    <row r="19" ht="16.5" customHeight="1" s="67">
      <c r="A19" s="3">
        <f>IFERROR(IF(IFERROR(MATCH(15,المحفظة!$H$5:$H$104,0),0)=0,"",INDEX(المحفظة!$A$5:$A$104,IFERROR(MATCH(15,المحفظة!$H$5:$H$104,0),0))),"")</f>
        <v/>
      </c>
      <c r="B19" s="4">
        <f>IFERROR(IF(IFERROR(MATCH(15,المحفظة!$H$5:$H$104,0),0)=0,"",INDEX(المحفظة!$B$5:$B$104,IFERROR(MATCH(15,المحفظة!$H$5:$H$104,0),0))),"")</f>
        <v/>
      </c>
      <c r="C19" s="104">
        <f>IFERROR(IF(IFERROR(MATCH(15,المحفظة!$H$5:$H$104,0),0)=0,"",INDEX(المحفظة!$C$5:$C$104,IFERROR(MATCH(15,المحفظة!$H$5:$H$104,0),0))),"")</f>
        <v/>
      </c>
      <c r="D19" s="6" t="inlineStr">
        <is>
          <t>—</t>
        </is>
      </c>
      <c r="E19" s="7">
        <f>IFERROR(IF(IFERROR(MATCH(15,المحفظة!$H$5:$H$104,0),0)=0,"",INDEX(المحفظة!$E$5:$E$104,IFERROR(MATCH(15,المحفظة!$H$5:$H$104,0),0))),"")</f>
        <v/>
      </c>
      <c r="F19" s="4">
        <f>IFERROR(IF(IFERROR(MATCH(15,المحفظة!$H$5:$H$104,0),0)=0,"",INDEX(المحفظة!$F$5:$F$104,IFERROR(MATCH(15,المحفظة!$H$5:$H$104,0),0))),"")</f>
        <v/>
      </c>
      <c r="G19" s="105" t="n"/>
    </row>
    <row r="20" ht="16.5" customHeight="1" s="67">
      <c r="A20" s="10">
        <f>IFERROR(IF(IFERROR(MATCH(16,المحفظة!$H$5:$H$104,0),0)=0,"",INDEX(المحفظة!$A$5:$A$104,IFERROR(MATCH(16,المحفظة!$H$5:$H$104,0),0))),"")</f>
        <v/>
      </c>
      <c r="B20" s="11">
        <f>IFERROR(IF(IFERROR(MATCH(16,المحفظة!$H$5:$H$104,0),0)=0,"",INDEX(المحفظة!$B$5:$B$104,IFERROR(MATCH(16,المحفظة!$H$5:$H$104,0),0))),"")</f>
        <v/>
      </c>
      <c r="C20" s="106">
        <f>IFERROR(IF(IFERROR(MATCH(16,المحفظة!$H$5:$H$104,0),0)=0,"",INDEX(المحفظة!$C$5:$C$104,IFERROR(MATCH(16,المحفظة!$H$5:$H$104,0),0))),"")</f>
        <v/>
      </c>
      <c r="D20" s="13" t="inlineStr">
        <is>
          <t>—</t>
        </is>
      </c>
      <c r="E20" s="14">
        <f>IFERROR(IF(IFERROR(MATCH(16,المحفظة!$H$5:$H$104,0),0)=0,"",INDEX(المحفظة!$E$5:$E$104,IFERROR(MATCH(16,المحفظة!$H$5:$H$104,0),0))),"")</f>
        <v/>
      </c>
      <c r="F20" s="11">
        <f>IFERROR(IF(IFERROR(MATCH(16,المحفظة!$H$5:$H$104,0),0)=0,"",INDEX(المحفظة!$F$5:$F$104,IFERROR(MATCH(16,المحفظة!$H$5:$H$104,0),0))),"")</f>
        <v/>
      </c>
      <c r="G20" s="107" t="n"/>
    </row>
    <row r="21" ht="16.5" customHeight="1" s="67">
      <c r="A21" s="3">
        <f>IFERROR(IF(IFERROR(MATCH(17,المحفظة!$H$5:$H$104,0),0)=0,"",INDEX(المحفظة!$A$5:$A$104,IFERROR(MATCH(17,المحفظة!$H$5:$H$104,0),0))),"")</f>
        <v/>
      </c>
      <c r="B21" s="4">
        <f>IFERROR(IF(IFERROR(MATCH(17,المحفظة!$H$5:$H$104,0),0)=0,"",INDEX(المحفظة!$B$5:$B$104,IFERROR(MATCH(17,المحفظة!$H$5:$H$104,0),0))),"")</f>
        <v/>
      </c>
      <c r="C21" s="104">
        <f>IFERROR(IF(IFERROR(MATCH(17,المحفظة!$H$5:$H$104,0),0)=0,"",INDEX(المحفظة!$C$5:$C$104,IFERROR(MATCH(17,المحفظة!$H$5:$H$104,0),0))),"")</f>
        <v/>
      </c>
      <c r="D21" s="6" t="inlineStr">
        <is>
          <t>—</t>
        </is>
      </c>
      <c r="E21" s="7">
        <f>IFERROR(IF(IFERROR(MATCH(17,المحفظة!$H$5:$H$104,0),0)=0,"",INDEX(المحفظة!$E$5:$E$104,IFERROR(MATCH(17,المحفظة!$H$5:$H$104,0),0))),"")</f>
        <v/>
      </c>
      <c r="F21" s="4">
        <f>IFERROR(IF(IFERROR(MATCH(17,المحفظة!$H$5:$H$104,0),0)=0,"",INDEX(المحفظة!$F$5:$F$104,IFERROR(MATCH(17,المحفظة!$H$5:$H$104,0),0))),"")</f>
        <v/>
      </c>
      <c r="G21" s="105" t="n"/>
    </row>
    <row r="22" ht="16.5" customHeight="1" s="67">
      <c r="A22" s="10">
        <f>IFERROR(IF(IFERROR(MATCH(18,المحفظة!$H$5:$H$104,0),0)=0,"",INDEX(المحفظة!$A$5:$A$104,IFERROR(MATCH(18,المحفظة!$H$5:$H$104,0),0))),"")</f>
        <v/>
      </c>
      <c r="B22" s="11">
        <f>IFERROR(IF(IFERROR(MATCH(18,المحفظة!$H$5:$H$104,0),0)=0,"",INDEX(المحفظة!$B$5:$B$104,IFERROR(MATCH(18,المحفظة!$H$5:$H$104,0),0))),"")</f>
        <v/>
      </c>
      <c r="C22" s="106">
        <f>IFERROR(IF(IFERROR(MATCH(18,المحفظة!$H$5:$H$104,0),0)=0,"",INDEX(المحفظة!$C$5:$C$104,IFERROR(MATCH(18,المحفظة!$H$5:$H$104,0),0))),"")</f>
        <v/>
      </c>
      <c r="D22" s="13" t="inlineStr">
        <is>
          <t>—</t>
        </is>
      </c>
      <c r="E22" s="14">
        <f>IFERROR(IF(IFERROR(MATCH(18,المحفظة!$H$5:$H$104,0),0)=0,"",INDEX(المحفظة!$E$5:$E$104,IFERROR(MATCH(18,المحفظة!$H$5:$H$104,0),0))),"")</f>
        <v/>
      </c>
      <c r="F22" s="11">
        <f>IFERROR(IF(IFERROR(MATCH(18,المحفظة!$H$5:$H$104,0),0)=0,"",INDEX(المحفظة!$F$5:$F$104,IFERROR(MATCH(18,المحفظة!$H$5:$H$104,0),0))),"")</f>
        <v/>
      </c>
      <c r="G22" s="107" t="n"/>
    </row>
    <row r="23" ht="16.5" customHeight="1" s="67">
      <c r="A23" s="3">
        <f>IFERROR(IF(IFERROR(MATCH(19,المحفظة!$H$5:$H$104,0),0)=0,"",INDEX(المحفظة!$A$5:$A$104,IFERROR(MATCH(19,المحفظة!$H$5:$H$104,0),0))),"")</f>
        <v/>
      </c>
      <c r="B23" s="4">
        <f>IFERROR(IF(IFERROR(MATCH(19,المحفظة!$H$5:$H$104,0),0)=0,"",INDEX(المحفظة!$B$5:$B$104,IFERROR(MATCH(19,المحفظة!$H$5:$H$104,0),0))),"")</f>
        <v/>
      </c>
      <c r="C23" s="104">
        <f>IFERROR(IF(IFERROR(MATCH(19,المحفظة!$H$5:$H$104,0),0)=0,"",INDEX(المحفظة!$C$5:$C$104,IFERROR(MATCH(19,المحفظة!$H$5:$H$104,0),0))),"")</f>
        <v/>
      </c>
      <c r="D23" s="6" t="inlineStr">
        <is>
          <t>—</t>
        </is>
      </c>
      <c r="E23" s="7">
        <f>IFERROR(IF(IFERROR(MATCH(19,المحفظة!$H$5:$H$104,0),0)=0,"",INDEX(المحفظة!$E$5:$E$104,IFERROR(MATCH(19,المحفظة!$H$5:$H$104,0),0))),"")</f>
        <v/>
      </c>
      <c r="F23" s="4">
        <f>IFERROR(IF(IFERROR(MATCH(19,المحفظة!$H$5:$H$104,0),0)=0,"",INDEX(المحفظة!$F$5:$F$104,IFERROR(MATCH(19,المحفظة!$H$5:$H$104,0),0))),"")</f>
        <v/>
      </c>
      <c r="G23" s="105" t="n"/>
    </row>
    <row r="24" ht="15" customHeight="1" s="67">
      <c r="A24" s="108">
        <f>IFERROR(IF(IFERROR(MATCH(20,المحفظة!$H$5:$H$104,0),0)=0,"",INDEX(المحفظة!$A$5:$A$104,IFERROR(MATCH(20,المحفظة!$H$5:$H$104,0),0))),"")</f>
        <v/>
      </c>
      <c r="B24" s="109">
        <f>IFERROR(IF(IFERROR(MATCH(20,المحفظة!$H$5:$H$104,0),0)=0,"",INDEX(المحفظة!$B$5:$B$104,IFERROR(MATCH(20,المحفظة!$H$5:$H$104,0),0))),"")</f>
        <v/>
      </c>
      <c r="C24" s="110">
        <f>IFERROR(IF(IFERROR(MATCH(20,المحفظة!$H$5:$H$104,0),0)=0,"",INDEX(المحفظة!$C$5:$C$104,IFERROR(MATCH(20,المحفظة!$H$5:$H$104,0),0))),"")</f>
        <v/>
      </c>
      <c r="D24" s="111" t="inlineStr">
        <is>
          <t>—</t>
        </is>
      </c>
      <c r="E24" s="112">
        <f>IFERROR(IF(IFERROR(MATCH(20,المحفظة!$H$5:$H$104,0),0)=0,"",INDEX(المحفظة!$E$5:$E$104,IFERROR(MATCH(20,المحفظة!$H$5:$H$104,0),0))),"")</f>
        <v/>
      </c>
      <c r="F24" s="109">
        <f>IFERROR(IF(IFERROR(MATCH(20,المحفظة!$H$5:$H$104,0),0)=0,"",INDEX(المحفظة!$F$5:$F$104,IFERROR(MATCH(20,المحفظة!$H$5:$H$104,0),0))),"")</f>
        <v/>
      </c>
      <c r="G24" s="16" t="n"/>
    </row>
    <row r="25" ht="15" customHeight="1" s="67">
      <c r="A25" s="113">
        <f>IFERROR(IF(IFERROR(MATCH(21,المحفظة!$H$5:$H$104,0),0)=0,"",INDEX(المحفظة!$A$5:$A$104,IFERROR(MATCH(21,المحفظة!$H$5:$H$104,0),0))),"")</f>
        <v/>
      </c>
      <c r="B25" s="114">
        <f>IFERROR(IF(IFERROR(MATCH(21,المحفظة!$H$5:$H$104,0),0)=0,"",INDEX(المحفظة!$B$5:$B$104,IFERROR(MATCH(21,المحفظة!$H$5:$H$104,0),0))),"")</f>
        <v/>
      </c>
      <c r="C25" s="115">
        <f>IFERROR(IF(IFERROR(MATCH(21,المحفظة!$H$5:$H$104,0),0)=0,"",INDEX(المحفظة!$C$5:$C$104,IFERROR(MATCH(21,المحفظة!$H$5:$H$104,0),0))),"")</f>
        <v/>
      </c>
      <c r="D25" s="116" t="inlineStr">
        <is>
          <t>—</t>
        </is>
      </c>
      <c r="E25" s="117">
        <f>IFERROR(IF(IFERROR(MATCH(21,المحفظة!$H$5:$H$104,0),0)=0,"",INDEX(المحفظة!$E$5:$E$104,IFERROR(MATCH(21,المحفظة!$H$5:$H$104,0),0))),"")</f>
        <v/>
      </c>
      <c r="F25" s="114">
        <f>IFERROR(IF(IFERROR(MATCH(21,المحفظة!$H$5:$H$104,0),0)=0,"",INDEX(المحفظة!$F$5:$F$104,IFERROR(MATCH(21,المحفظة!$H$5:$H$104,0),0))),"")</f>
        <v/>
      </c>
      <c r="G25" s="9" t="n"/>
    </row>
    <row r="26" ht="15" customHeight="1" s="67">
      <c r="A26" s="108">
        <f>IFERROR(IF(IFERROR(MATCH(22,المحفظة!$H$5:$H$104,0),0)=0,"",INDEX(المحفظة!$A$5:$A$104,IFERROR(MATCH(22,المحفظة!$H$5:$H$104,0),0))),"")</f>
        <v/>
      </c>
      <c r="B26" s="109">
        <f>IFERROR(IF(IFERROR(MATCH(22,المحفظة!$H$5:$H$104,0),0)=0,"",INDEX(المحفظة!$B$5:$B$104,IFERROR(MATCH(22,المحفظة!$H$5:$H$104,0),0))),"")</f>
        <v/>
      </c>
      <c r="C26" s="110">
        <f>IFERROR(IF(IFERROR(MATCH(22,المحفظة!$H$5:$H$104,0),0)=0,"",INDEX(المحفظة!$C$5:$C$104,IFERROR(MATCH(22,المحفظة!$H$5:$H$104,0),0))),"")</f>
        <v/>
      </c>
      <c r="D26" s="111" t="inlineStr">
        <is>
          <t>—</t>
        </is>
      </c>
      <c r="E26" s="112">
        <f>IFERROR(IF(IFERROR(MATCH(22,المحفظة!$H$5:$H$104,0),0)=0,"",INDEX(المحفظة!$E$5:$E$104,IFERROR(MATCH(22,المحفظة!$H$5:$H$104,0),0))),"")</f>
        <v/>
      </c>
      <c r="F26" s="109">
        <f>IFERROR(IF(IFERROR(MATCH(22,المحفظة!$H$5:$H$104,0),0)=0,"",INDEX(المحفظة!$F$5:$F$104,IFERROR(MATCH(22,المحفظة!$H$5:$H$104,0),0))),"")</f>
        <v/>
      </c>
      <c r="G26" s="16" t="n"/>
    </row>
    <row r="27" ht="15" customHeight="1" s="67">
      <c r="A27" s="113">
        <f>IFERROR(IF(IFERROR(MATCH(23,المحفظة!$H$5:$H$104,0),0)=0,"",INDEX(المحفظة!$A$5:$A$104,IFERROR(MATCH(23,المحفظة!$H$5:$H$104,0),0))),"")</f>
        <v/>
      </c>
      <c r="B27" s="114">
        <f>IFERROR(IF(IFERROR(MATCH(23,المحفظة!$H$5:$H$104,0),0)=0,"",INDEX(المحفظة!$B$5:$B$104,IFERROR(MATCH(23,المحفظة!$H$5:$H$104,0),0))),"")</f>
        <v/>
      </c>
      <c r="C27" s="115">
        <f>IFERROR(IF(IFERROR(MATCH(23,المحفظة!$H$5:$H$104,0),0)=0,"",INDEX(المحفظة!$C$5:$C$104,IFERROR(MATCH(23,المحفظة!$H$5:$H$104,0),0))),"")</f>
        <v/>
      </c>
      <c r="D27" s="116" t="inlineStr">
        <is>
          <t>—</t>
        </is>
      </c>
      <c r="E27" s="117">
        <f>IFERROR(IF(IFERROR(MATCH(23,المحفظة!$H$5:$H$104,0),0)=0,"",INDEX(المحفظة!$E$5:$E$104,IFERROR(MATCH(23,المحفظة!$H$5:$H$104,0),0))),"")</f>
        <v/>
      </c>
      <c r="F27" s="114">
        <f>IFERROR(IF(IFERROR(MATCH(23,المحفظة!$H$5:$H$104,0),0)=0,"",INDEX(المحفظة!$F$5:$F$104,IFERROR(MATCH(23,المحفظة!$H$5:$H$104,0),0))),"")</f>
        <v/>
      </c>
      <c r="G27" s="9" t="n"/>
    </row>
    <row r="28" ht="15" customHeight="1" s="67">
      <c r="A28" s="108">
        <f>IFERROR(IF(IFERROR(MATCH(24,المحفظة!$H$5:$H$104,0),0)=0,"",INDEX(المحفظة!$A$5:$A$104,IFERROR(MATCH(24,المحفظة!$H$5:$H$104,0),0))),"")</f>
        <v/>
      </c>
      <c r="B28" s="109">
        <f>IFERROR(IF(IFERROR(MATCH(24,المحفظة!$H$5:$H$104,0),0)=0,"",INDEX(المحفظة!$B$5:$B$104,IFERROR(MATCH(24,المحفظة!$H$5:$H$104,0),0))),"")</f>
        <v/>
      </c>
      <c r="C28" s="110">
        <f>IFERROR(IF(IFERROR(MATCH(24,المحفظة!$H$5:$H$104,0),0)=0,"",INDEX(المحفظة!$C$5:$C$104,IFERROR(MATCH(24,المحفظة!$H$5:$H$104,0),0))),"")</f>
        <v/>
      </c>
      <c r="D28" s="111" t="inlineStr">
        <is>
          <t>—</t>
        </is>
      </c>
      <c r="E28" s="112">
        <f>IFERROR(IF(IFERROR(MATCH(24,المحفظة!$H$5:$H$104,0),0)=0,"",INDEX(المحفظة!$E$5:$E$104,IFERROR(MATCH(24,المحفظة!$H$5:$H$104,0),0))),"")</f>
        <v/>
      </c>
      <c r="F28" s="109">
        <f>IFERROR(IF(IFERROR(MATCH(24,المحفظة!$H$5:$H$104,0),0)=0,"",INDEX(المحفظة!$F$5:$F$104,IFERROR(MATCH(24,المحفظة!$H$5:$H$104,0),0))),"")</f>
        <v/>
      </c>
      <c r="G28" s="16" t="n"/>
    </row>
    <row r="29" ht="15" customHeight="1" s="67">
      <c r="A29" s="113">
        <f>IFERROR(IF(IFERROR(MATCH(25,المحفظة!$H$5:$H$104,0),0)=0,"",INDEX(المحفظة!$A$5:$A$104,IFERROR(MATCH(25,المحفظة!$H$5:$H$104,0),0))),"")</f>
        <v/>
      </c>
      <c r="B29" s="114">
        <f>IFERROR(IF(IFERROR(MATCH(25,المحفظة!$H$5:$H$104,0),0)=0,"",INDEX(المحفظة!$B$5:$B$104,IFERROR(MATCH(25,المحفظة!$H$5:$H$104,0),0))),"")</f>
        <v/>
      </c>
      <c r="C29" s="115">
        <f>IFERROR(IF(IFERROR(MATCH(25,المحفظة!$H$5:$H$104,0),0)=0,"",INDEX(المحفظة!$C$5:$C$104,IFERROR(MATCH(25,المحفظة!$H$5:$H$104,0),0))),"")</f>
        <v/>
      </c>
      <c r="D29" s="116" t="inlineStr">
        <is>
          <t>—</t>
        </is>
      </c>
      <c r="E29" s="117">
        <f>IFERROR(IF(IFERROR(MATCH(25,المحفظة!$H$5:$H$104,0),0)=0,"",INDEX(المحفظة!$E$5:$E$104,IFERROR(MATCH(25,المحفظة!$H$5:$H$104,0),0))),"")</f>
        <v/>
      </c>
      <c r="F29" s="114">
        <f>IFERROR(IF(IFERROR(MATCH(25,المحفظة!$H$5:$H$104,0),0)=0,"",INDEX(المحفظة!$F$5:$F$104,IFERROR(MATCH(25,المحفظة!$H$5:$H$104,0),0))),"")</f>
        <v/>
      </c>
      <c r="G29" s="9" t="n"/>
    </row>
    <row r="30" ht="15" customHeight="1" s="67">
      <c r="A30" s="108">
        <f>IFERROR(IF(IFERROR(MATCH(26,المحفظة!$H$5:$H$104,0),0)=0,"",INDEX(المحفظة!$A$5:$A$104,IFERROR(MATCH(26,المحفظة!$H$5:$H$104,0),0))),"")</f>
        <v/>
      </c>
      <c r="B30" s="109">
        <f>IFERROR(IF(IFERROR(MATCH(26,المحفظة!$H$5:$H$104,0),0)=0,"",INDEX(المحفظة!$B$5:$B$104,IFERROR(MATCH(26,المحفظة!$H$5:$H$104,0),0))),"")</f>
        <v/>
      </c>
      <c r="C30" s="110">
        <f>IFERROR(IF(IFERROR(MATCH(26,المحفظة!$H$5:$H$104,0),0)=0,"",INDEX(المحفظة!$C$5:$C$104,IFERROR(MATCH(26,المحفظة!$H$5:$H$104,0),0))),"")</f>
        <v/>
      </c>
      <c r="D30" s="111" t="inlineStr">
        <is>
          <t>—</t>
        </is>
      </c>
      <c r="E30" s="112">
        <f>IFERROR(IF(IFERROR(MATCH(26,المحفظة!$H$5:$H$104,0),0)=0,"",INDEX(المحفظة!$E$5:$E$104,IFERROR(MATCH(26,المحفظة!$H$5:$H$104,0),0))),"")</f>
        <v/>
      </c>
      <c r="F30" s="109">
        <f>IFERROR(IF(IFERROR(MATCH(26,المحفظة!$H$5:$H$104,0),0)=0,"",INDEX(المحفظة!$F$5:$F$104,IFERROR(MATCH(26,المحفظة!$H$5:$H$104,0),0))),"")</f>
        <v/>
      </c>
      <c r="G30" s="16" t="n"/>
    </row>
    <row r="31" ht="15" customHeight="1" s="67">
      <c r="A31" s="113">
        <f>IFERROR(IF(IFERROR(MATCH(27,المحفظة!$H$5:$H$104,0),0)=0,"",INDEX(المحفظة!$A$5:$A$104,IFERROR(MATCH(27,المحفظة!$H$5:$H$104,0),0))),"")</f>
        <v/>
      </c>
      <c r="B31" s="114">
        <f>IFERROR(IF(IFERROR(MATCH(27,المحفظة!$H$5:$H$104,0),0)=0,"",INDEX(المحفظة!$B$5:$B$104,IFERROR(MATCH(27,المحفظة!$H$5:$H$104,0),0))),"")</f>
        <v/>
      </c>
      <c r="C31" s="115">
        <f>IFERROR(IF(IFERROR(MATCH(27,المحفظة!$H$5:$H$104,0),0)=0,"",INDEX(المحفظة!$C$5:$C$104,IFERROR(MATCH(27,المحفظة!$H$5:$H$104,0),0))),"")</f>
        <v/>
      </c>
      <c r="D31" s="116" t="inlineStr">
        <is>
          <t>—</t>
        </is>
      </c>
      <c r="E31" s="117">
        <f>IFERROR(IF(IFERROR(MATCH(27,المحفظة!$H$5:$H$104,0),0)=0,"",INDEX(المحفظة!$E$5:$E$104,IFERROR(MATCH(27,المحفظة!$H$5:$H$104,0),0))),"")</f>
        <v/>
      </c>
      <c r="F31" s="114">
        <f>IFERROR(IF(IFERROR(MATCH(27,المحفظة!$H$5:$H$104,0),0)=0,"",INDEX(المحفظة!$F$5:$F$104,IFERROR(MATCH(27,المحفظة!$H$5:$H$104,0),0))),"")</f>
        <v/>
      </c>
      <c r="G31" s="9" t="n"/>
    </row>
    <row r="32" ht="15" customHeight="1" s="67">
      <c r="A32" s="108">
        <f>IFERROR(IF(IFERROR(MATCH(28,المحفظة!$H$5:$H$104,0),0)=0,"",INDEX(المحفظة!$A$5:$A$104,IFERROR(MATCH(28,المحفظة!$H$5:$H$104,0),0))),"")</f>
        <v/>
      </c>
      <c r="B32" s="109">
        <f>IFERROR(IF(IFERROR(MATCH(28,المحفظة!$H$5:$H$104,0),0)=0,"",INDEX(المحفظة!$B$5:$B$104,IFERROR(MATCH(28,المحفظة!$H$5:$H$104,0),0))),"")</f>
        <v/>
      </c>
      <c r="C32" s="110">
        <f>IFERROR(IF(IFERROR(MATCH(28,المحفظة!$H$5:$H$104,0),0)=0,"",INDEX(المحفظة!$C$5:$C$104,IFERROR(MATCH(28,المحفظة!$H$5:$H$104,0),0))),"")</f>
        <v/>
      </c>
      <c r="D32" s="111" t="inlineStr">
        <is>
          <t>—</t>
        </is>
      </c>
      <c r="E32" s="112">
        <f>IFERROR(IF(IFERROR(MATCH(28,المحفظة!$H$5:$H$104,0),0)=0,"",INDEX(المحفظة!$E$5:$E$104,IFERROR(MATCH(28,المحفظة!$H$5:$H$104,0),0))),"")</f>
        <v/>
      </c>
      <c r="F32" s="109">
        <f>IFERROR(IF(IFERROR(MATCH(28,المحفظة!$H$5:$H$104,0),0)=0,"",INDEX(المحفظة!$F$5:$F$104,IFERROR(MATCH(28,المحفظة!$H$5:$H$104,0),0))),"")</f>
        <v/>
      </c>
      <c r="G32" s="16" t="n"/>
    </row>
    <row r="33" ht="15" customHeight="1" s="67">
      <c r="A33" s="113">
        <f>IFERROR(IF(IFERROR(MATCH(29,المحفظة!$H$5:$H$104,0),0)=0,"",INDEX(المحفظة!$A$5:$A$104,IFERROR(MATCH(29,المحفظة!$H$5:$H$104,0),0))),"")</f>
        <v/>
      </c>
      <c r="B33" s="114">
        <f>IFERROR(IF(IFERROR(MATCH(29,المحفظة!$H$5:$H$104,0),0)=0,"",INDEX(المحفظة!$B$5:$B$104,IFERROR(MATCH(29,المحفظة!$H$5:$H$104,0),0))),"")</f>
        <v/>
      </c>
      <c r="C33" s="115">
        <f>IFERROR(IF(IFERROR(MATCH(29,المحفظة!$H$5:$H$104,0),0)=0,"",INDEX(المحفظة!$C$5:$C$104,IFERROR(MATCH(29,المحفظة!$H$5:$H$104,0),0))),"")</f>
        <v/>
      </c>
      <c r="D33" s="116" t="inlineStr">
        <is>
          <t>—</t>
        </is>
      </c>
      <c r="E33" s="117">
        <f>IFERROR(IF(IFERROR(MATCH(29,المحفظة!$H$5:$H$104,0),0)=0,"",INDEX(المحفظة!$E$5:$E$104,IFERROR(MATCH(29,المحفظة!$H$5:$H$104,0),0))),"")</f>
        <v/>
      </c>
      <c r="F33" s="114">
        <f>IFERROR(IF(IFERROR(MATCH(29,المحفظة!$H$5:$H$104,0),0)=0,"",INDEX(المحفظة!$F$5:$F$104,IFERROR(MATCH(29,المحفظة!$H$5:$H$104,0),0))),"")</f>
        <v/>
      </c>
      <c r="G33" s="9" t="n"/>
    </row>
    <row r="34" ht="15" customHeight="1" s="67">
      <c r="A34" s="108">
        <f>IFERROR(IF(IFERROR(MATCH(30,المحفظة!$H$5:$H$104,0),0)=0,"",INDEX(المحفظة!$A$5:$A$104,IFERROR(MATCH(30,المحفظة!$H$5:$H$104,0),0))),"")</f>
        <v/>
      </c>
      <c r="B34" s="109">
        <f>IFERROR(IF(IFERROR(MATCH(30,المحفظة!$H$5:$H$104,0),0)=0,"",INDEX(المحفظة!$B$5:$B$104,IFERROR(MATCH(30,المحفظة!$H$5:$H$104,0),0))),"")</f>
        <v/>
      </c>
      <c r="C34" s="110">
        <f>IFERROR(IF(IFERROR(MATCH(30,المحفظة!$H$5:$H$104,0),0)=0,"",INDEX(المحفظة!$C$5:$C$104,IFERROR(MATCH(30,المحفظة!$H$5:$H$104,0),0))),"")</f>
        <v/>
      </c>
      <c r="D34" s="111" t="inlineStr">
        <is>
          <t>—</t>
        </is>
      </c>
      <c r="E34" s="112">
        <f>IFERROR(IF(IFERROR(MATCH(30,المحفظة!$H$5:$H$104,0),0)=0,"",INDEX(المحفظة!$E$5:$E$104,IFERROR(MATCH(30,المحفظة!$H$5:$H$104,0),0))),"")</f>
        <v/>
      </c>
      <c r="F34" s="109">
        <f>IFERROR(IF(IFERROR(MATCH(30,المحفظة!$H$5:$H$104,0),0)=0,"",INDEX(المحفظة!$F$5:$F$104,IFERROR(MATCH(30,المحفظة!$H$5:$H$104,0),0))),"")</f>
        <v/>
      </c>
      <c r="G34" s="16" t="n"/>
    </row>
    <row r="35" ht="15" customHeight="1" s="67">
      <c r="A35" s="113">
        <f>IFERROR(IF(IFERROR(MATCH(31,المحفظة!$H$5:$H$104,0),0)=0,"",INDEX(المحفظة!$A$5:$A$104,IFERROR(MATCH(31,المحفظة!$H$5:$H$104,0),0))),"")</f>
        <v/>
      </c>
      <c r="B35" s="114">
        <f>IFERROR(IF(IFERROR(MATCH(31,المحفظة!$H$5:$H$104,0),0)=0,"",INDEX(المحفظة!$B$5:$B$104,IFERROR(MATCH(31,المحفظة!$H$5:$H$104,0),0))),"")</f>
        <v/>
      </c>
      <c r="C35" s="115">
        <f>IFERROR(IF(IFERROR(MATCH(31,المحفظة!$H$5:$H$104,0),0)=0,"",INDEX(المحفظة!$C$5:$C$104,IFERROR(MATCH(31,المحفظة!$H$5:$H$104,0),0))),"")</f>
        <v/>
      </c>
      <c r="D35" s="116" t="inlineStr">
        <is>
          <t>—</t>
        </is>
      </c>
      <c r="E35" s="117">
        <f>IFERROR(IF(IFERROR(MATCH(31,المحفظة!$H$5:$H$104,0),0)=0,"",INDEX(المحفظة!$E$5:$E$104,IFERROR(MATCH(31,المحفظة!$H$5:$H$104,0),0))),"")</f>
        <v/>
      </c>
      <c r="F35" s="114">
        <f>IFERROR(IF(IFERROR(MATCH(31,المحفظة!$H$5:$H$104,0),0)=0,"",INDEX(المحفظة!$F$5:$F$104,IFERROR(MATCH(31,المحفظة!$H$5:$H$104,0),0))),"")</f>
        <v/>
      </c>
      <c r="G35" s="9" t="n"/>
    </row>
    <row r="36" ht="15" customHeight="1" s="67">
      <c r="A36" s="108">
        <f>IFERROR(IF(IFERROR(MATCH(32,المحفظة!$H$5:$H$104,0),0)=0,"",INDEX(المحفظة!$A$5:$A$104,IFERROR(MATCH(32,المحفظة!$H$5:$H$104,0),0))),"")</f>
        <v/>
      </c>
      <c r="B36" s="109">
        <f>IFERROR(IF(IFERROR(MATCH(32,المحفظة!$H$5:$H$104,0),0)=0,"",INDEX(المحفظة!$B$5:$B$104,IFERROR(MATCH(32,المحفظة!$H$5:$H$104,0),0))),"")</f>
        <v/>
      </c>
      <c r="C36" s="110">
        <f>IFERROR(IF(IFERROR(MATCH(32,المحفظة!$H$5:$H$104,0),0)=0,"",INDEX(المحفظة!$C$5:$C$104,IFERROR(MATCH(32,المحفظة!$H$5:$H$104,0),0))),"")</f>
        <v/>
      </c>
      <c r="D36" s="111" t="inlineStr">
        <is>
          <t>—</t>
        </is>
      </c>
      <c r="E36" s="112">
        <f>IFERROR(IF(IFERROR(MATCH(32,المحفظة!$H$5:$H$104,0),0)=0,"",INDEX(المحفظة!$E$5:$E$104,IFERROR(MATCH(32,المحفظة!$H$5:$H$104,0),0))),"")</f>
        <v/>
      </c>
      <c r="F36" s="109">
        <f>IFERROR(IF(IFERROR(MATCH(32,المحفظة!$H$5:$H$104,0),0)=0,"",INDEX(المحفظة!$F$5:$F$104,IFERROR(MATCH(32,المحفظة!$H$5:$H$104,0),0))),"")</f>
        <v/>
      </c>
      <c r="G36" s="16" t="n"/>
    </row>
    <row r="37" ht="15" customHeight="1" s="67">
      <c r="A37" s="113">
        <f>IFERROR(IF(IFERROR(MATCH(33,المحفظة!$H$5:$H$104,0),0)=0,"",INDEX(المحفظة!$A$5:$A$104,IFERROR(MATCH(33,المحفظة!$H$5:$H$104,0),0))),"")</f>
        <v/>
      </c>
      <c r="B37" s="114">
        <f>IFERROR(IF(IFERROR(MATCH(33,المحفظة!$H$5:$H$104,0),0)=0,"",INDEX(المحفظة!$B$5:$B$104,IFERROR(MATCH(33,المحفظة!$H$5:$H$104,0),0))),"")</f>
        <v/>
      </c>
      <c r="C37" s="115">
        <f>IFERROR(IF(IFERROR(MATCH(33,المحفظة!$H$5:$H$104,0),0)=0,"",INDEX(المحفظة!$C$5:$C$104,IFERROR(MATCH(33,المحفظة!$H$5:$H$104,0),0))),"")</f>
        <v/>
      </c>
      <c r="D37" s="116" t="inlineStr">
        <is>
          <t>—</t>
        </is>
      </c>
      <c r="E37" s="117">
        <f>IFERROR(IF(IFERROR(MATCH(33,المحفظة!$H$5:$H$104,0),0)=0,"",INDEX(المحفظة!$E$5:$E$104,IFERROR(MATCH(33,المحفظة!$H$5:$H$104,0),0))),"")</f>
        <v/>
      </c>
      <c r="F37" s="114">
        <f>IFERROR(IF(IFERROR(MATCH(33,المحفظة!$H$5:$H$104,0),0)=0,"",INDEX(المحفظة!$F$5:$F$104,IFERROR(MATCH(33,المحفظة!$H$5:$H$104,0),0))),"")</f>
        <v/>
      </c>
      <c r="G37" s="9" t="n"/>
    </row>
    <row r="38" ht="15" customHeight="1" s="67">
      <c r="A38" s="108">
        <f>IFERROR(IF(IFERROR(MATCH(34,المحفظة!$H$5:$H$104,0),0)=0,"",INDEX(المحفظة!$A$5:$A$104,IFERROR(MATCH(34,المحفظة!$H$5:$H$104,0),0))),"")</f>
        <v/>
      </c>
      <c r="B38" s="109">
        <f>IFERROR(IF(IFERROR(MATCH(34,المحفظة!$H$5:$H$104,0),0)=0,"",INDEX(المحفظة!$B$5:$B$104,IFERROR(MATCH(34,المحفظة!$H$5:$H$104,0),0))),"")</f>
        <v/>
      </c>
      <c r="C38" s="110">
        <f>IFERROR(IF(IFERROR(MATCH(34,المحفظة!$H$5:$H$104,0),0)=0,"",INDEX(المحفظة!$C$5:$C$104,IFERROR(MATCH(34,المحفظة!$H$5:$H$104,0),0))),"")</f>
        <v/>
      </c>
      <c r="D38" s="111" t="inlineStr">
        <is>
          <t>—</t>
        </is>
      </c>
      <c r="E38" s="112">
        <f>IFERROR(IF(IFERROR(MATCH(34,المحفظة!$H$5:$H$104,0),0)=0,"",INDEX(المحفظة!$E$5:$E$104,IFERROR(MATCH(34,المحفظة!$H$5:$H$104,0),0))),"")</f>
        <v/>
      </c>
      <c r="F38" s="109">
        <f>IFERROR(IF(IFERROR(MATCH(34,المحفظة!$H$5:$H$104,0),0)=0,"",INDEX(المحفظة!$F$5:$F$104,IFERROR(MATCH(34,المحفظة!$H$5:$H$104,0),0))),"")</f>
        <v/>
      </c>
      <c r="G38" s="16" t="n"/>
    </row>
    <row r="39" ht="15" customHeight="1" s="67">
      <c r="A39" s="113">
        <f>IFERROR(IF(IFERROR(MATCH(35,المحفظة!$H$5:$H$104,0),0)=0,"",INDEX(المحفظة!$A$5:$A$104,IFERROR(MATCH(35,المحفظة!$H$5:$H$104,0),0))),"")</f>
        <v/>
      </c>
      <c r="B39" s="114">
        <f>IFERROR(IF(IFERROR(MATCH(35,المحفظة!$H$5:$H$104,0),0)=0,"",INDEX(المحفظة!$B$5:$B$104,IFERROR(MATCH(35,المحفظة!$H$5:$H$104,0),0))),"")</f>
        <v/>
      </c>
      <c r="C39" s="115">
        <f>IFERROR(IF(IFERROR(MATCH(35,المحفظة!$H$5:$H$104,0),0)=0,"",INDEX(المحفظة!$C$5:$C$104,IFERROR(MATCH(35,المحفظة!$H$5:$H$104,0),0))),"")</f>
        <v/>
      </c>
      <c r="D39" s="116" t="inlineStr">
        <is>
          <t>—</t>
        </is>
      </c>
      <c r="E39" s="117">
        <f>IFERROR(IF(IFERROR(MATCH(35,المحفظة!$H$5:$H$104,0),0)=0,"",INDEX(المحفظة!$E$5:$E$104,IFERROR(MATCH(35,المحفظة!$H$5:$H$104,0),0))),"")</f>
        <v/>
      </c>
      <c r="F39" s="114">
        <f>IFERROR(IF(IFERROR(MATCH(35,المحفظة!$H$5:$H$104,0),0)=0,"",INDEX(المحفظة!$F$5:$F$104,IFERROR(MATCH(35,المحفظة!$H$5:$H$104,0),0))),"")</f>
        <v/>
      </c>
      <c r="G39" s="9" t="n"/>
    </row>
    <row r="40" ht="15" customHeight="1" s="67">
      <c r="A40" s="108">
        <f>IFERROR(IF(IFERROR(MATCH(36,المحفظة!$H$5:$H$104,0),0)=0,"",INDEX(المحفظة!$A$5:$A$104,IFERROR(MATCH(36,المحفظة!$H$5:$H$104,0),0))),"")</f>
        <v/>
      </c>
      <c r="B40" s="109">
        <f>IFERROR(IF(IFERROR(MATCH(36,المحفظة!$H$5:$H$104,0),0)=0,"",INDEX(المحفظة!$B$5:$B$104,IFERROR(MATCH(36,المحفظة!$H$5:$H$104,0),0))),"")</f>
        <v/>
      </c>
      <c r="C40" s="110">
        <f>IFERROR(IF(IFERROR(MATCH(36,المحفظة!$H$5:$H$104,0),0)=0,"",INDEX(المحفظة!$C$5:$C$104,IFERROR(MATCH(36,المحفظة!$H$5:$H$104,0),0))),"")</f>
        <v/>
      </c>
      <c r="D40" s="111" t="inlineStr">
        <is>
          <t>—</t>
        </is>
      </c>
      <c r="E40" s="112">
        <f>IFERROR(IF(IFERROR(MATCH(36,المحفظة!$H$5:$H$104,0),0)=0,"",INDEX(المحفظة!$E$5:$E$104,IFERROR(MATCH(36,المحفظة!$H$5:$H$104,0),0))),"")</f>
        <v/>
      </c>
      <c r="F40" s="109">
        <f>IFERROR(IF(IFERROR(MATCH(36,المحفظة!$H$5:$H$104,0),0)=0,"",INDEX(المحفظة!$F$5:$F$104,IFERROR(MATCH(36,المحفظة!$H$5:$H$104,0),0))),"")</f>
        <v/>
      </c>
      <c r="G40" s="16" t="n"/>
    </row>
    <row r="41" ht="15" customHeight="1" s="67">
      <c r="A41" s="113">
        <f>IFERROR(IF(IFERROR(MATCH(37,المحفظة!$H$5:$H$104,0),0)=0,"",INDEX(المحفظة!$A$5:$A$104,IFERROR(MATCH(37,المحفظة!$H$5:$H$104,0),0))),"")</f>
        <v/>
      </c>
      <c r="B41" s="114">
        <f>IFERROR(IF(IFERROR(MATCH(37,المحفظة!$H$5:$H$104,0),0)=0,"",INDEX(المحفظة!$B$5:$B$104,IFERROR(MATCH(37,المحفظة!$H$5:$H$104,0),0))),"")</f>
        <v/>
      </c>
      <c r="C41" s="115">
        <f>IFERROR(IF(IFERROR(MATCH(37,المحفظة!$H$5:$H$104,0),0)=0,"",INDEX(المحفظة!$C$5:$C$104,IFERROR(MATCH(37,المحفظة!$H$5:$H$104,0),0))),"")</f>
        <v/>
      </c>
      <c r="D41" s="116" t="inlineStr">
        <is>
          <t>—</t>
        </is>
      </c>
      <c r="E41" s="117">
        <f>IFERROR(IF(IFERROR(MATCH(37,المحفظة!$H$5:$H$104,0),0)=0,"",INDEX(المحفظة!$E$5:$E$104,IFERROR(MATCH(37,المحفظة!$H$5:$H$104,0),0))),"")</f>
        <v/>
      </c>
      <c r="F41" s="114">
        <f>IFERROR(IF(IFERROR(MATCH(37,المحفظة!$H$5:$H$104,0),0)=0,"",INDEX(المحفظة!$F$5:$F$104,IFERROR(MATCH(37,المحفظة!$H$5:$H$104,0),0))),"")</f>
        <v/>
      </c>
      <c r="G41" s="9" t="n"/>
    </row>
    <row r="42" ht="15" customHeight="1" s="67">
      <c r="A42" s="108">
        <f>IFERROR(IF(IFERROR(MATCH(38,المحفظة!$H$5:$H$104,0),0)=0,"",INDEX(المحفظة!$A$5:$A$104,IFERROR(MATCH(38,المحفظة!$H$5:$H$104,0),0))),"")</f>
        <v/>
      </c>
      <c r="B42" s="109">
        <f>IFERROR(IF(IFERROR(MATCH(38,المحفظة!$H$5:$H$104,0),0)=0,"",INDEX(المحفظة!$B$5:$B$104,IFERROR(MATCH(38,المحفظة!$H$5:$H$104,0),0))),"")</f>
        <v/>
      </c>
      <c r="C42" s="110">
        <f>IFERROR(IF(IFERROR(MATCH(38,المحفظة!$H$5:$H$104,0),0)=0,"",INDEX(المحفظة!$C$5:$C$104,IFERROR(MATCH(38,المحفظة!$H$5:$H$104,0),0))),"")</f>
        <v/>
      </c>
      <c r="D42" s="111" t="inlineStr">
        <is>
          <t>—</t>
        </is>
      </c>
      <c r="E42" s="112">
        <f>IFERROR(IF(IFERROR(MATCH(38,المحفظة!$H$5:$H$104,0),0)=0,"",INDEX(المحفظة!$E$5:$E$104,IFERROR(MATCH(38,المحفظة!$H$5:$H$104,0),0))),"")</f>
        <v/>
      </c>
      <c r="F42" s="109">
        <f>IFERROR(IF(IFERROR(MATCH(38,المحفظة!$H$5:$H$104,0),0)=0,"",INDEX(المحفظة!$F$5:$F$104,IFERROR(MATCH(38,المحفظة!$H$5:$H$104,0),0))),"")</f>
        <v/>
      </c>
      <c r="G42" s="16" t="n"/>
    </row>
    <row r="43" ht="15" customHeight="1" s="67">
      <c r="A43" s="113">
        <f>IFERROR(IF(IFERROR(MATCH(39,المحفظة!$H$5:$H$104,0),0)=0,"",INDEX(المحفظة!$A$5:$A$104,IFERROR(MATCH(39,المحفظة!$H$5:$H$104,0),0))),"")</f>
        <v/>
      </c>
      <c r="B43" s="114">
        <f>IFERROR(IF(IFERROR(MATCH(39,المحفظة!$H$5:$H$104,0),0)=0,"",INDEX(المحفظة!$B$5:$B$104,IFERROR(MATCH(39,المحفظة!$H$5:$H$104,0),0))),"")</f>
        <v/>
      </c>
      <c r="C43" s="115">
        <f>IFERROR(IF(IFERROR(MATCH(39,المحفظة!$H$5:$H$104,0),0)=0,"",INDEX(المحفظة!$C$5:$C$104,IFERROR(MATCH(39,المحفظة!$H$5:$H$104,0),0))),"")</f>
        <v/>
      </c>
      <c r="D43" s="116" t="inlineStr">
        <is>
          <t>—</t>
        </is>
      </c>
      <c r="E43" s="117">
        <f>IFERROR(IF(IFERROR(MATCH(39,المحفظة!$H$5:$H$104,0),0)=0,"",INDEX(المحفظة!$E$5:$E$104,IFERROR(MATCH(39,المحفظة!$H$5:$H$104,0),0))),"")</f>
        <v/>
      </c>
      <c r="F43" s="114">
        <f>IFERROR(IF(IFERROR(MATCH(39,المحفظة!$H$5:$H$104,0),0)=0,"",INDEX(المحفظة!$F$5:$F$104,IFERROR(MATCH(39,المحفظة!$H$5:$H$104,0),0))),"")</f>
        <v/>
      </c>
      <c r="G43" s="9" t="n"/>
    </row>
    <row r="44" ht="15" customHeight="1" s="67">
      <c r="A44" s="108">
        <f>IFERROR(IF(IFERROR(MATCH(40,المحفظة!$H$5:$H$104,0),0)=0,"",INDEX(المحفظة!$A$5:$A$104,IFERROR(MATCH(40,المحفظة!$H$5:$H$104,0),0))),"")</f>
        <v/>
      </c>
      <c r="B44" s="109">
        <f>IFERROR(IF(IFERROR(MATCH(40,المحفظة!$H$5:$H$104,0),0)=0,"",INDEX(المحفظة!$B$5:$B$104,IFERROR(MATCH(40,المحفظة!$H$5:$H$104,0),0))),"")</f>
        <v/>
      </c>
      <c r="C44" s="110">
        <f>IFERROR(IF(IFERROR(MATCH(40,المحفظة!$H$5:$H$104,0),0)=0,"",INDEX(المحفظة!$C$5:$C$104,IFERROR(MATCH(40,المحفظة!$H$5:$H$104,0),0))),"")</f>
        <v/>
      </c>
      <c r="D44" s="111" t="inlineStr">
        <is>
          <t>—</t>
        </is>
      </c>
      <c r="E44" s="112">
        <f>IFERROR(IF(IFERROR(MATCH(40,المحفظة!$H$5:$H$104,0),0)=0,"",INDEX(المحفظة!$E$5:$E$104,IFERROR(MATCH(40,المحفظة!$H$5:$H$104,0),0))),"")</f>
        <v/>
      </c>
      <c r="F44" s="109">
        <f>IFERROR(IF(IFERROR(MATCH(40,المحفظة!$H$5:$H$104,0),0)=0,"",INDEX(المحفظة!$F$5:$F$104,IFERROR(MATCH(40,المحفظة!$H$5:$H$104,0),0))),"")</f>
        <v/>
      </c>
      <c r="G44" s="16" t="n"/>
    </row>
    <row r="45" ht="15" customHeight="1" s="67">
      <c r="A45" s="113">
        <f>IFERROR(IF(IFERROR(MATCH(41,المحفظة!$H$5:$H$104,0),0)=0,"",INDEX(المحفظة!$A$5:$A$104,IFERROR(MATCH(41,المحفظة!$H$5:$H$104,0),0))),"")</f>
        <v/>
      </c>
      <c r="B45" s="114">
        <f>IFERROR(IF(IFERROR(MATCH(41,المحفظة!$H$5:$H$104,0),0)=0,"",INDEX(المحفظة!$B$5:$B$104,IFERROR(MATCH(41,المحفظة!$H$5:$H$104,0),0))),"")</f>
        <v/>
      </c>
      <c r="C45" s="115">
        <f>IFERROR(IF(IFERROR(MATCH(41,المحفظة!$H$5:$H$104,0),0)=0,"",INDEX(المحفظة!$C$5:$C$104,IFERROR(MATCH(41,المحفظة!$H$5:$H$104,0),0))),"")</f>
        <v/>
      </c>
      <c r="D45" s="116" t="inlineStr">
        <is>
          <t>—</t>
        </is>
      </c>
      <c r="E45" s="117">
        <f>IFERROR(IF(IFERROR(MATCH(41,المحفظة!$H$5:$H$104,0),0)=0,"",INDEX(المحفظة!$E$5:$E$104,IFERROR(MATCH(41,المحفظة!$H$5:$H$104,0),0))),"")</f>
        <v/>
      </c>
      <c r="F45" s="114">
        <f>IFERROR(IF(IFERROR(MATCH(41,المحفظة!$H$5:$H$104,0),0)=0,"",INDEX(المحفظة!$F$5:$F$104,IFERROR(MATCH(41,المحفظة!$H$5:$H$104,0),0))),"")</f>
        <v/>
      </c>
      <c r="G45" s="9" t="n"/>
    </row>
    <row r="46" ht="15" customHeight="1" s="67">
      <c r="A46" s="108">
        <f>IFERROR(IF(IFERROR(MATCH(42,المحفظة!$H$5:$H$104,0),0)=0,"",INDEX(المحفظة!$A$5:$A$104,IFERROR(MATCH(42,المحفظة!$H$5:$H$104,0),0))),"")</f>
        <v/>
      </c>
      <c r="B46" s="109">
        <f>IFERROR(IF(IFERROR(MATCH(42,المحفظة!$H$5:$H$104,0),0)=0,"",INDEX(المحفظة!$B$5:$B$104,IFERROR(MATCH(42,المحفظة!$H$5:$H$104,0),0))),"")</f>
        <v/>
      </c>
      <c r="C46" s="110">
        <f>IFERROR(IF(IFERROR(MATCH(42,المحفظة!$H$5:$H$104,0),0)=0,"",INDEX(المحفظة!$C$5:$C$104,IFERROR(MATCH(42,المحفظة!$H$5:$H$104,0),0))),"")</f>
        <v/>
      </c>
      <c r="D46" s="111" t="inlineStr">
        <is>
          <t>—</t>
        </is>
      </c>
      <c r="E46" s="112">
        <f>IFERROR(IF(IFERROR(MATCH(42,المحفظة!$H$5:$H$104,0),0)=0,"",INDEX(المحفظة!$E$5:$E$104,IFERROR(MATCH(42,المحفظة!$H$5:$H$104,0),0))),"")</f>
        <v/>
      </c>
      <c r="F46" s="109">
        <f>IFERROR(IF(IFERROR(MATCH(42,المحفظة!$H$5:$H$104,0),0)=0,"",INDEX(المحفظة!$F$5:$F$104,IFERROR(MATCH(42,المحفظة!$H$5:$H$104,0),0))),"")</f>
        <v/>
      </c>
      <c r="G46" s="16" t="n"/>
    </row>
    <row r="47" ht="15" customHeight="1" s="67">
      <c r="A47" s="113">
        <f>IFERROR(IF(IFERROR(MATCH(43,المحفظة!$H$5:$H$104,0),0)=0,"",INDEX(المحفظة!$A$5:$A$104,IFERROR(MATCH(43,المحفظة!$H$5:$H$104,0),0))),"")</f>
        <v/>
      </c>
      <c r="B47" s="114">
        <f>IFERROR(IF(IFERROR(MATCH(43,المحفظة!$H$5:$H$104,0),0)=0,"",INDEX(المحفظة!$B$5:$B$104,IFERROR(MATCH(43,المحفظة!$H$5:$H$104,0),0))),"")</f>
        <v/>
      </c>
      <c r="C47" s="115">
        <f>IFERROR(IF(IFERROR(MATCH(43,المحفظة!$H$5:$H$104,0),0)=0,"",INDEX(المحفظة!$C$5:$C$104,IFERROR(MATCH(43,المحفظة!$H$5:$H$104,0),0))),"")</f>
        <v/>
      </c>
      <c r="D47" s="116" t="inlineStr">
        <is>
          <t>—</t>
        </is>
      </c>
      <c r="E47" s="117">
        <f>IFERROR(IF(IFERROR(MATCH(43,المحفظة!$H$5:$H$104,0),0)=0,"",INDEX(المحفظة!$E$5:$E$104,IFERROR(MATCH(43,المحفظة!$H$5:$H$104,0),0))),"")</f>
        <v/>
      </c>
      <c r="F47" s="114">
        <f>IFERROR(IF(IFERROR(MATCH(43,المحفظة!$H$5:$H$104,0),0)=0,"",INDEX(المحفظة!$F$5:$F$104,IFERROR(MATCH(43,المحفظة!$H$5:$H$104,0),0))),"")</f>
        <v/>
      </c>
      <c r="G47" s="9" t="n"/>
    </row>
    <row r="48" ht="15" customHeight="1" s="67">
      <c r="A48" s="108">
        <f>IFERROR(IF(IFERROR(MATCH(44,المحفظة!$H$5:$H$104,0),0)=0,"",INDEX(المحفظة!$A$5:$A$104,IFERROR(MATCH(44,المحفظة!$H$5:$H$104,0),0))),"")</f>
        <v/>
      </c>
      <c r="B48" s="109">
        <f>IFERROR(IF(IFERROR(MATCH(44,المحفظة!$H$5:$H$104,0),0)=0,"",INDEX(المحفظة!$B$5:$B$104,IFERROR(MATCH(44,المحفظة!$H$5:$H$104,0),0))),"")</f>
        <v/>
      </c>
      <c r="C48" s="110">
        <f>IFERROR(IF(IFERROR(MATCH(44,المحفظة!$H$5:$H$104,0),0)=0,"",INDEX(المحفظة!$C$5:$C$104,IFERROR(MATCH(44,المحفظة!$H$5:$H$104,0),0))),"")</f>
        <v/>
      </c>
      <c r="D48" s="111" t="inlineStr">
        <is>
          <t>—</t>
        </is>
      </c>
      <c r="E48" s="112">
        <f>IFERROR(IF(IFERROR(MATCH(44,المحفظة!$H$5:$H$104,0),0)=0,"",INDEX(المحفظة!$E$5:$E$104,IFERROR(MATCH(44,المحفظة!$H$5:$H$104,0),0))),"")</f>
        <v/>
      </c>
      <c r="F48" s="109">
        <f>IFERROR(IF(IFERROR(MATCH(44,المحفظة!$H$5:$H$104,0),0)=0,"",INDEX(المحفظة!$F$5:$F$104,IFERROR(MATCH(44,المحفظة!$H$5:$H$104,0),0))),"")</f>
        <v/>
      </c>
      <c r="G48" s="16" t="n"/>
    </row>
    <row r="49" ht="15" customHeight="1" s="67">
      <c r="A49" s="113">
        <f>IFERROR(IF(IFERROR(MATCH(45,المحفظة!$H$5:$H$104,0),0)=0,"",INDEX(المحفظة!$A$5:$A$104,IFERROR(MATCH(45,المحفظة!$H$5:$H$104,0),0))),"")</f>
        <v/>
      </c>
      <c r="B49" s="114">
        <f>IFERROR(IF(IFERROR(MATCH(45,المحفظة!$H$5:$H$104,0),0)=0,"",INDEX(المحفظة!$B$5:$B$104,IFERROR(MATCH(45,المحفظة!$H$5:$H$104,0),0))),"")</f>
        <v/>
      </c>
      <c r="C49" s="115">
        <f>IFERROR(IF(IFERROR(MATCH(45,المحفظة!$H$5:$H$104,0),0)=0,"",INDEX(المحفظة!$C$5:$C$104,IFERROR(MATCH(45,المحفظة!$H$5:$H$104,0),0))),"")</f>
        <v/>
      </c>
      <c r="D49" s="116" t="inlineStr">
        <is>
          <t>—</t>
        </is>
      </c>
      <c r="E49" s="117">
        <f>IFERROR(IF(IFERROR(MATCH(45,المحفظة!$H$5:$H$104,0),0)=0,"",INDEX(المحفظة!$E$5:$E$104,IFERROR(MATCH(45,المحفظة!$H$5:$H$104,0),0))),"")</f>
        <v/>
      </c>
      <c r="F49" s="114">
        <f>IFERROR(IF(IFERROR(MATCH(45,المحفظة!$H$5:$H$104,0),0)=0,"",INDEX(المحفظة!$F$5:$F$104,IFERROR(MATCH(45,المحفظة!$H$5:$H$104,0),0))),"")</f>
        <v/>
      </c>
      <c r="G49" s="9" t="n"/>
    </row>
    <row r="50" ht="15" customHeight="1" s="67">
      <c r="A50" s="108">
        <f>IFERROR(IF(IFERROR(MATCH(46,المحفظة!$H$5:$H$104,0),0)=0,"",INDEX(المحفظة!$A$5:$A$104,IFERROR(MATCH(46,المحفظة!$H$5:$H$104,0),0))),"")</f>
        <v/>
      </c>
      <c r="B50" s="109">
        <f>IFERROR(IF(IFERROR(MATCH(46,المحفظة!$H$5:$H$104,0),0)=0,"",INDEX(المحفظة!$B$5:$B$104,IFERROR(MATCH(46,المحفظة!$H$5:$H$104,0),0))),"")</f>
        <v/>
      </c>
      <c r="C50" s="110">
        <f>IFERROR(IF(IFERROR(MATCH(46,المحفظة!$H$5:$H$104,0),0)=0,"",INDEX(المحفظة!$C$5:$C$104,IFERROR(MATCH(46,المحفظة!$H$5:$H$104,0),0))),"")</f>
        <v/>
      </c>
      <c r="D50" s="111" t="inlineStr">
        <is>
          <t>—</t>
        </is>
      </c>
      <c r="E50" s="112">
        <f>IFERROR(IF(IFERROR(MATCH(46,المحفظة!$H$5:$H$104,0),0)=0,"",INDEX(المحفظة!$E$5:$E$104,IFERROR(MATCH(46,المحفظة!$H$5:$H$104,0),0))),"")</f>
        <v/>
      </c>
      <c r="F50" s="109">
        <f>IFERROR(IF(IFERROR(MATCH(46,المحفظة!$H$5:$H$104,0),0)=0,"",INDEX(المحفظة!$F$5:$F$104,IFERROR(MATCH(46,المحفظة!$H$5:$H$104,0),0))),"")</f>
        <v/>
      </c>
      <c r="G50" s="16" t="n"/>
    </row>
    <row r="51" ht="15" customHeight="1" s="67">
      <c r="A51" s="113">
        <f>IFERROR(IF(IFERROR(MATCH(47,المحفظة!$H$5:$H$104,0),0)=0,"",INDEX(المحفظة!$A$5:$A$104,IFERROR(MATCH(47,المحفظة!$H$5:$H$104,0),0))),"")</f>
        <v/>
      </c>
      <c r="B51" s="114">
        <f>IFERROR(IF(IFERROR(MATCH(47,المحفظة!$H$5:$H$104,0),0)=0,"",INDEX(المحفظة!$B$5:$B$104,IFERROR(MATCH(47,المحفظة!$H$5:$H$104,0),0))),"")</f>
        <v/>
      </c>
      <c r="C51" s="115">
        <f>IFERROR(IF(IFERROR(MATCH(47,المحفظة!$H$5:$H$104,0),0)=0,"",INDEX(المحفظة!$C$5:$C$104,IFERROR(MATCH(47,المحفظة!$H$5:$H$104,0),0))),"")</f>
        <v/>
      </c>
      <c r="D51" s="116" t="inlineStr">
        <is>
          <t>—</t>
        </is>
      </c>
      <c r="E51" s="117">
        <f>IFERROR(IF(IFERROR(MATCH(47,المحفظة!$H$5:$H$104,0),0)=0,"",INDEX(المحفظة!$E$5:$E$104,IFERROR(MATCH(47,المحفظة!$H$5:$H$104,0),0))),"")</f>
        <v/>
      </c>
      <c r="F51" s="114">
        <f>IFERROR(IF(IFERROR(MATCH(47,المحفظة!$H$5:$H$104,0),0)=0,"",INDEX(المحفظة!$F$5:$F$104,IFERROR(MATCH(47,المحفظة!$H$5:$H$104,0),0))),"")</f>
        <v/>
      </c>
      <c r="G51" s="9" t="n"/>
    </row>
    <row r="52" ht="15" customHeight="1" s="67">
      <c r="A52" s="108">
        <f>IFERROR(IF(IFERROR(MATCH(48,المحفظة!$H$5:$H$104,0),0)=0,"",INDEX(المحفظة!$A$5:$A$104,IFERROR(MATCH(48,المحفظة!$H$5:$H$104,0),0))),"")</f>
        <v/>
      </c>
      <c r="B52" s="109">
        <f>IFERROR(IF(IFERROR(MATCH(48,المحفظة!$H$5:$H$104,0),0)=0,"",INDEX(المحفظة!$B$5:$B$104,IFERROR(MATCH(48,المحفظة!$H$5:$H$104,0),0))),"")</f>
        <v/>
      </c>
      <c r="C52" s="110">
        <f>IFERROR(IF(IFERROR(MATCH(48,المحفظة!$H$5:$H$104,0),0)=0,"",INDEX(المحفظة!$C$5:$C$104,IFERROR(MATCH(48,المحفظة!$H$5:$H$104,0),0))),"")</f>
        <v/>
      </c>
      <c r="D52" s="111" t="inlineStr">
        <is>
          <t>—</t>
        </is>
      </c>
      <c r="E52" s="112">
        <f>IFERROR(IF(IFERROR(MATCH(48,المحفظة!$H$5:$H$104,0),0)=0,"",INDEX(المحفظة!$E$5:$E$104,IFERROR(MATCH(48,المحفظة!$H$5:$H$104,0),0))),"")</f>
        <v/>
      </c>
      <c r="F52" s="109">
        <f>IFERROR(IF(IFERROR(MATCH(48,المحفظة!$H$5:$H$104,0),0)=0,"",INDEX(المحفظة!$F$5:$F$104,IFERROR(MATCH(48,المحفظة!$H$5:$H$104,0),0))),"")</f>
        <v/>
      </c>
      <c r="G52" s="16" t="n"/>
    </row>
    <row r="53" ht="15" customHeight="1" s="67">
      <c r="A53" s="113">
        <f>IFERROR(IF(IFERROR(MATCH(49,المحفظة!$H$5:$H$104,0),0)=0,"",INDEX(المحفظة!$A$5:$A$104,IFERROR(MATCH(49,المحفظة!$H$5:$H$104,0),0))),"")</f>
        <v/>
      </c>
      <c r="B53" s="114">
        <f>IFERROR(IF(IFERROR(MATCH(49,المحفظة!$H$5:$H$104,0),0)=0,"",INDEX(المحفظة!$B$5:$B$104,IFERROR(MATCH(49,المحفظة!$H$5:$H$104,0),0))),"")</f>
        <v/>
      </c>
      <c r="C53" s="115">
        <f>IFERROR(IF(IFERROR(MATCH(49,المحفظة!$H$5:$H$104,0),0)=0,"",INDEX(المحفظة!$C$5:$C$104,IFERROR(MATCH(49,المحفظة!$H$5:$H$104,0),0))),"")</f>
        <v/>
      </c>
      <c r="D53" s="116" t="inlineStr">
        <is>
          <t>—</t>
        </is>
      </c>
      <c r="E53" s="117">
        <f>IFERROR(IF(IFERROR(MATCH(49,المحفظة!$H$5:$H$104,0),0)=0,"",INDEX(المحفظة!$E$5:$E$104,IFERROR(MATCH(49,المحفظة!$H$5:$H$104,0),0))),"")</f>
        <v/>
      </c>
      <c r="F53" s="114">
        <f>IFERROR(IF(IFERROR(MATCH(49,المحفظة!$H$5:$H$104,0),0)=0,"",INDEX(المحفظة!$F$5:$F$104,IFERROR(MATCH(49,المحفظة!$H$5:$H$104,0),0))),"")</f>
        <v/>
      </c>
      <c r="G53" s="9" t="n"/>
    </row>
    <row r="54" hidden="1" ht="15" customHeight="1" s="67">
      <c r="A54" s="108">
        <f>IFERROR(IF(IFERROR(MATCH(50,المحفظة!$H$5:$H$104,0),0)=0,"",INDEX(المحفظة!$A$5:$A$104,IFERROR(MATCH(50,المحفظة!$H$5:$H$104,0),0))),"")</f>
        <v/>
      </c>
      <c r="B54" s="109">
        <f>IFERROR(IF(IFERROR(MATCH(50,المحفظة!$H$5:$H$104,0),0)=0,"",INDEX(المحفظة!$B$5:$B$104,IFERROR(MATCH(50,المحفظة!$H$5:$H$104,0),0))),"")</f>
        <v/>
      </c>
      <c r="C54" s="110">
        <f>IFERROR(IF(IFERROR(MATCH(50,المحفظة!$H$5:$H$104,0),0)=0,"",INDEX(المحفظة!$C$5:$C$104,IFERROR(MATCH(50,المحفظة!$H$5:$H$104,0),0))),"")</f>
        <v/>
      </c>
      <c r="D54" s="111" t="inlineStr">
        <is>
          <t>—</t>
        </is>
      </c>
      <c r="E54" s="112">
        <f>IFERROR(IF(IFERROR(MATCH(50,المحفظة!$H$5:$H$104,0),0)=0,"",INDEX(المحفظة!$E$5:$E$104,IFERROR(MATCH(50,المحفظة!$H$5:$H$104,0),0))),"")</f>
        <v/>
      </c>
      <c r="F54" s="109">
        <f>IFERROR(IF(IFERROR(MATCH(50,المحفظة!$H$5:$H$104,0),0)=0,"",INDEX(المحفظة!$F$5:$F$104,IFERROR(MATCH(50,المحفظة!$H$5:$H$104,0),0))),"")</f>
        <v/>
      </c>
      <c r="G54" s="16" t="n"/>
    </row>
    <row r="55" ht="19.5" customHeight="1" s="67">
      <c r="A55" s="140" t="inlineStr">
        <is>
          <t>إجمالي الإيرادات</t>
        </is>
      </c>
      <c r="B55" s="69" t="n"/>
      <c r="C55" s="69" t="n"/>
      <c r="D55" s="69" t="n"/>
      <c r="E55" s="160">
        <f>SUMIF(المحفظة!$H$5:$H$104,"&gt;0",المحفظة!$E$5:$E$104)</f>
        <v/>
      </c>
      <c r="F55" s="101" t="n"/>
      <c r="G55" s="101" t="n"/>
    </row>
    <row r="56" ht="19.5" customHeight="1" s="67">
      <c r="A56" s="142" t="inlineStr">
        <is>
          <t>🔴  المصروفات من المحفظة</t>
        </is>
      </c>
      <c r="B56" s="69" t="n"/>
      <c r="C56" s="69" t="n"/>
      <c r="D56" s="69" t="n"/>
      <c r="E56" s="69" t="n"/>
      <c r="F56" s="69" t="n"/>
      <c r="G56" s="69" t="n"/>
    </row>
    <row r="57" ht="16.5" customHeight="1" s="67">
      <c r="A57" s="18">
        <f>IFERROR(IF(IFERROR(MATCH(1,المحفظة!$H$107:$H$206,0),0)=0,"",INDEX(المحفظة!$A$107:$A$206,IFERROR(MATCH(1,المحفظة!$H$107:$H$206,0),0))),"")</f>
        <v/>
      </c>
      <c r="B57" s="19">
        <f>IFERROR(IF(IFERROR(MATCH(1,المحفظة!$H$107:$H$206,0),0)=0,"",INDEX(المحفظة!$B$107:$B$206,IFERROR(MATCH(1,المحفظة!$H$107:$H$206,0),0))),"")</f>
        <v/>
      </c>
      <c r="C57" s="119">
        <f>IFERROR(IF(IFERROR(MATCH(1,المحفظة!$H$107:$H$206,0),0)=0,"",INDEX(المحفظة!$C$107:$C$206,IFERROR(MATCH(1,المحفظة!$H$107:$H$206,0),0))),"")</f>
        <v/>
      </c>
      <c r="D57" s="21">
        <f>IFERROR(IF(IFERROR(MATCH(1,المحفظة!$H$107:$H$206,0),0)=0,"",INDEX(المحفظة!$D$107:$D$206,IFERROR(MATCH(1,المحفظة!$H$107:$H$206,0),0))),"")</f>
        <v/>
      </c>
      <c r="E57" s="22" t="inlineStr">
        <is>
          <t>—</t>
        </is>
      </c>
      <c r="F57" s="19">
        <f>IFERROR(IF(IFERROR(MATCH(1,المحفظة!$H$107:$H$206,0),0)=0,"",INDEX(المحفظة!$F$107:$F$206,IFERROR(MATCH(1,المحفظة!$H$107:$H$206,0),0))),"")</f>
        <v/>
      </c>
      <c r="G57" s="120" t="n"/>
    </row>
    <row r="58" ht="16.5" customHeight="1" s="67">
      <c r="A58" s="25">
        <f>IFERROR(IF(IFERROR(MATCH(2,المحفظة!$H$107:$H$206,0),0)=0,"",INDEX(المحفظة!$A$107:$A$206,IFERROR(MATCH(2,المحفظة!$H$107:$H$206,0),0))),"")</f>
        <v/>
      </c>
      <c r="B58" s="26">
        <f>IFERROR(IF(IFERROR(MATCH(2,المحفظة!$H$107:$H$206,0),0)=0,"",INDEX(المحفظة!$B$107:$B$206,IFERROR(MATCH(2,المحفظة!$H$107:$H$206,0),0))),"")</f>
        <v/>
      </c>
      <c r="C58" s="121">
        <f>IFERROR(IF(IFERROR(MATCH(2,المحفظة!$H$107:$H$206,0),0)=0,"",INDEX(المحفظة!$C$107:$C$206,IFERROR(MATCH(2,المحفظة!$H$107:$H$206,0),0))),"")</f>
        <v/>
      </c>
      <c r="D58" s="28">
        <f>IFERROR(IF(IFERROR(MATCH(2,المحفظة!$H$107:$H$206,0),0)=0,"",INDEX(المحفظة!$D$107:$D$206,IFERROR(MATCH(2,المحفظة!$H$107:$H$206,0),0))),"")</f>
        <v/>
      </c>
      <c r="E58" s="29" t="inlineStr">
        <is>
          <t>—</t>
        </is>
      </c>
      <c r="F58" s="26">
        <f>IFERROR(IF(IFERROR(MATCH(2,المحفظة!$H$107:$H$206,0),0)=0,"",INDEX(المحفظة!$F$107:$F$206,IFERROR(MATCH(2,المحفظة!$H$107:$H$206,0),0))),"")</f>
        <v/>
      </c>
      <c r="G58" s="122" t="n"/>
    </row>
    <row r="59" ht="16.5" customHeight="1" s="67">
      <c r="A59" s="18">
        <f>IFERROR(IF(IFERROR(MATCH(3,المحفظة!$H$107:$H$206,0),0)=0,"",INDEX(المحفظة!$A$107:$A$206,IFERROR(MATCH(3,المحفظة!$H$107:$H$206,0),0))),"")</f>
        <v/>
      </c>
      <c r="B59" s="19">
        <f>IFERROR(IF(IFERROR(MATCH(3,المحفظة!$H$107:$H$206,0),0)=0,"",INDEX(المحفظة!$B$107:$B$206,IFERROR(MATCH(3,المحفظة!$H$107:$H$206,0),0))),"")</f>
        <v/>
      </c>
      <c r="C59" s="119">
        <f>IFERROR(IF(IFERROR(MATCH(3,المحفظة!$H$107:$H$206,0),0)=0,"",INDEX(المحفظة!$C$107:$C$206,IFERROR(MATCH(3,المحفظة!$H$107:$H$206,0),0))),"")</f>
        <v/>
      </c>
      <c r="D59" s="21">
        <f>IFERROR(IF(IFERROR(MATCH(3,المحفظة!$H$107:$H$206,0),0)=0,"",INDEX(المحفظة!$D$107:$D$206,IFERROR(MATCH(3,المحفظة!$H$107:$H$206,0),0))),"")</f>
        <v/>
      </c>
      <c r="E59" s="22" t="inlineStr">
        <is>
          <t>—</t>
        </is>
      </c>
      <c r="F59" s="19">
        <f>IFERROR(IF(IFERROR(MATCH(3,المحفظة!$H$107:$H$206,0),0)=0,"",INDEX(المحفظة!$F$107:$F$206,IFERROR(MATCH(3,المحفظة!$H$107:$H$206,0),0))),"")</f>
        <v/>
      </c>
      <c r="G59" s="120" t="n"/>
    </row>
    <row r="60" ht="16.5" customHeight="1" s="67">
      <c r="A60" s="25">
        <f>IFERROR(IF(IFERROR(MATCH(4,المحفظة!$H$107:$H$206,0),0)=0,"",INDEX(المحفظة!$A$107:$A$206,IFERROR(MATCH(4,المحفظة!$H$107:$H$206,0),0))),"")</f>
        <v/>
      </c>
      <c r="B60" s="26">
        <f>IFERROR(IF(IFERROR(MATCH(4,المحفظة!$H$107:$H$206,0),0)=0,"",INDEX(المحفظة!$B$107:$B$206,IFERROR(MATCH(4,المحفظة!$H$107:$H$206,0),0))),"")</f>
        <v/>
      </c>
      <c r="C60" s="121">
        <f>IFERROR(IF(IFERROR(MATCH(4,المحفظة!$H$107:$H$206,0),0)=0,"",INDEX(المحفظة!$C$107:$C$206,IFERROR(MATCH(4,المحفظة!$H$107:$H$206,0),0))),"")</f>
        <v/>
      </c>
      <c r="D60" s="28">
        <f>IFERROR(IF(IFERROR(MATCH(4,المحفظة!$H$107:$H$206,0),0)=0,"",INDEX(المحفظة!$D$107:$D$206,IFERROR(MATCH(4,المحفظة!$H$107:$H$206,0),0))),"")</f>
        <v/>
      </c>
      <c r="E60" s="29" t="inlineStr">
        <is>
          <t>—</t>
        </is>
      </c>
      <c r="F60" s="26">
        <f>IFERROR(IF(IFERROR(MATCH(4,المحفظة!$H$107:$H$206,0),0)=0,"",INDEX(المحفظة!$F$107:$F$206,IFERROR(MATCH(4,المحفظة!$H$107:$H$206,0),0))),"")</f>
        <v/>
      </c>
      <c r="G60" s="122" t="n"/>
    </row>
    <row r="61" ht="16.5" customHeight="1" s="67">
      <c r="A61" s="18">
        <f>IFERROR(IF(IFERROR(MATCH(5,المحفظة!$H$107:$H$206,0),0)=0,"",INDEX(المحفظة!$A$107:$A$206,IFERROR(MATCH(5,المحفظة!$H$107:$H$206,0),0))),"")</f>
        <v/>
      </c>
      <c r="B61" s="19">
        <f>IFERROR(IF(IFERROR(MATCH(5,المحفظة!$H$107:$H$206,0),0)=0,"",INDEX(المحفظة!$B$107:$B$206,IFERROR(MATCH(5,المحفظة!$H$107:$H$206,0),0))),"")</f>
        <v/>
      </c>
      <c r="C61" s="119">
        <f>IFERROR(IF(IFERROR(MATCH(5,المحفظة!$H$107:$H$206,0),0)=0,"",INDEX(المحفظة!$C$107:$C$206,IFERROR(MATCH(5,المحفظة!$H$107:$H$206,0),0))),"")</f>
        <v/>
      </c>
      <c r="D61" s="21">
        <f>IFERROR(IF(IFERROR(MATCH(5,المحفظة!$H$107:$H$206,0),0)=0,"",INDEX(المحفظة!$D$107:$D$206,IFERROR(MATCH(5,المحفظة!$H$107:$H$206,0),0))),"")</f>
        <v/>
      </c>
      <c r="E61" s="22" t="inlineStr">
        <is>
          <t>—</t>
        </is>
      </c>
      <c r="F61" s="19">
        <f>IFERROR(IF(IFERROR(MATCH(5,المحفظة!$H$107:$H$206,0),0)=0,"",INDEX(المحفظة!$F$107:$F$206,IFERROR(MATCH(5,المحفظة!$H$107:$H$206,0),0))),"")</f>
        <v/>
      </c>
      <c r="G61" s="120" t="n"/>
    </row>
    <row r="62" ht="16.5" customHeight="1" s="67">
      <c r="A62" s="25">
        <f>IFERROR(IF(IFERROR(MATCH(6,المحفظة!$H$107:$H$206,0),0)=0,"",INDEX(المحفظة!$A$107:$A$206,IFERROR(MATCH(6,المحفظة!$H$107:$H$206,0),0))),"")</f>
        <v/>
      </c>
      <c r="B62" s="26">
        <f>IFERROR(IF(IFERROR(MATCH(6,المحفظة!$H$107:$H$206,0),0)=0,"",INDEX(المحفظة!$B$107:$B$206,IFERROR(MATCH(6,المحفظة!$H$107:$H$206,0),0))),"")</f>
        <v/>
      </c>
      <c r="C62" s="121">
        <f>IFERROR(IF(IFERROR(MATCH(6,المحفظة!$H$107:$H$206,0),0)=0,"",INDEX(المحفظة!$C$107:$C$206,IFERROR(MATCH(6,المحفظة!$H$107:$H$206,0),0))),"")</f>
        <v/>
      </c>
      <c r="D62" s="28">
        <f>IFERROR(IF(IFERROR(MATCH(6,المحفظة!$H$107:$H$206,0),0)=0,"",INDEX(المحفظة!$D$107:$D$206,IFERROR(MATCH(6,المحفظة!$H$107:$H$206,0),0))),"")</f>
        <v/>
      </c>
      <c r="E62" s="29" t="inlineStr">
        <is>
          <t>—</t>
        </is>
      </c>
      <c r="F62" s="26">
        <f>IFERROR(IF(IFERROR(MATCH(6,المحفظة!$H$107:$H$206,0),0)=0,"",INDEX(المحفظة!$F$107:$F$206,IFERROR(MATCH(6,المحفظة!$H$107:$H$206,0),0))),"")</f>
        <v/>
      </c>
      <c r="G62" s="122" t="n"/>
    </row>
    <row r="63" ht="15" customHeight="1" s="67">
      <c r="A63" s="123">
        <f>IFERROR(IF(IFERROR(MATCH(7,المحفظة!$H$107:$H$206,0),0)=0,"",INDEX(المحفظة!$A$107:$A$206,IFERROR(MATCH(7,المحفظة!$H$107:$H$206,0),0))),"")</f>
        <v/>
      </c>
      <c r="B63" s="124">
        <f>IFERROR(IF(IFERROR(MATCH(7,المحفظة!$H$107:$H$206,0),0)=0,"",INDEX(المحفظة!$B$107:$B$206,IFERROR(MATCH(7,المحفظة!$H$107:$H$206,0),0))),"")</f>
        <v/>
      </c>
      <c r="C63" s="125">
        <f>IFERROR(IF(IFERROR(MATCH(7,المحفظة!$H$107:$H$206,0),0)=0,"",INDEX(المحفظة!$C$107:$C$206,IFERROR(MATCH(7,المحفظة!$H$107:$H$206,0),0))),"")</f>
        <v/>
      </c>
      <c r="D63" s="126">
        <f>IFERROR(IF(IFERROR(MATCH(7,المحفظة!$H$107:$H$206,0),0)=0,"",INDEX(المحفظة!$D$107:$D$206,IFERROR(MATCH(7,المحفظة!$H$107:$H$206,0),0))),"")</f>
        <v/>
      </c>
      <c r="E63" s="127" t="inlineStr">
        <is>
          <t>—</t>
        </is>
      </c>
      <c r="F63" s="124">
        <f>IFERROR(IF(IFERROR(MATCH(7,المحفظة!$H$107:$H$206,0),0)=0,"",INDEX(المحفظة!$F$107:$F$206,IFERROR(MATCH(7,المحفظة!$H$107:$H$206,0),0))),"")</f>
        <v/>
      </c>
      <c r="G63" s="24" t="n"/>
    </row>
    <row r="64" ht="15" customHeight="1" s="67">
      <c r="A64" s="128">
        <f>IFERROR(IF(IFERROR(MATCH(8,المحفظة!$H$107:$H$206,0),0)=0,"",INDEX(المحفظة!$A$107:$A$206,IFERROR(MATCH(8,المحفظة!$H$107:$H$206,0),0))),"")</f>
        <v/>
      </c>
      <c r="B64" s="129">
        <f>IFERROR(IF(IFERROR(MATCH(8,المحفظة!$H$107:$H$206,0),0)=0,"",INDEX(المحفظة!$B$107:$B$206,IFERROR(MATCH(8,المحفظة!$H$107:$H$206,0),0))),"")</f>
        <v/>
      </c>
      <c r="C64" s="130">
        <f>IFERROR(IF(IFERROR(MATCH(8,المحفظة!$H$107:$H$206,0),0)=0,"",INDEX(المحفظة!$C$107:$C$206,IFERROR(MATCH(8,المحفظة!$H$107:$H$206,0),0))),"")</f>
        <v/>
      </c>
      <c r="D64" s="131">
        <f>IFERROR(IF(IFERROR(MATCH(8,المحفظة!$H$107:$H$206,0),0)=0,"",INDEX(المحفظة!$D$107:$D$206,IFERROR(MATCH(8,المحفظة!$H$107:$H$206,0),0))),"")</f>
        <v/>
      </c>
      <c r="E64" s="132" t="inlineStr">
        <is>
          <t>—</t>
        </is>
      </c>
      <c r="F64" s="129">
        <f>IFERROR(IF(IFERROR(MATCH(8,المحفظة!$H$107:$H$206,0),0)=0,"",INDEX(المحفظة!$F$107:$F$206,IFERROR(MATCH(8,المحفظة!$H$107:$H$206,0),0))),"")</f>
        <v/>
      </c>
      <c r="G64" s="31" t="n"/>
    </row>
    <row r="65" ht="15" customHeight="1" s="67">
      <c r="A65" s="123">
        <f>IFERROR(IF(IFERROR(MATCH(9,المحفظة!$H$107:$H$206,0),0)=0,"",INDEX(المحفظة!$A$107:$A$206,IFERROR(MATCH(9,المحفظة!$H$107:$H$206,0),0))),"")</f>
        <v/>
      </c>
      <c r="B65" s="124">
        <f>IFERROR(IF(IFERROR(MATCH(9,المحفظة!$H$107:$H$206,0),0)=0,"",INDEX(المحفظة!$B$107:$B$206,IFERROR(MATCH(9,المحفظة!$H$107:$H$206,0),0))),"")</f>
        <v/>
      </c>
      <c r="C65" s="125">
        <f>IFERROR(IF(IFERROR(MATCH(9,المحفظة!$H$107:$H$206,0),0)=0,"",INDEX(المحفظة!$C$107:$C$206,IFERROR(MATCH(9,المحفظة!$H$107:$H$206,0),0))),"")</f>
        <v/>
      </c>
      <c r="D65" s="126">
        <f>IFERROR(IF(IFERROR(MATCH(9,المحفظة!$H$107:$H$206,0),0)=0,"",INDEX(المحفظة!$D$107:$D$206,IFERROR(MATCH(9,المحفظة!$H$107:$H$206,0),0))),"")</f>
        <v/>
      </c>
      <c r="E65" s="127" t="inlineStr">
        <is>
          <t>—</t>
        </is>
      </c>
      <c r="F65" s="124">
        <f>IFERROR(IF(IFERROR(MATCH(9,المحفظة!$H$107:$H$206,0),0)=0,"",INDEX(المحفظة!$F$107:$F$206,IFERROR(MATCH(9,المحفظة!$H$107:$H$206,0),0))),"")</f>
        <v/>
      </c>
      <c r="G65" s="24" t="n"/>
    </row>
    <row r="66" ht="15" customHeight="1" s="67">
      <c r="A66" s="128">
        <f>IFERROR(IF(IFERROR(MATCH(10,المحفظة!$H$107:$H$206,0),0)=0,"",INDEX(المحفظة!$A$107:$A$206,IFERROR(MATCH(10,المحفظة!$H$107:$H$206,0),0))),"")</f>
        <v/>
      </c>
      <c r="B66" s="129">
        <f>IFERROR(IF(IFERROR(MATCH(10,المحفظة!$H$107:$H$206,0),0)=0,"",INDEX(المحفظة!$B$107:$B$206,IFERROR(MATCH(10,المحفظة!$H$107:$H$206,0),0))),"")</f>
        <v/>
      </c>
      <c r="C66" s="130">
        <f>IFERROR(IF(IFERROR(MATCH(10,المحفظة!$H$107:$H$206,0),0)=0,"",INDEX(المحفظة!$C$107:$C$206,IFERROR(MATCH(10,المحفظة!$H$107:$H$206,0),0))),"")</f>
        <v/>
      </c>
      <c r="D66" s="131">
        <f>IFERROR(IF(IFERROR(MATCH(10,المحفظة!$H$107:$H$206,0),0)=0,"",INDEX(المحفظة!$D$107:$D$206,IFERROR(MATCH(10,المحفظة!$H$107:$H$206,0),0))),"")</f>
        <v/>
      </c>
      <c r="E66" s="132" t="inlineStr">
        <is>
          <t>—</t>
        </is>
      </c>
      <c r="F66" s="129">
        <f>IFERROR(IF(IFERROR(MATCH(10,المحفظة!$H$107:$H$206,0),0)=0,"",INDEX(المحفظة!$F$107:$F$206,IFERROR(MATCH(10,المحفظة!$H$107:$H$206,0),0))),"")</f>
        <v/>
      </c>
      <c r="G66" s="31" t="n"/>
    </row>
    <row r="67" ht="15" customHeight="1" s="67">
      <c r="A67" s="123">
        <f>IFERROR(IF(IFERROR(MATCH(11,المحفظة!$H$107:$H$206,0),0)=0,"",INDEX(المحفظة!$A$107:$A$206,IFERROR(MATCH(11,المحفظة!$H$107:$H$206,0),0))),"")</f>
        <v/>
      </c>
      <c r="B67" s="124">
        <f>IFERROR(IF(IFERROR(MATCH(11,المحفظة!$H$107:$H$206,0),0)=0,"",INDEX(المحفظة!$B$107:$B$206,IFERROR(MATCH(11,المحفظة!$H$107:$H$206,0),0))),"")</f>
        <v/>
      </c>
      <c r="C67" s="125">
        <f>IFERROR(IF(IFERROR(MATCH(11,المحفظة!$H$107:$H$206,0),0)=0,"",INDEX(المحفظة!$C$107:$C$206,IFERROR(MATCH(11,المحفظة!$H$107:$H$206,0),0))),"")</f>
        <v/>
      </c>
      <c r="D67" s="126">
        <f>IFERROR(IF(IFERROR(MATCH(11,المحفظة!$H$107:$H$206,0),0)=0,"",INDEX(المحفظة!$D$107:$D$206,IFERROR(MATCH(11,المحفظة!$H$107:$H$206,0),0))),"")</f>
        <v/>
      </c>
      <c r="E67" s="127" t="inlineStr">
        <is>
          <t>—</t>
        </is>
      </c>
      <c r="F67" s="124">
        <f>IFERROR(IF(IFERROR(MATCH(11,المحفظة!$H$107:$H$206,0),0)=0,"",INDEX(المحفظة!$F$107:$F$206,IFERROR(MATCH(11,المحفظة!$H$107:$H$206,0),0))),"")</f>
        <v/>
      </c>
      <c r="G67" s="24" t="n"/>
    </row>
    <row r="68" ht="15" customHeight="1" s="67">
      <c r="A68" s="128">
        <f>IFERROR(IF(IFERROR(MATCH(12,المحفظة!$H$107:$H$206,0),0)=0,"",INDEX(المحفظة!$A$107:$A$206,IFERROR(MATCH(12,المحفظة!$H$107:$H$206,0),0))),"")</f>
        <v/>
      </c>
      <c r="B68" s="129">
        <f>IFERROR(IF(IFERROR(MATCH(12,المحفظة!$H$107:$H$206,0),0)=0,"",INDEX(المحفظة!$B$107:$B$206,IFERROR(MATCH(12,المحفظة!$H$107:$H$206,0),0))),"")</f>
        <v/>
      </c>
      <c r="C68" s="130">
        <f>IFERROR(IF(IFERROR(MATCH(12,المحفظة!$H$107:$H$206,0),0)=0,"",INDEX(المحفظة!$C$107:$C$206,IFERROR(MATCH(12,المحفظة!$H$107:$H$206,0),0))),"")</f>
        <v/>
      </c>
      <c r="D68" s="131">
        <f>IFERROR(IF(IFERROR(MATCH(12,المحفظة!$H$107:$H$206,0),0)=0,"",INDEX(المحفظة!$D$107:$D$206,IFERROR(MATCH(12,المحفظة!$H$107:$H$206,0),0))),"")</f>
        <v/>
      </c>
      <c r="E68" s="132" t="inlineStr">
        <is>
          <t>—</t>
        </is>
      </c>
      <c r="F68" s="129">
        <f>IFERROR(IF(IFERROR(MATCH(12,المحفظة!$H$107:$H$206,0),0)=0,"",INDEX(المحفظة!$F$107:$F$206,IFERROR(MATCH(12,المحفظة!$H$107:$H$206,0),0))),"")</f>
        <v/>
      </c>
      <c r="G68" s="31" t="n"/>
    </row>
    <row r="69" ht="15" customHeight="1" s="67">
      <c r="A69" s="123">
        <f>IFERROR(IF(IFERROR(MATCH(13,المحفظة!$H$107:$H$206,0),0)=0,"",INDEX(المحفظة!$A$107:$A$206,IFERROR(MATCH(13,المحفظة!$H$107:$H$206,0),0))),"")</f>
        <v/>
      </c>
      <c r="B69" s="124">
        <f>IFERROR(IF(IFERROR(MATCH(13,المحفظة!$H$107:$H$206,0),0)=0,"",INDEX(المحفظة!$B$107:$B$206,IFERROR(MATCH(13,المحفظة!$H$107:$H$206,0),0))),"")</f>
        <v/>
      </c>
      <c r="C69" s="125">
        <f>IFERROR(IF(IFERROR(MATCH(13,المحفظة!$H$107:$H$206,0),0)=0,"",INDEX(المحفظة!$C$107:$C$206,IFERROR(MATCH(13,المحفظة!$H$107:$H$206,0),0))),"")</f>
        <v/>
      </c>
      <c r="D69" s="126">
        <f>IFERROR(IF(IFERROR(MATCH(13,المحفظة!$H$107:$H$206,0),0)=0,"",INDEX(المحفظة!$D$107:$D$206,IFERROR(MATCH(13,المحفظة!$H$107:$H$206,0),0))),"")</f>
        <v/>
      </c>
      <c r="E69" s="127" t="inlineStr">
        <is>
          <t>—</t>
        </is>
      </c>
      <c r="F69" s="124">
        <f>IFERROR(IF(IFERROR(MATCH(13,المحفظة!$H$107:$H$206,0),0)=0,"",INDEX(المحفظة!$F$107:$F$206,IFERROR(MATCH(13,المحفظة!$H$107:$H$206,0),0))),"")</f>
        <v/>
      </c>
      <c r="G69" s="24" t="n"/>
    </row>
    <row r="70" hidden="1" ht="15" customHeight="1" s="67">
      <c r="A70" s="128">
        <f>IFERROR(IF(IFERROR(MATCH(14,المحفظة!$H$107:$H$206,0),0)=0,"",INDEX(المحفظة!$A$107:$A$206,IFERROR(MATCH(14,المحفظة!$H$107:$H$206,0),0))),"")</f>
        <v/>
      </c>
      <c r="B70" s="129">
        <f>IFERROR(IF(IFERROR(MATCH(14,المحفظة!$H$107:$H$206,0),0)=0,"",INDEX(المحفظة!$B$107:$B$206,IFERROR(MATCH(14,المحفظة!$H$107:$H$206,0),0))),"")</f>
        <v/>
      </c>
      <c r="C70" s="130">
        <f>IFERROR(IF(IFERROR(MATCH(14,المحفظة!$H$107:$H$206,0),0)=0,"",INDEX(المحفظة!$C$107:$C$206,IFERROR(MATCH(14,المحفظة!$H$107:$H$206,0),0))),"")</f>
        <v/>
      </c>
      <c r="D70" s="131">
        <f>IFERROR(IF(IFERROR(MATCH(14,المحفظة!$H$107:$H$206,0),0)=0,"",INDEX(المحفظة!$D$107:$D$206,IFERROR(MATCH(14,المحفظة!$H$107:$H$206,0),0))),"")</f>
        <v/>
      </c>
      <c r="E70" s="132" t="inlineStr">
        <is>
          <t>—</t>
        </is>
      </c>
      <c r="F70" s="129">
        <f>IFERROR(IF(IFERROR(MATCH(14,المحفظة!$H$107:$H$206,0),0)=0,"",INDEX(المحفظة!$F$107:$F$206,IFERROR(MATCH(14,المحفظة!$H$107:$H$206,0),0))),"")</f>
        <v/>
      </c>
      <c r="G70" s="31" t="n"/>
    </row>
    <row r="71" hidden="1" ht="15" customHeight="1" s="67">
      <c r="A71" s="123">
        <f>IFERROR(IF(IFERROR(MATCH(15,المحفظة!$H$107:$H$206,0),0)=0,"",INDEX(المحفظة!$A$107:$A$206,IFERROR(MATCH(15,المحفظة!$H$107:$H$206,0),0))),"")</f>
        <v/>
      </c>
      <c r="B71" s="124">
        <f>IFERROR(IF(IFERROR(MATCH(15,المحفظة!$H$107:$H$206,0),0)=0,"",INDEX(المحفظة!$B$107:$B$206,IFERROR(MATCH(15,المحفظة!$H$107:$H$206,0),0))),"")</f>
        <v/>
      </c>
      <c r="C71" s="125">
        <f>IFERROR(IF(IFERROR(MATCH(15,المحفظة!$H$107:$H$206,0),0)=0,"",INDEX(المحفظة!$C$107:$C$206,IFERROR(MATCH(15,المحفظة!$H$107:$H$206,0),0))),"")</f>
        <v/>
      </c>
      <c r="D71" s="126">
        <f>IFERROR(IF(IFERROR(MATCH(15,المحفظة!$H$107:$H$206,0),0)=0,"",INDEX(المحفظة!$D$107:$D$206,IFERROR(MATCH(15,المحفظة!$H$107:$H$206,0),0))),"")</f>
        <v/>
      </c>
      <c r="E71" s="127" t="inlineStr">
        <is>
          <t>—</t>
        </is>
      </c>
      <c r="F71" s="124">
        <f>IFERROR(IF(IFERROR(MATCH(15,المحفظة!$H$107:$H$206,0),0)=0,"",INDEX(المحفظة!$F$107:$F$206,IFERROR(MATCH(15,المحفظة!$H$107:$H$206,0),0))),"")</f>
        <v/>
      </c>
      <c r="G71" s="24" t="n"/>
    </row>
    <row r="72" hidden="1" ht="15" customHeight="1" s="67">
      <c r="A72" s="128">
        <f>IFERROR(IF(IFERROR(MATCH(16,المحفظة!$H$107:$H$206,0),0)=0,"",INDEX(المحفظة!$A$107:$A$206,IFERROR(MATCH(16,المحفظة!$H$107:$H$206,0),0))),"")</f>
        <v/>
      </c>
      <c r="B72" s="129">
        <f>IFERROR(IF(IFERROR(MATCH(16,المحفظة!$H$107:$H$206,0),0)=0,"",INDEX(المحفظة!$B$107:$B$206,IFERROR(MATCH(16,المحفظة!$H$107:$H$206,0),0))),"")</f>
        <v/>
      </c>
      <c r="C72" s="130">
        <f>IFERROR(IF(IFERROR(MATCH(16,المحفظة!$H$107:$H$206,0),0)=0,"",INDEX(المحفظة!$C$107:$C$206,IFERROR(MATCH(16,المحفظة!$H$107:$H$206,0),0))),"")</f>
        <v/>
      </c>
      <c r="D72" s="131">
        <f>IFERROR(IF(IFERROR(MATCH(16,المحفظة!$H$107:$H$206,0),0)=0,"",INDEX(المحفظة!$D$107:$D$206,IFERROR(MATCH(16,المحفظة!$H$107:$H$206,0),0))),"")</f>
        <v/>
      </c>
      <c r="E72" s="132" t="inlineStr">
        <is>
          <t>—</t>
        </is>
      </c>
      <c r="F72" s="129">
        <f>IFERROR(IF(IFERROR(MATCH(16,المحفظة!$H$107:$H$206,0),0)=0,"",INDEX(المحفظة!$F$107:$F$206,IFERROR(MATCH(16,المحفظة!$H$107:$H$206,0),0))),"")</f>
        <v/>
      </c>
      <c r="G72" s="31" t="n"/>
    </row>
    <row r="73" hidden="1" ht="15" customHeight="1" s="67">
      <c r="A73" s="123">
        <f>IFERROR(IF(IFERROR(MATCH(17,المحفظة!$H$107:$H$206,0),0)=0,"",INDEX(المحفظة!$A$107:$A$206,IFERROR(MATCH(17,المحفظة!$H$107:$H$206,0),0))),"")</f>
        <v/>
      </c>
      <c r="B73" s="124">
        <f>IFERROR(IF(IFERROR(MATCH(17,المحفظة!$H$107:$H$206,0),0)=0,"",INDEX(المحفظة!$B$107:$B$206,IFERROR(MATCH(17,المحفظة!$H$107:$H$206,0),0))),"")</f>
        <v/>
      </c>
      <c r="C73" s="125">
        <f>IFERROR(IF(IFERROR(MATCH(17,المحفظة!$H$107:$H$206,0),0)=0,"",INDEX(المحفظة!$C$107:$C$206,IFERROR(MATCH(17,المحفظة!$H$107:$H$206,0),0))),"")</f>
        <v/>
      </c>
      <c r="D73" s="126">
        <f>IFERROR(IF(IFERROR(MATCH(17,المحفظة!$H$107:$H$206,0),0)=0,"",INDEX(المحفظة!$D$107:$D$206,IFERROR(MATCH(17,المحفظة!$H$107:$H$206,0),0))),"")</f>
        <v/>
      </c>
      <c r="E73" s="127" t="inlineStr">
        <is>
          <t>—</t>
        </is>
      </c>
      <c r="F73" s="124">
        <f>IFERROR(IF(IFERROR(MATCH(17,المحفظة!$H$107:$H$206,0),0)=0,"",INDEX(المحفظة!$F$107:$F$206,IFERROR(MATCH(17,المحفظة!$H$107:$H$206,0),0))),"")</f>
        <v/>
      </c>
      <c r="G73" s="24" t="n"/>
    </row>
    <row r="74" hidden="1" ht="15" customHeight="1" s="67">
      <c r="A74" s="128">
        <f>IFERROR(IF(IFERROR(MATCH(18,المحفظة!$H$107:$H$206,0),0)=0,"",INDEX(المحفظة!$A$107:$A$206,IFERROR(MATCH(18,المحفظة!$H$107:$H$206,0),0))),"")</f>
        <v/>
      </c>
      <c r="B74" s="129">
        <f>IFERROR(IF(IFERROR(MATCH(18,المحفظة!$H$107:$H$206,0),0)=0,"",INDEX(المحفظة!$B$107:$B$206,IFERROR(MATCH(18,المحفظة!$H$107:$H$206,0),0))),"")</f>
        <v/>
      </c>
      <c r="C74" s="130">
        <f>IFERROR(IF(IFERROR(MATCH(18,المحفظة!$H$107:$H$206,0),0)=0,"",INDEX(المحفظة!$C$107:$C$206,IFERROR(MATCH(18,المحفظة!$H$107:$H$206,0),0))),"")</f>
        <v/>
      </c>
      <c r="D74" s="131">
        <f>IFERROR(IF(IFERROR(MATCH(18,المحفظة!$H$107:$H$206,0),0)=0,"",INDEX(المحفظة!$D$107:$D$206,IFERROR(MATCH(18,المحفظة!$H$107:$H$206,0),0))),"")</f>
        <v/>
      </c>
      <c r="E74" s="132" t="inlineStr">
        <is>
          <t>—</t>
        </is>
      </c>
      <c r="F74" s="129">
        <f>IFERROR(IF(IFERROR(MATCH(18,المحفظة!$H$107:$H$206,0),0)=0,"",INDEX(المحفظة!$F$107:$F$206,IFERROR(MATCH(18,المحفظة!$H$107:$H$206,0),0))),"")</f>
        <v/>
      </c>
      <c r="G74" s="31" t="n"/>
    </row>
    <row r="75" hidden="1" ht="15" customHeight="1" s="67">
      <c r="A75" s="123">
        <f>IFERROR(IF(IFERROR(MATCH(19,المحفظة!$H$107:$H$206,0),0)=0,"",INDEX(المحفظة!$A$107:$A$206,IFERROR(MATCH(19,المحفظة!$H$107:$H$206,0),0))),"")</f>
        <v/>
      </c>
      <c r="B75" s="124">
        <f>IFERROR(IF(IFERROR(MATCH(19,المحفظة!$H$107:$H$206,0),0)=0,"",INDEX(المحفظة!$B$107:$B$206,IFERROR(MATCH(19,المحفظة!$H$107:$H$206,0),0))),"")</f>
        <v/>
      </c>
      <c r="C75" s="125">
        <f>IFERROR(IF(IFERROR(MATCH(19,المحفظة!$H$107:$H$206,0),0)=0,"",INDEX(المحفظة!$C$107:$C$206,IFERROR(MATCH(19,المحفظة!$H$107:$H$206,0),0))),"")</f>
        <v/>
      </c>
      <c r="D75" s="126">
        <f>IFERROR(IF(IFERROR(MATCH(19,المحفظة!$H$107:$H$206,0),0)=0,"",INDEX(المحفظة!$D$107:$D$206,IFERROR(MATCH(19,المحفظة!$H$107:$H$206,0),0))),"")</f>
        <v/>
      </c>
      <c r="E75" s="127" t="inlineStr">
        <is>
          <t>—</t>
        </is>
      </c>
      <c r="F75" s="124">
        <f>IFERROR(IF(IFERROR(MATCH(19,المحفظة!$H$107:$H$206,0),0)=0,"",INDEX(المحفظة!$F$107:$F$206,IFERROR(MATCH(19,المحفظة!$H$107:$H$206,0),0))),"")</f>
        <v/>
      </c>
      <c r="G75" s="24" t="n"/>
    </row>
    <row r="76" hidden="1" ht="15" customHeight="1" s="67">
      <c r="A76" s="128">
        <f>IFERROR(IF(IFERROR(MATCH(20,المحفظة!$H$107:$H$206,0),0)=0,"",INDEX(المحفظة!$A$107:$A$206,IFERROR(MATCH(20,المحفظة!$H$107:$H$206,0),0))),"")</f>
        <v/>
      </c>
      <c r="B76" s="129">
        <f>IFERROR(IF(IFERROR(MATCH(20,المحفظة!$H$107:$H$206,0),0)=0,"",INDEX(المحفظة!$B$107:$B$206,IFERROR(MATCH(20,المحفظة!$H$107:$H$206,0),0))),"")</f>
        <v/>
      </c>
      <c r="C76" s="130">
        <f>IFERROR(IF(IFERROR(MATCH(20,المحفظة!$H$107:$H$206,0),0)=0,"",INDEX(المحفظة!$C$107:$C$206,IFERROR(MATCH(20,المحفظة!$H$107:$H$206,0),0))),"")</f>
        <v/>
      </c>
      <c r="D76" s="131">
        <f>IFERROR(IF(IFERROR(MATCH(20,المحفظة!$H$107:$H$206,0),0)=0,"",INDEX(المحفظة!$D$107:$D$206,IFERROR(MATCH(20,المحفظة!$H$107:$H$206,0),0))),"")</f>
        <v/>
      </c>
      <c r="E76" s="132" t="inlineStr">
        <is>
          <t>—</t>
        </is>
      </c>
      <c r="F76" s="129">
        <f>IFERROR(IF(IFERROR(MATCH(20,المحفظة!$H$107:$H$206,0),0)=0,"",INDEX(المحفظة!$F$107:$F$206,IFERROR(MATCH(20,المحفظة!$H$107:$H$206,0),0))),"")</f>
        <v/>
      </c>
      <c r="G76" s="31" t="n"/>
    </row>
    <row r="77" hidden="1" ht="15" customHeight="1" s="67">
      <c r="A77" s="123">
        <f>IFERROR(IF(IFERROR(MATCH(21,المحفظة!$H$107:$H$206,0),0)=0,"",INDEX(المحفظة!$A$107:$A$206,IFERROR(MATCH(21,المحفظة!$H$107:$H$206,0),0))),"")</f>
        <v/>
      </c>
      <c r="B77" s="124">
        <f>IFERROR(IF(IFERROR(MATCH(21,المحفظة!$H$107:$H$206,0),0)=0,"",INDEX(المحفظة!$B$107:$B$206,IFERROR(MATCH(21,المحفظة!$H$107:$H$206,0),0))),"")</f>
        <v/>
      </c>
      <c r="C77" s="125">
        <f>IFERROR(IF(IFERROR(MATCH(21,المحفظة!$H$107:$H$206,0),0)=0,"",INDEX(المحفظة!$C$107:$C$206,IFERROR(MATCH(21,المحفظة!$H$107:$H$206,0),0))),"")</f>
        <v/>
      </c>
      <c r="D77" s="126">
        <f>IFERROR(IF(IFERROR(MATCH(21,المحفظة!$H$107:$H$206,0),0)=0,"",INDEX(المحفظة!$D$107:$D$206,IFERROR(MATCH(21,المحفظة!$H$107:$H$206,0),0))),"")</f>
        <v/>
      </c>
      <c r="E77" s="127" t="inlineStr">
        <is>
          <t>—</t>
        </is>
      </c>
      <c r="F77" s="124">
        <f>IFERROR(IF(IFERROR(MATCH(21,المحفظة!$H$107:$H$206,0),0)=0,"",INDEX(المحفظة!$F$107:$F$206,IFERROR(MATCH(21,المحفظة!$H$107:$H$206,0),0))),"")</f>
        <v/>
      </c>
      <c r="G77" s="24" t="n"/>
    </row>
    <row r="78" hidden="1" ht="15" customHeight="1" s="67">
      <c r="A78" s="128">
        <f>IFERROR(IF(IFERROR(MATCH(22,المحفظة!$H$107:$H$206,0),0)=0,"",INDEX(المحفظة!$A$107:$A$206,IFERROR(MATCH(22,المحفظة!$H$107:$H$206,0),0))),"")</f>
        <v/>
      </c>
      <c r="B78" s="129">
        <f>IFERROR(IF(IFERROR(MATCH(22,المحفظة!$H$107:$H$206,0),0)=0,"",INDEX(المحفظة!$B$107:$B$206,IFERROR(MATCH(22,المحفظة!$H$107:$H$206,0),0))),"")</f>
        <v/>
      </c>
      <c r="C78" s="130">
        <f>IFERROR(IF(IFERROR(MATCH(22,المحفظة!$H$107:$H$206,0),0)=0,"",INDEX(المحفظة!$C$107:$C$206,IFERROR(MATCH(22,المحفظة!$H$107:$H$206,0),0))),"")</f>
        <v/>
      </c>
      <c r="D78" s="131">
        <f>IFERROR(IF(IFERROR(MATCH(22,المحفظة!$H$107:$H$206,0),0)=0,"",INDEX(المحفظة!$D$107:$D$206,IFERROR(MATCH(22,المحفظة!$H$107:$H$206,0),0))),"")</f>
        <v/>
      </c>
      <c r="E78" s="132" t="inlineStr">
        <is>
          <t>—</t>
        </is>
      </c>
      <c r="F78" s="129">
        <f>IFERROR(IF(IFERROR(MATCH(22,المحفظة!$H$107:$H$206,0),0)=0,"",INDEX(المحفظة!$F$107:$F$206,IFERROR(MATCH(22,المحفظة!$H$107:$H$206,0),0))),"")</f>
        <v/>
      </c>
      <c r="G78" s="31" t="n"/>
    </row>
    <row r="79" hidden="1" ht="15" customHeight="1" s="67">
      <c r="A79" s="123">
        <f>IFERROR(IF(IFERROR(MATCH(23,المحفظة!$H$107:$H$206,0),0)=0,"",INDEX(المحفظة!$A$107:$A$206,IFERROR(MATCH(23,المحفظة!$H$107:$H$206,0),0))),"")</f>
        <v/>
      </c>
      <c r="B79" s="124">
        <f>IFERROR(IF(IFERROR(MATCH(23,المحفظة!$H$107:$H$206,0),0)=0,"",INDEX(المحفظة!$B$107:$B$206,IFERROR(MATCH(23,المحفظة!$H$107:$H$206,0),0))),"")</f>
        <v/>
      </c>
      <c r="C79" s="125">
        <f>IFERROR(IF(IFERROR(MATCH(23,المحفظة!$H$107:$H$206,0),0)=0,"",INDEX(المحفظة!$C$107:$C$206,IFERROR(MATCH(23,المحفظة!$H$107:$H$206,0),0))),"")</f>
        <v/>
      </c>
      <c r="D79" s="126">
        <f>IFERROR(IF(IFERROR(MATCH(23,المحفظة!$H$107:$H$206,0),0)=0,"",INDEX(المحفظة!$D$107:$D$206,IFERROR(MATCH(23,المحفظة!$H$107:$H$206,0),0))),"")</f>
        <v/>
      </c>
      <c r="E79" s="127" t="inlineStr">
        <is>
          <t>—</t>
        </is>
      </c>
      <c r="F79" s="124">
        <f>IFERROR(IF(IFERROR(MATCH(23,المحفظة!$H$107:$H$206,0),0)=0,"",INDEX(المحفظة!$F$107:$F$206,IFERROR(MATCH(23,المحفظة!$H$107:$H$206,0),0))),"")</f>
        <v/>
      </c>
      <c r="G79" s="24" t="n"/>
    </row>
    <row r="80" hidden="1" ht="15" customHeight="1" s="67">
      <c r="A80" s="128">
        <f>IFERROR(IF(IFERROR(MATCH(24,المحفظة!$H$107:$H$206,0),0)=0,"",INDEX(المحفظة!$A$107:$A$206,IFERROR(MATCH(24,المحفظة!$H$107:$H$206,0),0))),"")</f>
        <v/>
      </c>
      <c r="B80" s="129">
        <f>IFERROR(IF(IFERROR(MATCH(24,المحفظة!$H$107:$H$206,0),0)=0,"",INDEX(المحفظة!$B$107:$B$206,IFERROR(MATCH(24,المحفظة!$H$107:$H$206,0),0))),"")</f>
        <v/>
      </c>
      <c r="C80" s="130">
        <f>IFERROR(IF(IFERROR(MATCH(24,المحفظة!$H$107:$H$206,0),0)=0,"",INDEX(المحفظة!$C$107:$C$206,IFERROR(MATCH(24,المحفظة!$H$107:$H$206,0),0))),"")</f>
        <v/>
      </c>
      <c r="D80" s="131">
        <f>IFERROR(IF(IFERROR(MATCH(24,المحفظة!$H$107:$H$206,0),0)=0,"",INDEX(المحفظة!$D$107:$D$206,IFERROR(MATCH(24,المحفظة!$H$107:$H$206,0),0))),"")</f>
        <v/>
      </c>
      <c r="E80" s="132" t="inlineStr">
        <is>
          <t>—</t>
        </is>
      </c>
      <c r="F80" s="129">
        <f>IFERROR(IF(IFERROR(MATCH(24,المحفظة!$H$107:$H$206,0),0)=0,"",INDEX(المحفظة!$F$107:$F$206,IFERROR(MATCH(24,المحفظة!$H$107:$H$206,0),0))),"")</f>
        <v/>
      </c>
      <c r="G80" s="31" t="n"/>
    </row>
    <row r="81" hidden="1" ht="15" customHeight="1" s="67">
      <c r="A81" s="123">
        <f>IFERROR(IF(IFERROR(MATCH(25,المحفظة!$H$107:$H$206,0),0)=0,"",INDEX(المحفظة!$A$107:$A$206,IFERROR(MATCH(25,المحفظة!$H$107:$H$206,0),0))),"")</f>
        <v/>
      </c>
      <c r="B81" s="124">
        <f>IFERROR(IF(IFERROR(MATCH(25,المحفظة!$H$107:$H$206,0),0)=0,"",INDEX(المحفظة!$B$107:$B$206,IFERROR(MATCH(25,المحفظة!$H$107:$H$206,0),0))),"")</f>
        <v/>
      </c>
      <c r="C81" s="125">
        <f>IFERROR(IF(IFERROR(MATCH(25,المحفظة!$H$107:$H$206,0),0)=0,"",INDEX(المحفظة!$C$107:$C$206,IFERROR(MATCH(25,المحفظة!$H$107:$H$206,0),0))),"")</f>
        <v/>
      </c>
      <c r="D81" s="126">
        <f>IFERROR(IF(IFERROR(MATCH(25,المحفظة!$H$107:$H$206,0),0)=0,"",INDEX(المحفظة!$D$107:$D$206,IFERROR(MATCH(25,المحفظة!$H$107:$H$206,0),0))),"")</f>
        <v/>
      </c>
      <c r="E81" s="127" t="inlineStr">
        <is>
          <t>—</t>
        </is>
      </c>
      <c r="F81" s="124">
        <f>IFERROR(IF(IFERROR(MATCH(25,المحفظة!$H$107:$H$206,0),0)=0,"",INDEX(المحفظة!$F$107:$F$206,IFERROR(MATCH(25,المحفظة!$H$107:$H$206,0),0))),"")</f>
        <v/>
      </c>
      <c r="G81" s="24" t="n"/>
    </row>
    <row r="82" hidden="1" ht="15" customHeight="1" s="67">
      <c r="A82" s="128">
        <f>IFERROR(IF(IFERROR(MATCH(26,المحفظة!$H$107:$H$206,0),0)=0,"",INDEX(المحفظة!$A$107:$A$206,IFERROR(MATCH(26,المحفظة!$H$107:$H$206,0),0))),"")</f>
        <v/>
      </c>
      <c r="B82" s="129">
        <f>IFERROR(IF(IFERROR(MATCH(26,المحفظة!$H$107:$H$206,0),0)=0,"",INDEX(المحفظة!$B$107:$B$206,IFERROR(MATCH(26,المحفظة!$H$107:$H$206,0),0))),"")</f>
        <v/>
      </c>
      <c r="C82" s="130">
        <f>IFERROR(IF(IFERROR(MATCH(26,المحفظة!$H$107:$H$206,0),0)=0,"",INDEX(المحفظة!$C$107:$C$206,IFERROR(MATCH(26,المحفظة!$H$107:$H$206,0),0))),"")</f>
        <v/>
      </c>
      <c r="D82" s="131">
        <f>IFERROR(IF(IFERROR(MATCH(26,المحفظة!$H$107:$H$206,0),0)=0,"",INDEX(المحفظة!$D$107:$D$206,IFERROR(MATCH(26,المحفظة!$H$107:$H$206,0),0))),"")</f>
        <v/>
      </c>
      <c r="E82" s="132" t="inlineStr">
        <is>
          <t>—</t>
        </is>
      </c>
      <c r="F82" s="129">
        <f>IFERROR(IF(IFERROR(MATCH(26,المحفظة!$H$107:$H$206,0),0)=0,"",INDEX(المحفظة!$F$107:$F$206,IFERROR(MATCH(26,المحفظة!$H$107:$H$206,0),0))),"")</f>
        <v/>
      </c>
      <c r="G82" s="31" t="n"/>
    </row>
    <row r="83" hidden="1" ht="15" customHeight="1" s="67">
      <c r="A83" s="123">
        <f>IFERROR(IF(IFERROR(MATCH(27,المحفظة!$H$107:$H$206,0),0)=0,"",INDEX(المحفظة!$A$107:$A$206,IFERROR(MATCH(27,المحفظة!$H$107:$H$206,0),0))),"")</f>
        <v/>
      </c>
      <c r="B83" s="124">
        <f>IFERROR(IF(IFERROR(MATCH(27,المحفظة!$H$107:$H$206,0),0)=0,"",INDEX(المحفظة!$B$107:$B$206,IFERROR(MATCH(27,المحفظة!$H$107:$H$206,0),0))),"")</f>
        <v/>
      </c>
      <c r="C83" s="125">
        <f>IFERROR(IF(IFERROR(MATCH(27,المحفظة!$H$107:$H$206,0),0)=0,"",INDEX(المحفظة!$C$107:$C$206,IFERROR(MATCH(27,المحفظة!$H$107:$H$206,0),0))),"")</f>
        <v/>
      </c>
      <c r="D83" s="126">
        <f>IFERROR(IF(IFERROR(MATCH(27,المحفظة!$H$107:$H$206,0),0)=0,"",INDEX(المحفظة!$D$107:$D$206,IFERROR(MATCH(27,المحفظة!$H$107:$H$206,0),0))),"")</f>
        <v/>
      </c>
      <c r="E83" s="127" t="inlineStr">
        <is>
          <t>—</t>
        </is>
      </c>
      <c r="F83" s="124">
        <f>IFERROR(IF(IFERROR(MATCH(27,المحفظة!$H$107:$H$206,0),0)=0,"",INDEX(المحفظة!$F$107:$F$206,IFERROR(MATCH(27,المحفظة!$H$107:$H$206,0),0))),"")</f>
        <v/>
      </c>
      <c r="G83" s="24" t="n"/>
    </row>
    <row r="84" hidden="1" ht="15" customHeight="1" s="67">
      <c r="A84" s="128">
        <f>IFERROR(IF(IFERROR(MATCH(28,المحفظة!$H$107:$H$206,0),0)=0,"",INDEX(المحفظة!$A$107:$A$206,IFERROR(MATCH(28,المحفظة!$H$107:$H$206,0),0))),"")</f>
        <v/>
      </c>
      <c r="B84" s="129">
        <f>IFERROR(IF(IFERROR(MATCH(28,المحفظة!$H$107:$H$206,0),0)=0,"",INDEX(المحفظة!$B$107:$B$206,IFERROR(MATCH(28,المحفظة!$H$107:$H$206,0),0))),"")</f>
        <v/>
      </c>
      <c r="C84" s="130">
        <f>IFERROR(IF(IFERROR(MATCH(28,المحفظة!$H$107:$H$206,0),0)=0,"",INDEX(المحفظة!$C$107:$C$206,IFERROR(MATCH(28,المحفظة!$H$107:$H$206,0),0))),"")</f>
        <v/>
      </c>
      <c r="D84" s="131">
        <f>IFERROR(IF(IFERROR(MATCH(28,المحفظة!$H$107:$H$206,0),0)=0,"",INDEX(المحفظة!$D$107:$D$206,IFERROR(MATCH(28,المحفظة!$H$107:$H$206,0),0))),"")</f>
        <v/>
      </c>
      <c r="E84" s="132" t="inlineStr">
        <is>
          <t>—</t>
        </is>
      </c>
      <c r="F84" s="129">
        <f>IFERROR(IF(IFERROR(MATCH(28,المحفظة!$H$107:$H$206,0),0)=0,"",INDEX(المحفظة!$F$107:$F$206,IFERROR(MATCH(28,المحفظة!$H$107:$H$206,0),0))),"")</f>
        <v/>
      </c>
      <c r="G84" s="31" t="n"/>
    </row>
    <row r="85" hidden="1" ht="15" customHeight="1" s="67">
      <c r="A85" s="123">
        <f>IFERROR(IF(IFERROR(MATCH(29,المحفظة!$H$107:$H$206,0),0)=0,"",INDEX(المحفظة!$A$107:$A$206,IFERROR(MATCH(29,المحفظة!$H$107:$H$206,0),0))),"")</f>
        <v/>
      </c>
      <c r="B85" s="124">
        <f>IFERROR(IF(IFERROR(MATCH(29,المحفظة!$H$107:$H$206,0),0)=0,"",INDEX(المحفظة!$B$107:$B$206,IFERROR(MATCH(29,المحفظة!$H$107:$H$206,0),0))),"")</f>
        <v/>
      </c>
      <c r="C85" s="125">
        <f>IFERROR(IF(IFERROR(MATCH(29,المحفظة!$H$107:$H$206,0),0)=0,"",INDEX(المحفظة!$C$107:$C$206,IFERROR(MATCH(29,المحفظة!$H$107:$H$206,0),0))),"")</f>
        <v/>
      </c>
      <c r="D85" s="126">
        <f>IFERROR(IF(IFERROR(MATCH(29,المحفظة!$H$107:$H$206,0),0)=0,"",INDEX(المحفظة!$D$107:$D$206,IFERROR(MATCH(29,المحفظة!$H$107:$H$206,0),0))),"")</f>
        <v/>
      </c>
      <c r="E85" s="127" t="inlineStr">
        <is>
          <t>—</t>
        </is>
      </c>
      <c r="F85" s="124">
        <f>IFERROR(IF(IFERROR(MATCH(29,المحفظة!$H$107:$H$206,0),0)=0,"",INDEX(المحفظة!$F$107:$F$206,IFERROR(MATCH(29,المحفظة!$H$107:$H$206,0),0))),"")</f>
        <v/>
      </c>
      <c r="G85" s="24" t="n"/>
    </row>
    <row r="86" hidden="1" ht="15" customHeight="1" s="67">
      <c r="A86" s="128">
        <f>IFERROR(IF(IFERROR(MATCH(30,المحفظة!$H$107:$H$206,0),0)=0,"",INDEX(المحفظة!$A$107:$A$206,IFERROR(MATCH(30,المحفظة!$H$107:$H$206,0),0))),"")</f>
        <v/>
      </c>
      <c r="B86" s="129">
        <f>IFERROR(IF(IFERROR(MATCH(30,المحفظة!$H$107:$H$206,0),0)=0,"",INDEX(المحفظة!$B$107:$B$206,IFERROR(MATCH(30,المحفظة!$H$107:$H$206,0),0))),"")</f>
        <v/>
      </c>
      <c r="C86" s="130">
        <f>IFERROR(IF(IFERROR(MATCH(30,المحفظة!$H$107:$H$206,0),0)=0,"",INDEX(المحفظة!$C$107:$C$206,IFERROR(MATCH(30,المحفظة!$H$107:$H$206,0),0))),"")</f>
        <v/>
      </c>
      <c r="D86" s="131">
        <f>IFERROR(IF(IFERROR(MATCH(30,المحفظة!$H$107:$H$206,0),0)=0,"",INDEX(المحفظة!$D$107:$D$206,IFERROR(MATCH(30,المحفظة!$H$107:$H$206,0),0))),"")</f>
        <v/>
      </c>
      <c r="E86" s="132" t="inlineStr">
        <is>
          <t>—</t>
        </is>
      </c>
      <c r="F86" s="129">
        <f>IFERROR(IF(IFERROR(MATCH(30,المحفظة!$H$107:$H$206,0),0)=0,"",INDEX(المحفظة!$F$107:$F$206,IFERROR(MATCH(30,المحفظة!$H$107:$H$206,0),0))),"")</f>
        <v/>
      </c>
      <c r="G86" s="31" t="n"/>
    </row>
    <row r="87" hidden="1" ht="15" customHeight="1" s="67">
      <c r="A87" s="123">
        <f>IFERROR(IF(IFERROR(MATCH(31,المحفظة!$H$107:$H$206,0),0)=0,"",INDEX(المحفظة!$A$107:$A$206,IFERROR(MATCH(31,المحفظة!$H$107:$H$206,0),0))),"")</f>
        <v/>
      </c>
      <c r="B87" s="124">
        <f>IFERROR(IF(IFERROR(MATCH(31,المحفظة!$H$107:$H$206,0),0)=0,"",INDEX(المحفظة!$B$107:$B$206,IFERROR(MATCH(31,المحفظة!$H$107:$H$206,0),0))),"")</f>
        <v/>
      </c>
      <c r="C87" s="125">
        <f>IFERROR(IF(IFERROR(MATCH(31,المحفظة!$H$107:$H$206,0),0)=0,"",INDEX(المحفظة!$C$107:$C$206,IFERROR(MATCH(31,المحفظة!$H$107:$H$206,0),0))),"")</f>
        <v/>
      </c>
      <c r="D87" s="126">
        <f>IFERROR(IF(IFERROR(MATCH(31,المحفظة!$H$107:$H$206,0),0)=0,"",INDEX(المحفظة!$D$107:$D$206,IFERROR(MATCH(31,المحفظة!$H$107:$H$206,0),0))),"")</f>
        <v/>
      </c>
      <c r="E87" s="127" t="inlineStr">
        <is>
          <t>—</t>
        </is>
      </c>
      <c r="F87" s="124">
        <f>IFERROR(IF(IFERROR(MATCH(31,المحفظة!$H$107:$H$206,0),0)=0,"",INDEX(المحفظة!$F$107:$F$206,IFERROR(MATCH(31,المحفظة!$H$107:$H$206,0),0))),"")</f>
        <v/>
      </c>
      <c r="G87" s="24" t="n"/>
    </row>
    <row r="88" hidden="1" ht="15" customHeight="1" s="67">
      <c r="A88" s="128">
        <f>IFERROR(IF(IFERROR(MATCH(32,المحفظة!$H$107:$H$206,0),0)=0,"",INDEX(المحفظة!$A$107:$A$206,IFERROR(MATCH(32,المحفظة!$H$107:$H$206,0),0))),"")</f>
        <v/>
      </c>
      <c r="B88" s="129">
        <f>IFERROR(IF(IFERROR(MATCH(32,المحفظة!$H$107:$H$206,0),0)=0,"",INDEX(المحفظة!$B$107:$B$206,IFERROR(MATCH(32,المحفظة!$H$107:$H$206,0),0))),"")</f>
        <v/>
      </c>
      <c r="C88" s="130">
        <f>IFERROR(IF(IFERROR(MATCH(32,المحفظة!$H$107:$H$206,0),0)=0,"",INDEX(المحفظة!$C$107:$C$206,IFERROR(MATCH(32,المحفظة!$H$107:$H$206,0),0))),"")</f>
        <v/>
      </c>
      <c r="D88" s="131">
        <f>IFERROR(IF(IFERROR(MATCH(32,المحفظة!$H$107:$H$206,0),0)=0,"",INDEX(المحفظة!$D$107:$D$206,IFERROR(MATCH(32,المحفظة!$H$107:$H$206,0),0))),"")</f>
        <v/>
      </c>
      <c r="E88" s="132" t="inlineStr">
        <is>
          <t>—</t>
        </is>
      </c>
      <c r="F88" s="129">
        <f>IFERROR(IF(IFERROR(MATCH(32,المحفظة!$H$107:$H$206,0),0)=0,"",INDEX(المحفظة!$F$107:$F$206,IFERROR(MATCH(32,المحفظة!$H$107:$H$206,0),0))),"")</f>
        <v/>
      </c>
      <c r="G88" s="31" t="n"/>
    </row>
    <row r="89" hidden="1" ht="15" customHeight="1" s="67">
      <c r="A89" s="123">
        <f>IFERROR(IF(IFERROR(MATCH(33,المحفظة!$H$107:$H$206,0),0)=0,"",INDEX(المحفظة!$A$107:$A$206,IFERROR(MATCH(33,المحفظة!$H$107:$H$206,0),0))),"")</f>
        <v/>
      </c>
      <c r="B89" s="124">
        <f>IFERROR(IF(IFERROR(MATCH(33,المحفظة!$H$107:$H$206,0),0)=0,"",INDEX(المحفظة!$B$107:$B$206,IFERROR(MATCH(33,المحفظة!$H$107:$H$206,0),0))),"")</f>
        <v/>
      </c>
      <c r="C89" s="125">
        <f>IFERROR(IF(IFERROR(MATCH(33,المحفظة!$H$107:$H$206,0),0)=0,"",INDEX(المحفظة!$C$107:$C$206,IFERROR(MATCH(33,المحفظة!$H$107:$H$206,0),0))),"")</f>
        <v/>
      </c>
      <c r="D89" s="126">
        <f>IFERROR(IF(IFERROR(MATCH(33,المحفظة!$H$107:$H$206,0),0)=0,"",INDEX(المحفظة!$D$107:$D$206,IFERROR(MATCH(33,المحفظة!$H$107:$H$206,0),0))),"")</f>
        <v/>
      </c>
      <c r="E89" s="127" t="inlineStr">
        <is>
          <t>—</t>
        </is>
      </c>
      <c r="F89" s="124">
        <f>IFERROR(IF(IFERROR(MATCH(33,المحفظة!$H$107:$H$206,0),0)=0,"",INDEX(المحفظة!$F$107:$F$206,IFERROR(MATCH(33,المحفظة!$H$107:$H$206,0),0))),"")</f>
        <v/>
      </c>
      <c r="G89" s="24" t="n"/>
    </row>
    <row r="90" hidden="1" ht="15" customHeight="1" s="67">
      <c r="A90" s="128">
        <f>IFERROR(IF(IFERROR(MATCH(34,المحفظة!$H$107:$H$206,0),0)=0,"",INDEX(المحفظة!$A$107:$A$206,IFERROR(MATCH(34,المحفظة!$H$107:$H$206,0),0))),"")</f>
        <v/>
      </c>
      <c r="B90" s="129">
        <f>IFERROR(IF(IFERROR(MATCH(34,المحفظة!$H$107:$H$206,0),0)=0,"",INDEX(المحفظة!$B$107:$B$206,IFERROR(MATCH(34,المحفظة!$H$107:$H$206,0),0))),"")</f>
        <v/>
      </c>
      <c r="C90" s="130">
        <f>IFERROR(IF(IFERROR(MATCH(34,المحفظة!$H$107:$H$206,0),0)=0,"",INDEX(المحفظة!$C$107:$C$206,IFERROR(MATCH(34,المحفظة!$H$107:$H$206,0),0))),"")</f>
        <v/>
      </c>
      <c r="D90" s="131">
        <f>IFERROR(IF(IFERROR(MATCH(34,المحفظة!$H$107:$H$206,0),0)=0,"",INDEX(المحفظة!$D$107:$D$206,IFERROR(MATCH(34,المحفظة!$H$107:$H$206,0),0))),"")</f>
        <v/>
      </c>
      <c r="E90" s="132" t="inlineStr">
        <is>
          <t>—</t>
        </is>
      </c>
      <c r="F90" s="129">
        <f>IFERROR(IF(IFERROR(MATCH(34,المحفظة!$H$107:$H$206,0),0)=0,"",INDEX(المحفظة!$F$107:$F$206,IFERROR(MATCH(34,المحفظة!$H$107:$H$206,0),0))),"")</f>
        <v/>
      </c>
      <c r="G90" s="31" t="n"/>
    </row>
    <row r="91" hidden="1" ht="15" customHeight="1" s="67">
      <c r="A91" s="123">
        <f>IFERROR(IF(IFERROR(MATCH(35,المحفظة!$H$107:$H$206,0),0)=0,"",INDEX(المحفظة!$A$107:$A$206,IFERROR(MATCH(35,المحفظة!$H$107:$H$206,0),0))),"")</f>
        <v/>
      </c>
      <c r="B91" s="124">
        <f>IFERROR(IF(IFERROR(MATCH(35,المحفظة!$H$107:$H$206,0),0)=0,"",INDEX(المحفظة!$B$107:$B$206,IFERROR(MATCH(35,المحفظة!$H$107:$H$206,0),0))),"")</f>
        <v/>
      </c>
      <c r="C91" s="125">
        <f>IFERROR(IF(IFERROR(MATCH(35,المحفظة!$H$107:$H$206,0),0)=0,"",INDEX(المحفظة!$C$107:$C$206,IFERROR(MATCH(35,المحفظة!$H$107:$H$206,0),0))),"")</f>
        <v/>
      </c>
      <c r="D91" s="126">
        <f>IFERROR(IF(IFERROR(MATCH(35,المحفظة!$H$107:$H$206,0),0)=0,"",INDEX(المحفظة!$D$107:$D$206,IFERROR(MATCH(35,المحفظة!$H$107:$H$206,0),0))),"")</f>
        <v/>
      </c>
      <c r="E91" s="127" t="inlineStr">
        <is>
          <t>—</t>
        </is>
      </c>
      <c r="F91" s="124">
        <f>IFERROR(IF(IFERROR(MATCH(35,المحفظة!$H$107:$H$206,0),0)=0,"",INDEX(المحفظة!$F$107:$F$206,IFERROR(MATCH(35,المحفظة!$H$107:$H$206,0),0))),"")</f>
        <v/>
      </c>
      <c r="G91" s="24" t="n"/>
    </row>
    <row r="92" hidden="1" ht="15" customHeight="1" s="67">
      <c r="A92" s="128">
        <f>IFERROR(IF(IFERROR(MATCH(36,المحفظة!$H$107:$H$206,0),0)=0,"",INDEX(المحفظة!$A$107:$A$206,IFERROR(MATCH(36,المحفظة!$H$107:$H$206,0),0))),"")</f>
        <v/>
      </c>
      <c r="B92" s="129">
        <f>IFERROR(IF(IFERROR(MATCH(36,المحفظة!$H$107:$H$206,0),0)=0,"",INDEX(المحفظة!$B$107:$B$206,IFERROR(MATCH(36,المحفظة!$H$107:$H$206,0),0))),"")</f>
        <v/>
      </c>
      <c r="C92" s="130">
        <f>IFERROR(IF(IFERROR(MATCH(36,المحفظة!$H$107:$H$206,0),0)=0,"",INDEX(المحفظة!$C$107:$C$206,IFERROR(MATCH(36,المحفظة!$H$107:$H$206,0),0))),"")</f>
        <v/>
      </c>
      <c r="D92" s="131">
        <f>IFERROR(IF(IFERROR(MATCH(36,المحفظة!$H$107:$H$206,0),0)=0,"",INDEX(المحفظة!$D$107:$D$206,IFERROR(MATCH(36,المحفظة!$H$107:$H$206,0),0))),"")</f>
        <v/>
      </c>
      <c r="E92" s="132" t="inlineStr">
        <is>
          <t>—</t>
        </is>
      </c>
      <c r="F92" s="129">
        <f>IFERROR(IF(IFERROR(MATCH(36,المحفظة!$H$107:$H$206,0),0)=0,"",INDEX(المحفظة!$F$107:$F$206,IFERROR(MATCH(36,المحفظة!$H$107:$H$206,0),0))),"")</f>
        <v/>
      </c>
      <c r="G92" s="31" t="n"/>
    </row>
    <row r="93" hidden="1" ht="15" customHeight="1" s="67">
      <c r="A93" s="123">
        <f>IFERROR(IF(IFERROR(MATCH(37,المحفظة!$H$107:$H$206,0),0)=0,"",INDEX(المحفظة!$A$107:$A$206,IFERROR(MATCH(37,المحفظة!$H$107:$H$206,0),0))),"")</f>
        <v/>
      </c>
      <c r="B93" s="124">
        <f>IFERROR(IF(IFERROR(MATCH(37,المحفظة!$H$107:$H$206,0),0)=0,"",INDEX(المحفظة!$B$107:$B$206,IFERROR(MATCH(37,المحفظة!$H$107:$H$206,0),0))),"")</f>
        <v/>
      </c>
      <c r="C93" s="125">
        <f>IFERROR(IF(IFERROR(MATCH(37,المحفظة!$H$107:$H$206,0),0)=0,"",INDEX(المحفظة!$C$107:$C$206,IFERROR(MATCH(37,المحفظة!$H$107:$H$206,0),0))),"")</f>
        <v/>
      </c>
      <c r="D93" s="126">
        <f>IFERROR(IF(IFERROR(MATCH(37,المحفظة!$H$107:$H$206,0),0)=0,"",INDEX(المحفظة!$D$107:$D$206,IFERROR(MATCH(37,المحفظة!$H$107:$H$206,0),0))),"")</f>
        <v/>
      </c>
      <c r="E93" s="127" t="inlineStr">
        <is>
          <t>—</t>
        </is>
      </c>
      <c r="F93" s="124">
        <f>IFERROR(IF(IFERROR(MATCH(37,المحفظة!$H$107:$H$206,0),0)=0,"",INDEX(المحفظة!$F$107:$F$206,IFERROR(MATCH(37,المحفظة!$H$107:$H$206,0),0))),"")</f>
        <v/>
      </c>
      <c r="G93" s="24" t="n"/>
    </row>
    <row r="94" hidden="1" ht="15" customHeight="1" s="67">
      <c r="A94" s="128">
        <f>IFERROR(IF(IFERROR(MATCH(38,المحفظة!$H$107:$H$206,0),0)=0,"",INDEX(المحفظة!$A$107:$A$206,IFERROR(MATCH(38,المحفظة!$H$107:$H$206,0),0))),"")</f>
        <v/>
      </c>
      <c r="B94" s="129">
        <f>IFERROR(IF(IFERROR(MATCH(38,المحفظة!$H$107:$H$206,0),0)=0,"",INDEX(المحفظة!$B$107:$B$206,IFERROR(MATCH(38,المحفظة!$H$107:$H$206,0),0))),"")</f>
        <v/>
      </c>
      <c r="C94" s="130">
        <f>IFERROR(IF(IFERROR(MATCH(38,المحفظة!$H$107:$H$206,0),0)=0,"",INDEX(المحفظة!$C$107:$C$206,IFERROR(MATCH(38,المحفظة!$H$107:$H$206,0),0))),"")</f>
        <v/>
      </c>
      <c r="D94" s="131">
        <f>IFERROR(IF(IFERROR(MATCH(38,المحفظة!$H$107:$H$206,0),0)=0,"",INDEX(المحفظة!$D$107:$D$206,IFERROR(MATCH(38,المحفظة!$H$107:$H$206,0),0))),"")</f>
        <v/>
      </c>
      <c r="E94" s="132" t="inlineStr">
        <is>
          <t>—</t>
        </is>
      </c>
      <c r="F94" s="129">
        <f>IFERROR(IF(IFERROR(MATCH(38,المحفظة!$H$107:$H$206,0),0)=0,"",INDEX(المحفظة!$F$107:$F$206,IFERROR(MATCH(38,المحفظة!$H$107:$H$206,0),0))),"")</f>
        <v/>
      </c>
      <c r="G94" s="31" t="n"/>
    </row>
    <row r="95" hidden="1" ht="15" customHeight="1" s="67">
      <c r="A95" s="123">
        <f>IFERROR(IF(IFERROR(MATCH(39,المحفظة!$H$107:$H$206,0),0)=0,"",INDEX(المحفظة!$A$107:$A$206,IFERROR(MATCH(39,المحفظة!$H$107:$H$206,0),0))),"")</f>
        <v/>
      </c>
      <c r="B95" s="124">
        <f>IFERROR(IF(IFERROR(MATCH(39,المحفظة!$H$107:$H$206,0),0)=0,"",INDEX(المحفظة!$B$107:$B$206,IFERROR(MATCH(39,المحفظة!$H$107:$H$206,0),0))),"")</f>
        <v/>
      </c>
      <c r="C95" s="125">
        <f>IFERROR(IF(IFERROR(MATCH(39,المحفظة!$H$107:$H$206,0),0)=0,"",INDEX(المحفظة!$C$107:$C$206,IFERROR(MATCH(39,المحفظة!$H$107:$H$206,0),0))),"")</f>
        <v/>
      </c>
      <c r="D95" s="126">
        <f>IFERROR(IF(IFERROR(MATCH(39,المحفظة!$H$107:$H$206,0),0)=0,"",INDEX(المحفظة!$D$107:$D$206,IFERROR(MATCH(39,المحفظة!$H$107:$H$206,0),0))),"")</f>
        <v/>
      </c>
      <c r="E95" s="127" t="inlineStr">
        <is>
          <t>—</t>
        </is>
      </c>
      <c r="F95" s="124">
        <f>IFERROR(IF(IFERROR(MATCH(39,المحفظة!$H$107:$H$206,0),0)=0,"",INDEX(المحفظة!$F$107:$F$206,IFERROR(MATCH(39,المحفظة!$H$107:$H$206,0),0))),"")</f>
        <v/>
      </c>
      <c r="G95" s="24" t="n"/>
    </row>
    <row r="96" hidden="1" ht="15" customHeight="1" s="67">
      <c r="A96" s="128">
        <f>IFERROR(IF(IFERROR(MATCH(40,المحفظة!$H$107:$H$206,0),0)=0,"",INDEX(المحفظة!$A$107:$A$206,IFERROR(MATCH(40,المحفظة!$H$107:$H$206,0),0))),"")</f>
        <v/>
      </c>
      <c r="B96" s="129">
        <f>IFERROR(IF(IFERROR(MATCH(40,المحفظة!$H$107:$H$206,0),0)=0,"",INDEX(المحفظة!$B$107:$B$206,IFERROR(MATCH(40,المحفظة!$H$107:$H$206,0),0))),"")</f>
        <v/>
      </c>
      <c r="C96" s="130">
        <f>IFERROR(IF(IFERROR(MATCH(40,المحفظة!$H$107:$H$206,0),0)=0,"",INDEX(المحفظة!$C$107:$C$206,IFERROR(MATCH(40,المحفظة!$H$107:$H$206,0),0))),"")</f>
        <v/>
      </c>
      <c r="D96" s="131">
        <f>IFERROR(IF(IFERROR(MATCH(40,المحفظة!$H$107:$H$206,0),0)=0,"",INDEX(المحفظة!$D$107:$D$206,IFERROR(MATCH(40,المحفظة!$H$107:$H$206,0),0))),"")</f>
        <v/>
      </c>
      <c r="E96" s="132" t="inlineStr">
        <is>
          <t>—</t>
        </is>
      </c>
      <c r="F96" s="129">
        <f>IFERROR(IF(IFERROR(MATCH(40,المحفظة!$H$107:$H$206,0),0)=0,"",INDEX(المحفظة!$F$107:$F$206,IFERROR(MATCH(40,المحفظة!$H$107:$H$206,0),0))),"")</f>
        <v/>
      </c>
      <c r="G96" s="31" t="n"/>
    </row>
    <row r="97" hidden="1" ht="15" customHeight="1" s="67">
      <c r="A97" s="123">
        <f>IFERROR(IF(IFERROR(MATCH(41,المحفظة!$H$107:$H$206,0),0)=0,"",INDEX(المحفظة!$A$107:$A$206,IFERROR(MATCH(41,المحفظة!$H$107:$H$206,0),0))),"")</f>
        <v/>
      </c>
      <c r="B97" s="124">
        <f>IFERROR(IF(IFERROR(MATCH(41,المحفظة!$H$107:$H$206,0),0)=0,"",INDEX(المحفظة!$B$107:$B$206,IFERROR(MATCH(41,المحفظة!$H$107:$H$206,0),0))),"")</f>
        <v/>
      </c>
      <c r="C97" s="125">
        <f>IFERROR(IF(IFERROR(MATCH(41,المحفظة!$H$107:$H$206,0),0)=0,"",INDEX(المحفظة!$C$107:$C$206,IFERROR(MATCH(41,المحفظة!$H$107:$H$206,0),0))),"")</f>
        <v/>
      </c>
      <c r="D97" s="126">
        <f>IFERROR(IF(IFERROR(MATCH(41,المحفظة!$H$107:$H$206,0),0)=0,"",INDEX(المحفظة!$D$107:$D$206,IFERROR(MATCH(41,المحفظة!$H$107:$H$206,0),0))),"")</f>
        <v/>
      </c>
      <c r="E97" s="127" t="inlineStr">
        <is>
          <t>—</t>
        </is>
      </c>
      <c r="F97" s="124">
        <f>IFERROR(IF(IFERROR(MATCH(41,المحفظة!$H$107:$H$206,0),0)=0,"",INDEX(المحفظة!$F$107:$F$206,IFERROR(MATCH(41,المحفظة!$H$107:$H$206,0),0))),"")</f>
        <v/>
      </c>
      <c r="G97" s="24" t="n"/>
    </row>
    <row r="98" hidden="1" ht="15" customHeight="1" s="67">
      <c r="A98" s="128">
        <f>IFERROR(IF(IFERROR(MATCH(42,المحفظة!$H$107:$H$206,0),0)=0,"",INDEX(المحفظة!$A$107:$A$206,IFERROR(MATCH(42,المحفظة!$H$107:$H$206,0),0))),"")</f>
        <v/>
      </c>
      <c r="B98" s="129">
        <f>IFERROR(IF(IFERROR(MATCH(42,المحفظة!$H$107:$H$206,0),0)=0,"",INDEX(المحفظة!$B$107:$B$206,IFERROR(MATCH(42,المحفظة!$H$107:$H$206,0),0))),"")</f>
        <v/>
      </c>
      <c r="C98" s="130">
        <f>IFERROR(IF(IFERROR(MATCH(42,المحفظة!$H$107:$H$206,0),0)=0,"",INDEX(المحفظة!$C$107:$C$206,IFERROR(MATCH(42,المحفظة!$H$107:$H$206,0),0))),"")</f>
        <v/>
      </c>
      <c r="D98" s="131">
        <f>IFERROR(IF(IFERROR(MATCH(42,المحفظة!$H$107:$H$206,0),0)=0,"",INDEX(المحفظة!$D$107:$D$206,IFERROR(MATCH(42,المحفظة!$H$107:$H$206,0),0))),"")</f>
        <v/>
      </c>
      <c r="E98" s="132" t="inlineStr">
        <is>
          <t>—</t>
        </is>
      </c>
      <c r="F98" s="129">
        <f>IFERROR(IF(IFERROR(MATCH(42,المحفظة!$H$107:$H$206,0),0)=0,"",INDEX(المحفظة!$F$107:$F$206,IFERROR(MATCH(42,المحفظة!$H$107:$H$206,0),0))),"")</f>
        <v/>
      </c>
      <c r="G98" s="31" t="n"/>
    </row>
    <row r="99" hidden="1" ht="15" customHeight="1" s="67">
      <c r="A99" s="123">
        <f>IFERROR(IF(IFERROR(MATCH(43,المحفظة!$H$107:$H$206,0),0)=0,"",INDEX(المحفظة!$A$107:$A$206,IFERROR(MATCH(43,المحفظة!$H$107:$H$206,0),0))),"")</f>
        <v/>
      </c>
      <c r="B99" s="124">
        <f>IFERROR(IF(IFERROR(MATCH(43,المحفظة!$H$107:$H$206,0),0)=0,"",INDEX(المحفظة!$B$107:$B$206,IFERROR(MATCH(43,المحفظة!$H$107:$H$206,0),0))),"")</f>
        <v/>
      </c>
      <c r="C99" s="125">
        <f>IFERROR(IF(IFERROR(MATCH(43,المحفظة!$H$107:$H$206,0),0)=0,"",INDEX(المحفظة!$C$107:$C$206,IFERROR(MATCH(43,المحفظة!$H$107:$H$206,0),0))),"")</f>
        <v/>
      </c>
      <c r="D99" s="126">
        <f>IFERROR(IF(IFERROR(MATCH(43,المحفظة!$H$107:$H$206,0),0)=0,"",INDEX(المحفظة!$D$107:$D$206,IFERROR(MATCH(43,المحفظة!$H$107:$H$206,0),0))),"")</f>
        <v/>
      </c>
      <c r="E99" s="127" t="inlineStr">
        <is>
          <t>—</t>
        </is>
      </c>
      <c r="F99" s="124">
        <f>IFERROR(IF(IFERROR(MATCH(43,المحفظة!$H$107:$H$206,0),0)=0,"",INDEX(المحفظة!$F$107:$F$206,IFERROR(MATCH(43,المحفظة!$H$107:$H$206,0),0))),"")</f>
        <v/>
      </c>
      <c r="G99" s="24" t="n"/>
    </row>
    <row r="100" hidden="1" ht="15" customHeight="1" s="67">
      <c r="A100" s="128">
        <f>IFERROR(IF(IFERROR(MATCH(44,المحفظة!$H$107:$H$206,0),0)=0,"",INDEX(المحفظة!$A$107:$A$206,IFERROR(MATCH(44,المحفظة!$H$107:$H$206,0),0))),"")</f>
        <v/>
      </c>
      <c r="B100" s="129">
        <f>IFERROR(IF(IFERROR(MATCH(44,المحفظة!$H$107:$H$206,0),0)=0,"",INDEX(المحفظة!$B$107:$B$206,IFERROR(MATCH(44,المحفظة!$H$107:$H$206,0),0))),"")</f>
        <v/>
      </c>
      <c r="C100" s="130">
        <f>IFERROR(IF(IFERROR(MATCH(44,المحفظة!$H$107:$H$206,0),0)=0,"",INDEX(المحفظة!$C$107:$C$206,IFERROR(MATCH(44,المحفظة!$H$107:$H$206,0),0))),"")</f>
        <v/>
      </c>
      <c r="D100" s="131">
        <f>IFERROR(IF(IFERROR(MATCH(44,المحفظة!$H$107:$H$206,0),0)=0,"",INDEX(المحفظة!$D$107:$D$206,IFERROR(MATCH(44,المحفظة!$H$107:$H$206,0),0))),"")</f>
        <v/>
      </c>
      <c r="E100" s="132" t="inlineStr">
        <is>
          <t>—</t>
        </is>
      </c>
      <c r="F100" s="129">
        <f>IFERROR(IF(IFERROR(MATCH(44,المحفظة!$H$107:$H$206,0),0)=0,"",INDEX(المحفظة!$F$107:$F$206,IFERROR(MATCH(44,المحفظة!$H$107:$H$206,0),0))),"")</f>
        <v/>
      </c>
      <c r="G100" s="31" t="n"/>
    </row>
    <row r="101" hidden="1" ht="15" customHeight="1" s="67">
      <c r="A101" s="123">
        <f>IFERROR(IF(IFERROR(MATCH(45,المحفظة!$H$107:$H$206,0),0)=0,"",INDEX(المحفظة!$A$107:$A$206,IFERROR(MATCH(45,المحفظة!$H$107:$H$206,0),0))),"")</f>
        <v/>
      </c>
      <c r="B101" s="124">
        <f>IFERROR(IF(IFERROR(MATCH(45,المحفظة!$H$107:$H$206,0),0)=0,"",INDEX(المحفظة!$B$107:$B$206,IFERROR(MATCH(45,المحفظة!$H$107:$H$206,0),0))),"")</f>
        <v/>
      </c>
      <c r="C101" s="125">
        <f>IFERROR(IF(IFERROR(MATCH(45,المحفظة!$H$107:$H$206,0),0)=0,"",INDEX(المحفظة!$C$107:$C$206,IFERROR(MATCH(45,المحفظة!$H$107:$H$206,0),0))),"")</f>
        <v/>
      </c>
      <c r="D101" s="126">
        <f>IFERROR(IF(IFERROR(MATCH(45,المحفظة!$H$107:$H$206,0),0)=0,"",INDEX(المحفظة!$D$107:$D$206,IFERROR(MATCH(45,المحفظة!$H$107:$H$206,0),0))),"")</f>
        <v/>
      </c>
      <c r="E101" s="127" t="inlineStr">
        <is>
          <t>—</t>
        </is>
      </c>
      <c r="F101" s="124">
        <f>IFERROR(IF(IFERROR(MATCH(45,المحفظة!$H$107:$H$206,0),0)=0,"",INDEX(المحفظة!$F$107:$F$206,IFERROR(MATCH(45,المحفظة!$H$107:$H$206,0),0))),"")</f>
        <v/>
      </c>
      <c r="G101" s="24" t="n"/>
    </row>
    <row r="102" hidden="1" ht="15" customHeight="1" s="67">
      <c r="A102" s="128">
        <f>IFERROR(IF(IFERROR(MATCH(46,المحفظة!$H$107:$H$206,0),0)=0,"",INDEX(المحفظة!$A$107:$A$206,IFERROR(MATCH(46,المحفظة!$H$107:$H$206,0),0))),"")</f>
        <v/>
      </c>
      <c r="B102" s="129">
        <f>IFERROR(IF(IFERROR(MATCH(46,المحفظة!$H$107:$H$206,0),0)=0,"",INDEX(المحفظة!$B$107:$B$206,IFERROR(MATCH(46,المحفظة!$H$107:$H$206,0),0))),"")</f>
        <v/>
      </c>
      <c r="C102" s="130">
        <f>IFERROR(IF(IFERROR(MATCH(46,المحفظة!$H$107:$H$206,0),0)=0,"",INDEX(المحفظة!$C$107:$C$206,IFERROR(MATCH(46,المحفظة!$H$107:$H$206,0),0))),"")</f>
        <v/>
      </c>
      <c r="D102" s="131">
        <f>IFERROR(IF(IFERROR(MATCH(46,المحفظة!$H$107:$H$206,0),0)=0,"",INDEX(المحفظة!$D$107:$D$206,IFERROR(MATCH(46,المحفظة!$H$107:$H$206,0),0))),"")</f>
        <v/>
      </c>
      <c r="E102" s="132" t="inlineStr">
        <is>
          <t>—</t>
        </is>
      </c>
      <c r="F102" s="129">
        <f>IFERROR(IF(IFERROR(MATCH(46,المحفظة!$H$107:$H$206,0),0)=0,"",INDEX(المحفظة!$F$107:$F$206,IFERROR(MATCH(46,المحفظة!$H$107:$H$206,0),0))),"")</f>
        <v/>
      </c>
      <c r="G102" s="31" t="n"/>
    </row>
    <row r="103" hidden="1" ht="15" customHeight="1" s="67">
      <c r="A103" s="123">
        <f>IFERROR(IF(IFERROR(MATCH(47,المحفظة!$H$107:$H$206,0),0)=0,"",INDEX(المحفظة!$A$107:$A$206,IFERROR(MATCH(47,المحفظة!$H$107:$H$206,0),0))),"")</f>
        <v/>
      </c>
      <c r="B103" s="124">
        <f>IFERROR(IF(IFERROR(MATCH(47,المحفظة!$H$107:$H$206,0),0)=0,"",INDEX(المحفظة!$B$107:$B$206,IFERROR(MATCH(47,المحفظة!$H$107:$H$206,0),0))),"")</f>
        <v/>
      </c>
      <c r="C103" s="125">
        <f>IFERROR(IF(IFERROR(MATCH(47,المحفظة!$H$107:$H$206,0),0)=0,"",INDEX(المحفظة!$C$107:$C$206,IFERROR(MATCH(47,المحفظة!$H$107:$H$206,0),0))),"")</f>
        <v/>
      </c>
      <c r="D103" s="126">
        <f>IFERROR(IF(IFERROR(MATCH(47,المحفظة!$H$107:$H$206,0),0)=0,"",INDEX(المحفظة!$D$107:$D$206,IFERROR(MATCH(47,المحفظة!$H$107:$H$206,0),0))),"")</f>
        <v/>
      </c>
      <c r="E103" s="127" t="inlineStr">
        <is>
          <t>—</t>
        </is>
      </c>
      <c r="F103" s="124">
        <f>IFERROR(IF(IFERROR(MATCH(47,المحفظة!$H$107:$H$206,0),0)=0,"",INDEX(المحفظة!$F$107:$F$206,IFERROR(MATCH(47,المحفظة!$H$107:$H$206,0),0))),"")</f>
        <v/>
      </c>
      <c r="G103" s="24" t="n"/>
    </row>
    <row r="104" hidden="1" ht="15" customHeight="1" s="67">
      <c r="A104" s="128">
        <f>IFERROR(IF(IFERROR(MATCH(48,المحفظة!$H$107:$H$206,0),0)=0,"",INDEX(المحفظة!$A$107:$A$206,IFERROR(MATCH(48,المحفظة!$H$107:$H$206,0),0))),"")</f>
        <v/>
      </c>
      <c r="B104" s="129">
        <f>IFERROR(IF(IFERROR(MATCH(48,المحفظة!$H$107:$H$206,0),0)=0,"",INDEX(المحفظة!$B$107:$B$206,IFERROR(MATCH(48,المحفظة!$H$107:$H$206,0),0))),"")</f>
        <v/>
      </c>
      <c r="C104" s="130">
        <f>IFERROR(IF(IFERROR(MATCH(48,المحفظة!$H$107:$H$206,0),0)=0,"",INDEX(المحفظة!$C$107:$C$206,IFERROR(MATCH(48,المحفظة!$H$107:$H$206,0),0))),"")</f>
        <v/>
      </c>
      <c r="D104" s="131">
        <f>IFERROR(IF(IFERROR(MATCH(48,المحفظة!$H$107:$H$206,0),0)=0,"",INDEX(المحفظة!$D$107:$D$206,IFERROR(MATCH(48,المحفظة!$H$107:$H$206,0),0))),"")</f>
        <v/>
      </c>
      <c r="E104" s="132" t="inlineStr">
        <is>
          <t>—</t>
        </is>
      </c>
      <c r="F104" s="129">
        <f>IFERROR(IF(IFERROR(MATCH(48,المحفظة!$H$107:$H$206,0),0)=0,"",INDEX(المحفظة!$F$107:$F$206,IFERROR(MATCH(48,المحفظة!$H$107:$H$206,0),0))),"")</f>
        <v/>
      </c>
      <c r="G104" s="31" t="n"/>
    </row>
    <row r="105" hidden="1" ht="15" customHeight="1" s="67">
      <c r="A105" s="123">
        <f>IFERROR(IF(IFERROR(MATCH(49,المحفظة!$H$107:$H$206,0),0)=0,"",INDEX(المحفظة!$A$107:$A$206,IFERROR(MATCH(49,المحفظة!$H$107:$H$206,0),0))),"")</f>
        <v/>
      </c>
      <c r="B105" s="124">
        <f>IFERROR(IF(IFERROR(MATCH(49,المحفظة!$H$107:$H$206,0),0)=0,"",INDEX(المحفظة!$B$107:$B$206,IFERROR(MATCH(49,المحفظة!$H$107:$H$206,0),0))),"")</f>
        <v/>
      </c>
      <c r="C105" s="125">
        <f>IFERROR(IF(IFERROR(MATCH(49,المحفظة!$H$107:$H$206,0),0)=0,"",INDEX(المحفظة!$C$107:$C$206,IFERROR(MATCH(49,المحفظة!$H$107:$H$206,0),0))),"")</f>
        <v/>
      </c>
      <c r="D105" s="126">
        <f>IFERROR(IF(IFERROR(MATCH(49,المحفظة!$H$107:$H$206,0),0)=0,"",INDEX(المحفظة!$D$107:$D$206,IFERROR(MATCH(49,المحفظة!$H$107:$H$206,0),0))),"")</f>
        <v/>
      </c>
      <c r="E105" s="127" t="inlineStr">
        <is>
          <t>—</t>
        </is>
      </c>
      <c r="F105" s="124">
        <f>IFERROR(IF(IFERROR(MATCH(49,المحفظة!$H$107:$H$206,0),0)=0,"",INDEX(المحفظة!$F$107:$F$206,IFERROR(MATCH(49,المحفظة!$H$107:$H$206,0),0))),"")</f>
        <v/>
      </c>
      <c r="G105" s="24" t="n"/>
    </row>
    <row r="106" hidden="1" ht="15" customHeight="1" s="67">
      <c r="A106" s="128">
        <f>IFERROR(IF(IFERROR(MATCH(50,المحفظة!$H$107:$H$206,0),0)=0,"",INDEX(المحفظة!$A$107:$A$206,IFERROR(MATCH(50,المحفظة!$H$107:$H$206,0),0))),"")</f>
        <v/>
      </c>
      <c r="B106" s="129">
        <f>IFERROR(IF(IFERROR(MATCH(50,المحفظة!$H$107:$H$206,0),0)=0,"",INDEX(المحفظة!$B$107:$B$206,IFERROR(MATCH(50,المحفظة!$H$107:$H$206,0),0))),"")</f>
        <v/>
      </c>
      <c r="C106" s="130">
        <f>IFERROR(IF(IFERROR(MATCH(50,المحفظة!$H$107:$H$206,0),0)=0,"",INDEX(المحفظة!$C$107:$C$206,IFERROR(MATCH(50,المحفظة!$H$107:$H$206,0),0))),"")</f>
        <v/>
      </c>
      <c r="D106" s="131">
        <f>IFERROR(IF(IFERROR(MATCH(50,المحفظة!$H$107:$H$206,0),0)=0,"",INDEX(المحفظة!$D$107:$D$206,IFERROR(MATCH(50,المحفظة!$H$107:$H$206,0),0))),"")</f>
        <v/>
      </c>
      <c r="E106" s="132" t="inlineStr">
        <is>
          <t>—</t>
        </is>
      </c>
      <c r="F106" s="129">
        <f>IFERROR(IF(IFERROR(MATCH(50,المحفظة!$H$107:$H$206,0),0)=0,"",INDEX(المحفظة!$F$107:$F$206,IFERROR(MATCH(50,المحفظة!$H$107:$H$206,0),0))),"")</f>
        <v/>
      </c>
      <c r="G106" s="31" t="n"/>
    </row>
    <row r="107" ht="19.5" customHeight="1" s="67">
      <c r="A107" s="142" t="inlineStr">
        <is>
          <t>إجمالي المصروفات</t>
        </is>
      </c>
      <c r="B107" s="69" t="n"/>
      <c r="C107" s="69" t="n"/>
      <c r="D107" s="133">
        <f>SUMIF(المحفظة!$H$107:$H$206,"&gt;0",المحفظة!$D$107:$D$206)</f>
        <v/>
      </c>
      <c r="E107" s="101" t="n"/>
      <c r="F107" s="101" t="n"/>
      <c r="G107" s="101" t="n"/>
    </row>
    <row r="108" ht="19.5" customHeight="1" s="67">
      <c r="A108" s="155" t="inlineStr">
        <is>
          <t>💰  صافي المحفظة للفترة</t>
        </is>
      </c>
      <c r="B108" s="69" t="n"/>
      <c r="C108" s="69" t="n"/>
      <c r="D108" s="100">
        <f>E55-D107</f>
        <v/>
      </c>
      <c r="E108" s="160">
        <f>SUM(E5:E107)</f>
        <v/>
      </c>
      <c r="F108" s="69" t="n"/>
      <c r="G108" s="204" t="n"/>
    </row>
  </sheetData>
  <mergeCells count="11">
    <mergeCell ref="A2:B2"/>
    <mergeCell ref="A1:G1"/>
    <mergeCell ref="A107:C107"/>
    <mergeCell ref="A56:G56"/>
    <mergeCell ref="D2:E2"/>
    <mergeCell ref="A108:C108"/>
    <mergeCell ref="D3:E3"/>
    <mergeCell ref="A4:G4"/>
    <mergeCell ref="A55:D55"/>
    <mergeCell ref="E108:G108"/>
    <mergeCell ref="A3:B3"/>
  </mergeCells>
  <dataValidations count="2">
    <dataValidation sqref="C2" showDropDown="0" showInputMessage="0" showErrorMessage="0" allowBlank="0" type="list">
      <formula1>"يناير,فبراير,مارس,أبريل,مايو,يونيو,يوليو,أغسطس,سبتمبر,أكتوبر,نوفمبر,ديسمبر,الكل"</formula1>
      <formula2>0</formula2>
    </dataValidation>
    <dataValidation sqref="F2" showDropDown="0" showInputMessage="0" showErrorMessage="0" allowBlank="0" type="list">
      <formula1>"2024,2025,2026,2027,2028,الكل"</formula1>
      <formula2>0</formula2>
    </dataValidation>
  </dataValidations>
  <pageMargins left="0.25" right="0.25" top="0.75" bottom="0.75" header="0.3" footer="0.3"/>
  <pageSetup orientation="landscape" paperSize="9" fitToHeight="0" horizontalDpi="300" verticalDpi="300"/>
  <headerFooter>
    <oddHeader>&amp;C&amp;12 المحفظة  —  Farm Wallet</oddHeader>
    <oddFooter>&amp;Lتاريخ الطباعة: &amp;D&amp;Cالصفحة &amp;P من &amp;N&amp;Rسري - للاستخدام الداخلي فقط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2026-05-17T18:05:26Z</dcterms:created>
  <dcterms:modified xmlns:dcterms="http://purl.org/dc/terms/" xmlns:xsi="http://www.w3.org/2001/XMLSchema-instance" xsi:type="dcterms:W3CDTF">2026-07-02T13:42:23Z</dcterms:modified>
  <cp:lastModifiedBy>Hadi Ishak</cp:lastModifiedBy>
  <cp:revision>0</cp:revision>
  <cp:lastPrinted>2026-06-16T20:46:17Z</cp:lastPrinted>
</cp:coreProperties>
</file>